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filterPrivacy="1"/>
  <xr:revisionPtr revIDLastSave="2" documentId="13_ncr:1_{A780A4C2-4DF8-4CC0-AA6E-61918194C58C}" xr6:coauthVersionLast="47" xr6:coauthVersionMax="47" xr10:uidLastSave="{ED4D4492-FB6F-45B0-8B9A-B9265DFDD3E9}"/>
  <bookViews>
    <workbookView xWindow="-110" yWindow="-110" windowWidth="22180" windowHeight="14140" activeTab="2" xr2:uid="{AA36771F-4E01-4F77-ACBF-7B653B1C7993}"/>
  </bookViews>
  <sheets>
    <sheet name="データ一覧" sheetId="3" r:id="rId1"/>
    <sheet name="項目一覧" sheetId="2" r:id="rId2"/>
    <sheet name="inr6" sheetId="1" r:id="rId3"/>
    <sheet name="特定保険料率及び基本保険料率" sheetId="6" r:id="rId4"/>
    <sheet name="被保険者の方の保険料額" sheetId="5" r:id="rId5"/>
    <sheet name="memo" sheetId="9" r:id="rId6"/>
    <sheet name="分析環境案" sheetId="7" r:id="rId7"/>
  </sheets>
  <definedNames>
    <definedName name="_xlnm._FilterDatabase" localSheetId="2" hidden="1">'inr6'!$A$2:$AI$49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5" l="1" a="1"/>
  <c r="J7" i="5" s="1"/>
  <c r="H7" i="5" a="1"/>
  <c r="H7" i="5" s="1"/>
  <c r="F7" i="5" a="1"/>
  <c r="F7" i="5" s="1"/>
  <c r="J59" i="5" l="1"/>
  <c r="K59" i="5" s="1"/>
  <c r="J25" i="5"/>
  <c r="K25" i="5" s="1"/>
  <c r="J42" i="5"/>
  <c r="K42" i="5" s="1"/>
  <c r="J58" i="5"/>
  <c r="K58" i="5" s="1"/>
  <c r="J24" i="5"/>
  <c r="K24" i="5" s="1"/>
  <c r="J23" i="5"/>
  <c r="K23" i="5" s="1"/>
  <c r="J57" i="5"/>
  <c r="K57" i="5" s="1"/>
  <c r="J41" i="5"/>
  <c r="K41" i="5" s="1"/>
  <c r="J22" i="5"/>
  <c r="K22" i="5" s="1"/>
  <c r="J56" i="5"/>
  <c r="K56" i="5" s="1"/>
  <c r="J21" i="5"/>
  <c r="K21" i="5" s="1"/>
  <c r="J40" i="5"/>
  <c r="K40" i="5" s="1"/>
  <c r="J55" i="5"/>
  <c r="K55" i="5" s="1"/>
  <c r="J20" i="5"/>
  <c r="K20" i="5" s="1"/>
  <c r="J19" i="5"/>
  <c r="K19" i="5" s="1"/>
  <c r="J54" i="5"/>
  <c r="K54" i="5" s="1"/>
  <c r="J39" i="5"/>
  <c r="K39" i="5" s="1"/>
  <c r="J18" i="5"/>
  <c r="K18" i="5" s="1"/>
  <c r="J53" i="5"/>
  <c r="K53" i="5" s="1"/>
  <c r="J17" i="5"/>
  <c r="K17" i="5" s="1"/>
  <c r="J38" i="5"/>
  <c r="K38" i="5" s="1"/>
  <c r="J52" i="5"/>
  <c r="K52" i="5" s="1"/>
  <c r="J16" i="5"/>
  <c r="K16" i="5" s="1"/>
  <c r="J15" i="5"/>
  <c r="K15" i="5" s="1"/>
  <c r="J51" i="5"/>
  <c r="K51" i="5" s="1"/>
  <c r="J37" i="5"/>
  <c r="K37" i="5" s="1"/>
  <c r="J14" i="5"/>
  <c r="K14" i="5" s="1"/>
  <c r="J50" i="5"/>
  <c r="K50" i="5" s="1"/>
  <c r="J13" i="5"/>
  <c r="K13" i="5" s="1"/>
  <c r="J36" i="5"/>
  <c r="K36" i="5" s="1"/>
  <c r="J49" i="5"/>
  <c r="K49" i="5" s="1"/>
  <c r="J12" i="5"/>
  <c r="K12" i="5" s="1"/>
  <c r="J11" i="5"/>
  <c r="K11" i="5" s="1"/>
  <c r="J48" i="5"/>
  <c r="K48" i="5" s="1"/>
  <c r="J35" i="5"/>
  <c r="K35" i="5" s="1"/>
  <c r="J10" i="5"/>
  <c r="K10" i="5" s="1"/>
  <c r="J47" i="5"/>
  <c r="K47" i="5" s="1"/>
  <c r="J31" i="5"/>
  <c r="K31" i="5" s="1"/>
  <c r="J34" i="5"/>
  <c r="K34" i="5" s="1"/>
  <c r="J46" i="5"/>
  <c r="K46" i="5" s="1"/>
  <c r="J33" i="5"/>
  <c r="K33" i="5" s="1"/>
  <c r="J32" i="5"/>
  <c r="K32" i="5" s="1"/>
  <c r="J45" i="5"/>
  <c r="K45" i="5" s="1"/>
  <c r="J30" i="5"/>
  <c r="K30" i="5" s="1"/>
  <c r="J29" i="5"/>
  <c r="K29" i="5" s="1"/>
  <c r="J44" i="5"/>
  <c r="K44" i="5" s="1"/>
  <c r="J28" i="5"/>
  <c r="K28" i="5" s="1"/>
  <c r="J27" i="5"/>
  <c r="K27" i="5" s="1"/>
  <c r="J43" i="5"/>
  <c r="K43" i="5" s="1"/>
  <c r="J26" i="5"/>
  <c r="K26" i="5" s="1"/>
  <c r="H59" i="5"/>
  <c r="I59" i="5" s="1"/>
  <c r="H30" i="5"/>
  <c r="I30" i="5" s="1"/>
  <c r="H58" i="5"/>
  <c r="I58" i="5" s="1"/>
  <c r="H25" i="5"/>
  <c r="I25" i="5" s="1"/>
  <c r="H57" i="5"/>
  <c r="I57" i="5" s="1"/>
  <c r="H31" i="5"/>
  <c r="I31" i="5" s="1"/>
  <c r="H56" i="5"/>
  <c r="I56" i="5" s="1"/>
  <c r="H24" i="5"/>
  <c r="I24" i="5" s="1"/>
  <c r="H55" i="5"/>
  <c r="I55" i="5" s="1"/>
  <c r="H23" i="5"/>
  <c r="I23" i="5" s="1"/>
  <c r="H54" i="5"/>
  <c r="I54" i="5" s="1"/>
  <c r="H34" i="5"/>
  <c r="I34" i="5" s="1"/>
  <c r="H53" i="5"/>
  <c r="I53" i="5" s="1"/>
  <c r="H22" i="5"/>
  <c r="I22" i="5" s="1"/>
  <c r="H52" i="5"/>
  <c r="I52" i="5" s="1"/>
  <c r="H21" i="5"/>
  <c r="I21" i="5" s="1"/>
  <c r="H51" i="5"/>
  <c r="I51" i="5" s="1"/>
  <c r="H20" i="5"/>
  <c r="I20" i="5" s="1"/>
  <c r="H50" i="5"/>
  <c r="I50" i="5" s="1"/>
  <c r="H33" i="5"/>
  <c r="I33" i="5" s="1"/>
  <c r="H49" i="5"/>
  <c r="I49" i="5" s="1"/>
  <c r="H19" i="5"/>
  <c r="I19" i="5" s="1"/>
  <c r="H48" i="5"/>
  <c r="I48" i="5" s="1"/>
  <c r="H29" i="5"/>
  <c r="I29" i="5" s="1"/>
  <c r="H47" i="5"/>
  <c r="I47" i="5" s="1"/>
  <c r="H18" i="5"/>
  <c r="I18" i="5" s="1"/>
  <c r="H46" i="5"/>
  <c r="I46" i="5" s="1"/>
  <c r="H17" i="5"/>
  <c r="I17" i="5" s="1"/>
  <c r="H45" i="5"/>
  <c r="I45" i="5" s="1"/>
  <c r="H16" i="5"/>
  <c r="I16" i="5" s="1"/>
  <c r="H44" i="5"/>
  <c r="I44" i="5" s="1"/>
  <c r="H28" i="5"/>
  <c r="I28" i="5" s="1"/>
  <c r="H43" i="5"/>
  <c r="I43" i="5" s="1"/>
  <c r="H15" i="5"/>
  <c r="I15" i="5" s="1"/>
  <c r="H42" i="5"/>
  <c r="I42" i="5" s="1"/>
  <c r="H14" i="5"/>
  <c r="I14" i="5" s="1"/>
  <c r="H41" i="5"/>
  <c r="I41" i="5" s="1"/>
  <c r="H13" i="5"/>
  <c r="I13" i="5" s="1"/>
  <c r="H40" i="5"/>
  <c r="I40" i="5" s="1"/>
  <c r="H12" i="5"/>
  <c r="I12" i="5" s="1"/>
  <c r="H39" i="5"/>
  <c r="I39" i="5" s="1"/>
  <c r="H32" i="5"/>
  <c r="I32" i="5" s="1"/>
  <c r="H38" i="5"/>
  <c r="I38" i="5" s="1"/>
  <c r="H11" i="5"/>
  <c r="I11" i="5" s="1"/>
  <c r="H37" i="5"/>
  <c r="I37" i="5" s="1"/>
  <c r="H26" i="5"/>
  <c r="I26" i="5" s="1"/>
  <c r="H36" i="5"/>
  <c r="I36" i="5" s="1"/>
  <c r="H10" i="5"/>
  <c r="H35" i="5"/>
  <c r="I35" i="5" s="1"/>
  <c r="H27" i="5"/>
  <c r="I27" i="5" s="1"/>
  <c r="F59" i="5"/>
  <c r="G59" i="5" s="1"/>
  <c r="F58" i="5"/>
  <c r="G58" i="5" s="1"/>
  <c r="F57" i="5"/>
  <c r="G57" i="5" s="1"/>
  <c r="F56" i="5"/>
  <c r="G56" i="5" s="1"/>
  <c r="F55" i="5"/>
  <c r="G55" i="5" s="1"/>
  <c r="F54" i="5"/>
  <c r="G54" i="5" s="1"/>
  <c r="F53" i="5"/>
  <c r="G53" i="5" s="1"/>
  <c r="F52" i="5"/>
  <c r="G52" i="5" s="1"/>
  <c r="F51" i="5"/>
  <c r="G51" i="5" s="1"/>
  <c r="F50" i="5"/>
  <c r="G50" i="5" s="1"/>
  <c r="F49" i="5"/>
  <c r="G49" i="5" s="1"/>
  <c r="F48" i="5"/>
  <c r="G48" i="5" s="1"/>
  <c r="F47" i="5"/>
  <c r="G47" i="5" s="1"/>
  <c r="F46" i="5"/>
  <c r="G46" i="5" s="1"/>
  <c r="F45" i="5"/>
  <c r="G45" i="5" s="1"/>
  <c r="F44" i="5"/>
  <c r="G44" i="5" s="1"/>
  <c r="F43" i="5"/>
  <c r="G43" i="5" s="1"/>
  <c r="F42" i="5"/>
  <c r="G42" i="5" s="1"/>
  <c r="F41" i="5"/>
  <c r="G41" i="5" s="1"/>
  <c r="F40" i="5"/>
  <c r="G40" i="5" s="1"/>
  <c r="F39" i="5"/>
  <c r="G39" i="5" s="1"/>
  <c r="F38" i="5"/>
  <c r="G38" i="5" s="1"/>
  <c r="F37" i="5"/>
  <c r="G37" i="5" s="1"/>
  <c r="F36" i="5"/>
  <c r="G36" i="5" s="1"/>
  <c r="F35" i="5"/>
  <c r="G35" i="5" s="1"/>
  <c r="F25" i="5"/>
  <c r="G25" i="5" s="1"/>
  <c r="F17" i="5"/>
  <c r="G17" i="5" s="1"/>
  <c r="F33" i="5"/>
  <c r="G33" i="5" s="1"/>
  <c r="F21" i="5"/>
  <c r="G21" i="5" s="1"/>
  <c r="F16" i="5"/>
  <c r="G16" i="5" s="1"/>
  <c r="F30" i="5"/>
  <c r="G30" i="5" s="1"/>
  <c r="F23" i="5"/>
  <c r="G23" i="5" s="1"/>
  <c r="F15" i="5"/>
  <c r="G15" i="5" s="1"/>
  <c r="F28" i="5"/>
  <c r="G28" i="5" s="1"/>
  <c r="F20" i="5"/>
  <c r="G20" i="5" s="1"/>
  <c r="F14" i="5"/>
  <c r="G14" i="5" s="1"/>
  <c r="F34" i="5"/>
  <c r="G34" i="5" s="1"/>
  <c r="F24" i="5"/>
  <c r="G24" i="5" s="1"/>
  <c r="F27" i="5"/>
  <c r="G27" i="5" s="1"/>
  <c r="F31" i="5"/>
  <c r="G31" i="5" s="1"/>
  <c r="F12" i="5"/>
  <c r="G12" i="5" s="1"/>
  <c r="F19" i="5"/>
  <c r="G19" i="5" s="1"/>
  <c r="F22" i="5"/>
  <c r="G22" i="5" s="1"/>
  <c r="F11" i="5"/>
  <c r="G11" i="5" s="1"/>
  <c r="F32" i="5"/>
  <c r="G32" i="5" s="1"/>
  <c r="F10" i="5"/>
  <c r="F13" i="5"/>
  <c r="G13" i="5" s="1"/>
  <c r="F26" i="5"/>
  <c r="G26" i="5" s="1"/>
  <c r="F18" i="5"/>
  <c r="G18" i="5" s="1"/>
  <c r="F29" i="5"/>
  <c r="G29" i="5" s="1"/>
  <c r="I10" i="5"/>
  <c r="G1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<sst xmlns="http://schemas.openxmlformats.org/spreadsheetml/2006/main" count="435" uniqueCount="251">
  <si>
    <t>データ一覧</t>
    <rPh sb="3" eb="5">
      <t>イチラン</t>
    </rPh>
    <phoneticPr fontId="3"/>
  </si>
  <si>
    <t>No</t>
    <phoneticPr fontId="3"/>
  </si>
  <si>
    <t>データ名</t>
    <rPh sb="3" eb="4">
      <t>メイ</t>
    </rPh>
    <phoneticPr fontId="3"/>
  </si>
  <si>
    <t>対象シート</t>
    <rPh sb="0" eb="2">
      <t>タイショウ</t>
    </rPh>
    <phoneticPr fontId="3"/>
  </si>
  <si>
    <t>取得URL</t>
    <rPh sb="0" eb="2">
      <t>シュトク</t>
    </rPh>
    <phoneticPr fontId="3"/>
  </si>
  <si>
    <t>備考</t>
    <rPh sb="0" eb="2">
      <t>ビコウ</t>
    </rPh>
    <phoneticPr fontId="3"/>
  </si>
  <si>
    <t>協会けんぽ公開データ</t>
    <rPh sb="0" eb="2">
      <t>キョウカイ</t>
    </rPh>
    <rPh sb="5" eb="7">
      <t>コウカイ</t>
    </rPh>
    <phoneticPr fontId="3"/>
  </si>
  <si>
    <t>inr6</t>
    <phoneticPr fontId="3"/>
  </si>
  <si>
    <t>特定保険料率及び基本保険料率</t>
  </si>
  <si>
    <t>https://www.kyoukaikenpo.or.jp/about/business/insurance_rate/001/</t>
    <phoneticPr fontId="3"/>
  </si>
  <si>
    <t>全国健康保険協会（協会けんぽ）被保険者の方の保険料額</t>
    <phoneticPr fontId="3"/>
  </si>
  <si>
    <t>被保険者の方の保険料額</t>
  </si>
  <si>
    <t>https://view.officeapps.live.com/op/view.aspx?src=https%3A%2F%2Fwww.kyoukaikenpo.or.jp%2Fassets%2Fr8tokutei.xlsx&amp;wdOrigin=BROWSELINK</t>
    <phoneticPr fontId="3"/>
  </si>
  <si>
    <t>項目一覧(inr6)</t>
    <rPh sb="0" eb="4">
      <t>コウモクイチラン</t>
    </rPh>
    <phoneticPr fontId="3"/>
  </si>
  <si>
    <t>項目名</t>
    <rPh sb="0" eb="3">
      <t>コウモクメイ</t>
    </rPh>
    <phoneticPr fontId="3"/>
  </si>
  <si>
    <t>項目内容</t>
    <rPh sb="0" eb="4">
      <t>コウモクナイヨウ</t>
    </rPh>
    <phoneticPr fontId="3"/>
  </si>
  <si>
    <t>型</t>
    <rPh sb="0" eb="1">
      <t>カタ</t>
    </rPh>
    <phoneticPr fontId="3"/>
  </si>
  <si>
    <t>年度_和暦</t>
    <rPh sb="3" eb="5">
      <t>ワレキ</t>
    </rPh>
    <phoneticPr fontId="3"/>
  </si>
  <si>
    <t>年度（和暦）</t>
    <rPh sb="0" eb="2">
      <t>ネンド</t>
    </rPh>
    <rPh sb="3" eb="5">
      <t>ワレキ</t>
    </rPh>
    <phoneticPr fontId="3"/>
  </si>
  <si>
    <t>文字列</t>
    <rPh sb="0" eb="3">
      <t>モジレツ</t>
    </rPh>
    <phoneticPr fontId="3"/>
  </si>
  <si>
    <t>年度_西暦</t>
    <rPh sb="3" eb="5">
      <t>セイレキ</t>
    </rPh>
    <phoneticPr fontId="3"/>
  </si>
  <si>
    <t>年度（西暦）</t>
    <rPh sb="0" eb="2">
      <t>ネンド</t>
    </rPh>
    <rPh sb="3" eb="5">
      <t>セイレキ</t>
    </rPh>
    <phoneticPr fontId="3"/>
  </si>
  <si>
    <t>数値</t>
    <rPh sb="0" eb="2">
      <t>スウチ</t>
    </rPh>
    <phoneticPr fontId="3"/>
  </si>
  <si>
    <t>都道府県番号</t>
    <rPh sb="0" eb="6">
      <t>トドウフケンバンゴウ</t>
    </rPh>
    <phoneticPr fontId="3"/>
  </si>
  <si>
    <t>支部名</t>
  </si>
  <si>
    <t>支部名（都道府県名）</t>
    <rPh sb="0" eb="3">
      <t>シブメイ</t>
    </rPh>
    <rPh sb="4" eb="8">
      <t>トドウフケン</t>
    </rPh>
    <rPh sb="8" eb="9">
      <t>メイ</t>
    </rPh>
    <phoneticPr fontId="3"/>
  </si>
  <si>
    <t>保険料</t>
    <rPh sb="0" eb="3">
      <t>ホケンリョウ</t>
    </rPh>
    <phoneticPr fontId="3"/>
  </si>
  <si>
    <t>年度毎保険料</t>
    <rPh sb="0" eb="2">
      <t>ネンド</t>
    </rPh>
    <rPh sb="2" eb="3">
      <t>マイ</t>
    </rPh>
    <rPh sb="3" eb="6">
      <t>ホケンリョウ</t>
    </rPh>
    <phoneticPr fontId="3"/>
  </si>
  <si>
    <t>総得点</t>
  </si>
  <si>
    <t>総合順位</t>
  </si>
  <si>
    <t>特定健診等_得点</t>
  </si>
  <si>
    <t>特定健診等_得点_順位</t>
  </si>
  <si>
    <t>特定保健指導_得点</t>
  </si>
  <si>
    <t>特定保健指導_得点_順位</t>
  </si>
  <si>
    <t>対象者減少率_得点</t>
  </si>
  <si>
    <t>対象者減少率_得点_順位</t>
  </si>
  <si>
    <t>受診勧奨_得点</t>
  </si>
  <si>
    <t>受診勧奨_得点_順位</t>
  </si>
  <si>
    <t>後発医薬品_得点</t>
  </si>
  <si>
    <t>後発医薬品_得点_順位</t>
  </si>
  <si>
    <t>特定健診等_実績</t>
  </si>
  <si>
    <t>特定健診等_実績_順位</t>
  </si>
  <si>
    <t>特定保健指導_実績</t>
  </si>
  <si>
    <t>特定保健指導_実績_順位</t>
  </si>
  <si>
    <t>対象者減少率_実績</t>
  </si>
  <si>
    <t>対象者減少率_実績_順位</t>
  </si>
  <si>
    <t>受診勧奨_実績</t>
  </si>
  <si>
    <t>受診勧奨_実績_順位</t>
  </si>
  <si>
    <t>後発医薬品_実績</t>
  </si>
  <si>
    <t>後発医薬品_実績_順位</t>
  </si>
  <si>
    <t>インセンティブ制度 各指標(令和６年度)</t>
    <rPh sb="14" eb="16">
      <t>レイワ</t>
    </rPh>
    <rPh sb="17" eb="19">
      <t>ネンド</t>
    </rPh>
    <phoneticPr fontId="3"/>
  </si>
  <si>
    <t>年度</t>
  </si>
  <si>
    <r>
      <rPr>
        <b/>
        <sz val="11"/>
        <color rgb="FF000000"/>
        <rFont val="ＭＳ ゴシック"/>
        <family val="3"/>
        <charset val="128"/>
      </rPr>
      <t>特定健診等</t>
    </r>
    <r>
      <rPr>
        <b/>
        <sz val="11"/>
        <color rgb="FF000000"/>
        <rFont val="Arial"/>
        <family val="2"/>
      </rPr>
      <t>_</t>
    </r>
    <r>
      <rPr>
        <b/>
        <sz val="11"/>
        <color rgb="FF000000"/>
        <rFont val="ＭＳ ゴシック"/>
        <family val="3"/>
        <charset val="128"/>
      </rPr>
      <t>得点</t>
    </r>
    <phoneticPr fontId="3"/>
  </si>
  <si>
    <r>
      <rPr>
        <b/>
        <sz val="11"/>
        <color rgb="FF000000"/>
        <rFont val="Inter"/>
        <family val="1"/>
        <charset val="128"/>
      </rPr>
      <t>特定健診等_得点_</t>
    </r>
    <r>
      <rPr>
        <b/>
        <sz val="11"/>
        <color rgb="FF000000"/>
        <rFont val="ＭＳ ゴシック"/>
        <family val="3"/>
        <charset val="128"/>
      </rPr>
      <t>順位</t>
    </r>
    <phoneticPr fontId="3"/>
  </si>
  <si>
    <r>
      <rPr>
        <b/>
        <sz val="11"/>
        <color rgb="FF000000"/>
        <rFont val="ＭＳ ゴシック"/>
        <family val="3"/>
        <charset val="128"/>
      </rPr>
      <t>特定保健指導</t>
    </r>
    <r>
      <rPr>
        <b/>
        <sz val="11"/>
        <color rgb="FF000000"/>
        <rFont val="Arial"/>
        <family val="2"/>
      </rPr>
      <t>_</t>
    </r>
    <r>
      <rPr>
        <b/>
        <sz val="11"/>
        <color rgb="FF000000"/>
        <rFont val="ＭＳ ゴシック"/>
        <family val="3"/>
        <charset val="128"/>
      </rPr>
      <t>得点</t>
    </r>
    <phoneticPr fontId="3"/>
  </si>
  <si>
    <r>
      <rPr>
        <b/>
        <sz val="11"/>
        <color rgb="FF000000"/>
        <rFont val="Inter"/>
        <family val="1"/>
        <charset val="128"/>
      </rPr>
      <t>特定保健指導_得点_</t>
    </r>
    <r>
      <rPr>
        <b/>
        <sz val="11"/>
        <color rgb="FF000000"/>
        <rFont val="ＭＳ ゴシック"/>
        <family val="3"/>
        <charset val="128"/>
      </rPr>
      <t>順位</t>
    </r>
    <phoneticPr fontId="3"/>
  </si>
  <si>
    <r>
      <rPr>
        <b/>
        <sz val="11"/>
        <color rgb="FF000000"/>
        <rFont val="ＭＳ ゴシック"/>
        <family val="3"/>
        <charset val="128"/>
      </rPr>
      <t>対象者減少率</t>
    </r>
    <r>
      <rPr>
        <b/>
        <sz val="11"/>
        <color rgb="FF000000"/>
        <rFont val="Arial"/>
        <family val="2"/>
      </rPr>
      <t>_</t>
    </r>
    <r>
      <rPr>
        <b/>
        <sz val="11"/>
        <color rgb="FF000000"/>
        <rFont val="ＭＳ ゴシック"/>
        <family val="3"/>
        <charset val="128"/>
      </rPr>
      <t>得点</t>
    </r>
    <phoneticPr fontId="3"/>
  </si>
  <si>
    <r>
      <rPr>
        <b/>
        <sz val="11"/>
        <color rgb="FF000000"/>
        <rFont val="Inter"/>
        <family val="1"/>
        <charset val="128"/>
      </rPr>
      <t>対象者減少率_得点_</t>
    </r>
    <r>
      <rPr>
        <b/>
        <sz val="11"/>
        <color rgb="FF000000"/>
        <rFont val="ＭＳ ゴシック"/>
        <family val="3"/>
        <charset val="128"/>
      </rPr>
      <t>順位</t>
    </r>
    <phoneticPr fontId="3"/>
  </si>
  <si>
    <r>
      <rPr>
        <b/>
        <sz val="11"/>
        <color rgb="FF000000"/>
        <rFont val="ＭＳ ゴシック"/>
        <family val="3"/>
        <charset val="128"/>
      </rPr>
      <t>受診勧奨</t>
    </r>
    <r>
      <rPr>
        <b/>
        <sz val="11"/>
        <color rgb="FF000000"/>
        <rFont val="Arial"/>
        <family val="2"/>
      </rPr>
      <t>_</t>
    </r>
    <r>
      <rPr>
        <b/>
        <sz val="11"/>
        <color rgb="FF000000"/>
        <rFont val="ＭＳ ゴシック"/>
        <family val="3"/>
        <charset val="128"/>
      </rPr>
      <t>得点</t>
    </r>
    <phoneticPr fontId="3"/>
  </si>
  <si>
    <r>
      <rPr>
        <b/>
        <sz val="11"/>
        <color rgb="FF000000"/>
        <rFont val="Inter"/>
        <family val="1"/>
        <charset val="128"/>
      </rPr>
      <t>受診勧奨_得点_</t>
    </r>
    <r>
      <rPr>
        <b/>
        <sz val="11"/>
        <color rgb="FF000000"/>
        <rFont val="ＭＳ ゴシック"/>
        <family val="3"/>
        <charset val="128"/>
      </rPr>
      <t>順位</t>
    </r>
    <phoneticPr fontId="3"/>
  </si>
  <si>
    <r>
      <rPr>
        <b/>
        <sz val="11"/>
        <color rgb="FF000000"/>
        <rFont val="ＭＳ ゴシック"/>
        <family val="3"/>
        <charset val="128"/>
      </rPr>
      <t>後発医薬品</t>
    </r>
    <r>
      <rPr>
        <b/>
        <sz val="11"/>
        <color rgb="FF000000"/>
        <rFont val="Arial"/>
        <family val="2"/>
      </rPr>
      <t>_</t>
    </r>
    <r>
      <rPr>
        <b/>
        <sz val="11"/>
        <color rgb="FF000000"/>
        <rFont val="ＭＳ ゴシック"/>
        <family val="3"/>
        <charset val="128"/>
      </rPr>
      <t>得点</t>
    </r>
    <phoneticPr fontId="3"/>
  </si>
  <si>
    <r>
      <rPr>
        <b/>
        <sz val="11"/>
        <color rgb="FF000000"/>
        <rFont val="Inter"/>
        <family val="1"/>
        <charset val="128"/>
      </rPr>
      <t>後発医薬品_得点_</t>
    </r>
    <r>
      <rPr>
        <b/>
        <sz val="11"/>
        <color rgb="FF000000"/>
        <rFont val="ＭＳ ゴシック"/>
        <family val="3"/>
        <charset val="128"/>
      </rPr>
      <t>順位</t>
    </r>
    <phoneticPr fontId="3"/>
  </si>
  <si>
    <r>
      <rPr>
        <b/>
        <sz val="11"/>
        <color rgb="FF000000"/>
        <rFont val="ＭＳ ゴシック"/>
        <family val="3"/>
        <charset val="128"/>
      </rPr>
      <t>特定健診等</t>
    </r>
    <r>
      <rPr>
        <b/>
        <sz val="11"/>
        <color rgb="FF000000"/>
        <rFont val="Arial"/>
        <family val="2"/>
      </rPr>
      <t>_</t>
    </r>
    <r>
      <rPr>
        <b/>
        <sz val="11"/>
        <color rgb="FF000000"/>
        <rFont val="ＭＳ ゴシック"/>
        <family val="3"/>
        <charset val="128"/>
      </rPr>
      <t>実績</t>
    </r>
    <phoneticPr fontId="3"/>
  </si>
  <si>
    <t>特定健診等_実績_順位</t>
    <phoneticPr fontId="3"/>
  </si>
  <si>
    <r>
      <rPr>
        <b/>
        <sz val="11"/>
        <color rgb="FF000000"/>
        <rFont val="ＭＳ ゴシック"/>
        <family val="3"/>
        <charset val="128"/>
      </rPr>
      <t>特定保健指導</t>
    </r>
    <r>
      <rPr>
        <b/>
        <sz val="11"/>
        <color rgb="FF000000"/>
        <rFont val="Arial"/>
        <family val="2"/>
      </rPr>
      <t>_</t>
    </r>
    <r>
      <rPr>
        <b/>
        <sz val="11"/>
        <color rgb="FF000000"/>
        <rFont val="ＭＳ ゴシック"/>
        <family val="3"/>
        <charset val="128"/>
      </rPr>
      <t>実績</t>
    </r>
    <phoneticPr fontId="3"/>
  </si>
  <si>
    <r>
      <rPr>
        <b/>
        <sz val="11"/>
        <color rgb="FF000000"/>
        <rFont val="Inter"/>
        <family val="1"/>
        <charset val="128"/>
      </rPr>
      <t>特定保健指導_実績_</t>
    </r>
    <r>
      <rPr>
        <b/>
        <sz val="11"/>
        <color rgb="FF000000"/>
        <rFont val="ＭＳ ゴシック"/>
        <family val="3"/>
        <charset val="128"/>
      </rPr>
      <t>順位</t>
    </r>
    <phoneticPr fontId="3"/>
  </si>
  <si>
    <r>
      <rPr>
        <b/>
        <sz val="11"/>
        <color rgb="FF000000"/>
        <rFont val="ＭＳ ゴシック"/>
        <family val="3"/>
        <charset val="128"/>
      </rPr>
      <t>対象者減少率</t>
    </r>
    <r>
      <rPr>
        <b/>
        <sz val="11"/>
        <color rgb="FF000000"/>
        <rFont val="Arial"/>
        <family val="2"/>
      </rPr>
      <t>_</t>
    </r>
    <r>
      <rPr>
        <b/>
        <sz val="11"/>
        <color rgb="FF000000"/>
        <rFont val="ＭＳ ゴシック"/>
        <family val="3"/>
        <charset val="128"/>
      </rPr>
      <t>実績</t>
    </r>
    <phoneticPr fontId="3"/>
  </si>
  <si>
    <r>
      <rPr>
        <b/>
        <sz val="11"/>
        <color rgb="FF000000"/>
        <rFont val="Inter"/>
        <family val="1"/>
        <charset val="128"/>
      </rPr>
      <t>対象者減少率_実績_</t>
    </r>
    <r>
      <rPr>
        <b/>
        <sz val="11"/>
        <color rgb="FF000000"/>
        <rFont val="ＭＳ ゴシック"/>
        <family val="3"/>
        <charset val="128"/>
      </rPr>
      <t>順位</t>
    </r>
    <phoneticPr fontId="3"/>
  </si>
  <si>
    <r>
      <rPr>
        <b/>
        <sz val="11"/>
        <color rgb="FF000000"/>
        <rFont val="ＭＳ ゴシック"/>
        <family val="3"/>
        <charset val="128"/>
      </rPr>
      <t>受診勧奨</t>
    </r>
    <r>
      <rPr>
        <b/>
        <sz val="11"/>
        <color rgb="FF000000"/>
        <rFont val="Arial"/>
        <family val="2"/>
      </rPr>
      <t>_</t>
    </r>
    <r>
      <rPr>
        <b/>
        <sz val="11"/>
        <color rgb="FF000000"/>
        <rFont val="ＭＳ ゴシック"/>
        <family val="3"/>
        <charset val="128"/>
      </rPr>
      <t>実績</t>
    </r>
    <phoneticPr fontId="3"/>
  </si>
  <si>
    <r>
      <rPr>
        <b/>
        <sz val="11"/>
        <color rgb="FF000000"/>
        <rFont val="Inter"/>
        <family val="1"/>
        <charset val="128"/>
      </rPr>
      <t>受診勧奨_実績_</t>
    </r>
    <r>
      <rPr>
        <b/>
        <sz val="11"/>
        <color rgb="FF000000"/>
        <rFont val="ＭＳ ゴシック"/>
        <family val="3"/>
        <charset val="128"/>
      </rPr>
      <t>順位</t>
    </r>
    <phoneticPr fontId="3"/>
  </si>
  <si>
    <r>
      <rPr>
        <b/>
        <sz val="11"/>
        <color rgb="FF000000"/>
        <rFont val="ＭＳ ゴシック"/>
        <family val="3"/>
        <charset val="128"/>
      </rPr>
      <t>後発医薬品</t>
    </r>
    <r>
      <rPr>
        <b/>
        <sz val="11"/>
        <color rgb="FF000000"/>
        <rFont val="Arial"/>
        <family val="2"/>
      </rPr>
      <t>_</t>
    </r>
    <r>
      <rPr>
        <b/>
        <sz val="11"/>
        <color rgb="FF000000"/>
        <rFont val="ＭＳ ゴシック"/>
        <family val="3"/>
        <charset val="128"/>
      </rPr>
      <t>実績</t>
    </r>
    <phoneticPr fontId="3"/>
  </si>
  <si>
    <r>
      <rPr>
        <b/>
        <sz val="11"/>
        <color rgb="FF000000"/>
        <rFont val="Inter"/>
        <family val="1"/>
        <charset val="128"/>
      </rPr>
      <t>後発医薬品_実績_</t>
    </r>
    <r>
      <rPr>
        <b/>
        <sz val="11"/>
        <color rgb="FF000000"/>
        <rFont val="ＭＳ ゴシック"/>
        <family val="3"/>
        <charset val="128"/>
      </rPr>
      <t>順位</t>
    </r>
    <phoneticPr fontId="3"/>
  </si>
  <si>
    <t>令和6年度</t>
  </si>
  <si>
    <t>01</t>
    <phoneticPr fontId="3"/>
  </si>
  <si>
    <t>北海道</t>
  </si>
  <si>
    <t>02</t>
  </si>
  <si>
    <t>青森</t>
  </si>
  <si>
    <t>03</t>
  </si>
  <si>
    <t>岩手</t>
  </si>
  <si>
    <t>04</t>
  </si>
  <si>
    <t>宮城</t>
  </si>
  <si>
    <t>05</t>
  </si>
  <si>
    <t>秋田</t>
  </si>
  <si>
    <t>06</t>
  </si>
  <si>
    <t>山形</t>
  </si>
  <si>
    <t>07</t>
  </si>
  <si>
    <t>福島</t>
  </si>
  <si>
    <t>08</t>
  </si>
  <si>
    <t>茨城</t>
  </si>
  <si>
    <t>09</t>
  </si>
  <si>
    <t>栃木</t>
  </si>
  <si>
    <t>10</t>
  </si>
  <si>
    <t>群馬</t>
  </si>
  <si>
    <t>11</t>
  </si>
  <si>
    <t>埼玉</t>
  </si>
  <si>
    <t>12</t>
  </si>
  <si>
    <t>千葉</t>
  </si>
  <si>
    <t>13</t>
  </si>
  <si>
    <t>東京</t>
  </si>
  <si>
    <t>14</t>
  </si>
  <si>
    <t>神奈川</t>
  </si>
  <si>
    <t>15</t>
  </si>
  <si>
    <t>新潟</t>
  </si>
  <si>
    <t>16</t>
  </si>
  <si>
    <t>富山</t>
  </si>
  <si>
    <t>17</t>
  </si>
  <si>
    <t>石川</t>
  </si>
  <si>
    <t>18</t>
  </si>
  <si>
    <t>福井</t>
  </si>
  <si>
    <t>19</t>
  </si>
  <si>
    <t>山梨</t>
  </si>
  <si>
    <t>20</t>
  </si>
  <si>
    <t>長野</t>
  </si>
  <si>
    <t>21</t>
  </si>
  <si>
    <t>岐阜</t>
  </si>
  <si>
    <t>22</t>
  </si>
  <si>
    <t>静岡</t>
  </si>
  <si>
    <t>23</t>
  </si>
  <si>
    <t>愛知</t>
  </si>
  <si>
    <t>24</t>
  </si>
  <si>
    <t>三重</t>
  </si>
  <si>
    <t>25</t>
  </si>
  <si>
    <t>滋賀</t>
  </si>
  <si>
    <t>26</t>
  </si>
  <si>
    <t>京都</t>
  </si>
  <si>
    <t>27</t>
  </si>
  <si>
    <t>大阪</t>
  </si>
  <si>
    <t>28</t>
  </si>
  <si>
    <t>兵庫</t>
  </si>
  <si>
    <t>29</t>
  </si>
  <si>
    <t>奈良</t>
  </si>
  <si>
    <t>30</t>
  </si>
  <si>
    <t>和歌山</t>
  </si>
  <si>
    <t>31</t>
  </si>
  <si>
    <t>鳥取</t>
  </si>
  <si>
    <t>32</t>
  </si>
  <si>
    <t>島根</t>
  </si>
  <si>
    <t>33</t>
  </si>
  <si>
    <t>岡山</t>
  </si>
  <si>
    <t>34</t>
  </si>
  <si>
    <t>広島</t>
  </si>
  <si>
    <t>35</t>
  </si>
  <si>
    <t>山口</t>
  </si>
  <si>
    <t>36</t>
  </si>
  <si>
    <t>徳島</t>
  </si>
  <si>
    <t>37</t>
  </si>
  <si>
    <t>香川</t>
  </si>
  <si>
    <t>38</t>
  </si>
  <si>
    <t>愛媛</t>
  </si>
  <si>
    <t>39</t>
  </si>
  <si>
    <t>高知</t>
  </si>
  <si>
    <t>40</t>
  </si>
  <si>
    <t>福岡</t>
  </si>
  <si>
    <t>41</t>
  </si>
  <si>
    <t>佐賀</t>
  </si>
  <si>
    <t>42</t>
  </si>
  <si>
    <t>長崎</t>
  </si>
  <si>
    <t>43</t>
  </si>
  <si>
    <t>熊本</t>
  </si>
  <si>
    <t>44</t>
  </si>
  <si>
    <t>大分</t>
  </si>
  <si>
    <t>45</t>
  </si>
  <si>
    <t>宮崎</t>
  </si>
  <si>
    <t>46</t>
  </si>
  <si>
    <t>鹿児島</t>
  </si>
  <si>
    <t>47</t>
  </si>
  <si>
    <t>沖縄</t>
  </si>
  <si>
    <t>特定保険料率及び基本保険料率</t>
    <phoneticPr fontId="3"/>
  </si>
  <si>
    <t>参考URL</t>
    <rPh sb="0" eb="2">
      <t>サンコウ</t>
    </rPh>
    <phoneticPr fontId="3"/>
  </si>
  <si>
    <t>年度</t>
    <rPh sb="0" eb="2">
      <t>ネンド</t>
    </rPh>
    <phoneticPr fontId="3"/>
  </si>
  <si>
    <t>都道府県</t>
  </si>
  <si>
    <t>一般保険料率（特定保険料率+基本保険料率）</t>
    <phoneticPr fontId="3"/>
  </si>
  <si>
    <t>特定保険料率</t>
  </si>
  <si>
    <t>基本保険料率</t>
  </si>
  <si>
    <t>令和8年度</t>
    <rPh sb="0" eb="2">
      <t>レイワ</t>
    </rPh>
    <rPh sb="3" eb="5">
      <t>ネンド</t>
    </rPh>
    <phoneticPr fontId="3"/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</si>
  <si>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</si>
  <si>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</si>
  <si>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</si>
  <si>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</si>
  <si>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</si>
  <si>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</si>
  <si>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</si>
  <si>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</si>
  <si>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</si>
  <si>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</si>
  <si>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</si>
  <si>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</si>
  <si>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</si>
  <si>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</si>
  <si>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</si>
  <si>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</si>
  <si>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</si>
  <si>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　   ９．７１％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</si>
  <si>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</si>
  <si>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</si>
  <si>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</si>
  <si>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</si>
  <si>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</si>
  <si>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</si>
  <si>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</si>
  <si>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</si>
  <si>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</si>
  <si>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</si>
  <si>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</si>
  <si>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</si>
  <si>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</si>
  <si>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</si>
  <si>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</si>
  <si>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</si>
  <si>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</si>
  <si>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</si>
  <si>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</si>
  <si>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</si>
  <si>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</si>
  <si>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</si>
  <si>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</si>
  <si>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</si>
  <si>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</si>
  <si>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</si>
  <si>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</si>
  <si>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</si>
  <si>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</si>
  <si>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被保険者の方の保険料額(都道府県別特定保険料及び基本料額)</t>
    <rPh sb="12" eb="17">
      <t>トドウフケンベツ</t>
    </rPh>
    <rPh sb="17" eb="22">
      <t>トクテイホケンリョウ</t>
    </rPh>
    <rPh sb="22" eb="23">
      <t>オヨ</t>
    </rPh>
    <rPh sb="24" eb="28">
      <t>キホンリョウガク</t>
    </rPh>
    <phoneticPr fontId="3"/>
  </si>
  <si>
    <t>支部名</t>
    <rPh sb="0" eb="3">
      <t>シブメイ</t>
    </rPh>
    <phoneticPr fontId="3"/>
  </si>
  <si>
    <t>長崎県</t>
    <rPh sb="0" eb="3">
      <t>ナガサキケン</t>
    </rPh>
    <phoneticPr fontId="3"/>
  </si>
  <si>
    <t>標  準  報  酬</t>
  </si>
  <si>
    <t>報  酬  月  額</t>
  </si>
  <si>
    <t>健康保険料</t>
  </si>
  <si>
    <t>一般保険料</t>
  </si>
  <si>
    <t>特定保険料</t>
  </si>
  <si>
    <t>基本保険料</t>
  </si>
  <si>
    <t>（特定保険料＋基本保険料）</t>
  </si>
  <si>
    <t>等級</t>
  </si>
  <si>
    <t>月  額</t>
  </si>
  <si>
    <t>全  額</t>
  </si>
  <si>
    <t>折半額</t>
  </si>
  <si>
    <t>円以上</t>
  </si>
  <si>
    <t>円未満</t>
  </si>
  <si>
    <t>～</t>
  </si>
  <si>
    <t>データを見て気になったこと</t>
    <rPh sb="4" eb="5">
      <t>ミ</t>
    </rPh>
    <rPh sb="6" eb="7">
      <t>キ</t>
    </rPh>
    <phoneticPr fontId="3"/>
  </si>
  <si>
    <t>インセンティブ制度の総合得点は５項目の評価指標合計。</t>
    <rPh sb="7" eb="9">
      <t>セイド</t>
    </rPh>
    <rPh sb="10" eb="14">
      <t>ソウゴウトクテン</t>
    </rPh>
    <rPh sb="16" eb="18">
      <t>コウモク</t>
    </rPh>
    <rPh sb="19" eb="21">
      <t>ヒョウカ</t>
    </rPh>
    <rPh sb="21" eb="23">
      <t>シヒョウ</t>
    </rPh>
    <rPh sb="23" eb="25">
      <t>ゴウケイ</t>
    </rPh>
    <phoneticPr fontId="3"/>
  </si>
  <si>
    <t>評価指標順位と実施率順位は異なる。</t>
    <rPh sb="0" eb="2">
      <t>ヒョウカ</t>
    </rPh>
    <rPh sb="2" eb="4">
      <t>シヒョウ</t>
    </rPh>
    <rPh sb="4" eb="6">
      <t>ジュンイ</t>
    </rPh>
    <rPh sb="7" eb="10">
      <t>ジッシリツ</t>
    </rPh>
    <rPh sb="10" eb="12">
      <t>ジュンイ</t>
    </rPh>
    <rPh sb="13" eb="14">
      <t>コト</t>
    </rPh>
    <phoneticPr fontId="3"/>
  </si>
  <si>
    <t>評価指標について説明</t>
    <rPh sb="0" eb="4">
      <t>ヒョウカシヒョウ</t>
    </rPh>
    <rPh sb="8" eb="10">
      <t>セツメイ</t>
    </rPh>
    <phoneticPr fontId="3"/>
  </si>
  <si>
    <t>https://www.kyoukaikenpo.or.jp/assets/2025112813.pdf</t>
    <phoneticPr fontId="3"/>
  </si>
  <si>
    <t>分析環境memo</t>
    <rPh sb="0" eb="4">
      <t>ブンセキカンキョウ</t>
    </rPh>
    <phoneticPr fontId="3"/>
  </si>
  <si>
    <t>①Excel</t>
    <phoneticPr fontId="3"/>
  </si>
  <si>
    <t>データ準備、加工、グラフ作成に使用</t>
    <rPh sb="3" eb="5">
      <t>ジュンビ</t>
    </rPh>
    <rPh sb="6" eb="8">
      <t>カコウ</t>
    </rPh>
    <rPh sb="12" eb="14">
      <t>サクセイ</t>
    </rPh>
    <rPh sb="15" eb="17">
      <t>シヨウ</t>
    </rPh>
    <phoneticPr fontId="3"/>
  </si>
  <si>
    <t>②Google Colab</t>
    <phoneticPr fontId="3"/>
  </si>
  <si>
    <t>Python実行環境。環境構築なしでGoogleアカウントがあればクラウドで使用できる。</t>
    <rPh sb="6" eb="8">
      <t>ジッコウ</t>
    </rPh>
    <rPh sb="8" eb="10">
      <t>カンキョウ</t>
    </rPh>
    <rPh sb="11" eb="15">
      <t>カンキョウコウチク</t>
    </rPh>
    <rPh sb="38" eb="40">
      <t>シヨウ</t>
    </rPh>
    <phoneticPr fontId="3"/>
  </si>
  <si>
    <t>Colab へようこそ - Colab</t>
  </si>
  <si>
    <t>https://www.python.jp/train/experience/colab.html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</si>
</sst>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charset val="128"/>
      <scheme val="minor"/>
    </font>
    <font>
      <sz val="11"/>
      <color rgb="FF000000"/>
      <name val="Inter"/>
      <family val="2"/>
    </font>
    <font>
      <b/>
      <sz val="11"/>
      <color rgb="FF000000"/>
      <name val="Inter"/>
      <family val="2"/>
    </font>
    <font>
      <sz val="6"/>
      <name val="游ゴシック"/>
      <family val="2"/>
      <charset val="128"/>
      <scheme val="minor"/>
    </font>
    <font>
      <b/>
      <sz val="11"/>
      <color rgb="FF000000"/>
      <name val="ＭＳ ゴシック"/>
      <family val="3"/>
      <charset val="128"/>
    </font>
    <font>
      <b/>
      <sz val="11"/>
      <color rgb="FF000000"/>
      <name val="Arial"/>
      <family val="2"/>
    </font>
    <font>
      <b/>
      <sz val="11"/>
      <color rgb="FF000000"/>
      <name val="Inter"/>
      <family val="3"/>
      <charset val="128"/>
    </font>
    <font>
      <b/>
      <sz val="11"/>
      <color rgb="FF000000"/>
      <name val="Inter"/>
      <family val="1"/>
      <charset val="128"/>
    </font>
    <font>
      <b/>
      <sz val="12"/>
      <color theme="1"/>
      <name val="游ゴシック"/>
      <family val="3"/>
      <charset val="128"/>
      <scheme val="minor"/>
    </font>
    <font>
      <sz val="9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color rgb="FF000000"/>
      <name val="ＭＳ Ｐゴシック"/>
      <family val="3"/>
      <charset val="128"/>
    </font>
    <font>
      <sz val="8"/>
      <color rgb="FF251D1D"/>
      <name val="Noto Sans JP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E4EC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1" fillId="0" borderId="0" xfId="0" applyFont="1" applyAlignment="1"/>
    <xf numFmtId="10" fontId="1" fillId="0" borderId="0" xfId="0" applyNumberFormat="1" applyFont="1" applyAlignment="1"/>
    <xf numFmtId="49" fontId="1" fillId="0" borderId="0" xfId="0" applyNumberFormat="1" applyFont="1" applyAlignment="1"/>
    <xf numFmtId="49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2" borderId="1" xfId="0" applyFill="1" applyBorder="1">
      <alignment vertical="center"/>
    </xf>
    <xf numFmtId="0" fontId="8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>
      <alignment vertical="center"/>
    </xf>
    <xf numFmtId="0" fontId="9" fillId="0" borderId="10" xfId="0" applyFont="1" applyBorder="1" applyAlignment="1">
      <alignment horizontal="right" vertical="center"/>
    </xf>
    <xf numFmtId="0" fontId="11" fillId="0" borderId="11" xfId="0" applyFont="1" applyBorder="1">
      <alignment vertical="center"/>
    </xf>
    <xf numFmtId="0" fontId="9" fillId="0" borderId="23" xfId="0" applyFont="1" applyBorder="1" applyAlignment="1">
      <alignment horizontal="right" vertical="center"/>
    </xf>
    <xf numFmtId="0" fontId="9" fillId="0" borderId="2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3" fontId="9" fillId="0" borderId="18" xfId="0" applyNumberFormat="1" applyFont="1" applyBorder="1">
      <alignment vertical="center"/>
    </xf>
    <xf numFmtId="0" fontId="9" fillId="0" borderId="12" xfId="0" applyFont="1" applyBorder="1">
      <alignment vertical="center"/>
    </xf>
    <xf numFmtId="0" fontId="9" fillId="0" borderId="13" xfId="0" applyFont="1" applyBorder="1">
      <alignment vertical="center"/>
    </xf>
    <xf numFmtId="3" fontId="9" fillId="0" borderId="25" xfId="0" applyNumberFormat="1" applyFont="1" applyBorder="1">
      <alignment vertical="center"/>
    </xf>
    <xf numFmtId="4" fontId="9" fillId="0" borderId="18" xfId="0" applyNumberFormat="1" applyFont="1" applyBorder="1">
      <alignment vertical="center"/>
    </xf>
    <xf numFmtId="4" fontId="9" fillId="0" borderId="26" xfId="0" applyNumberFormat="1" applyFont="1" applyBorder="1">
      <alignment vertical="center"/>
    </xf>
    <xf numFmtId="0" fontId="9" fillId="3" borderId="16" xfId="0" applyFont="1" applyFill="1" applyBorder="1" applyAlignment="1">
      <alignment horizontal="center" vertical="center"/>
    </xf>
    <xf numFmtId="3" fontId="9" fillId="3" borderId="1" xfId="0" applyNumberFormat="1" applyFont="1" applyFill="1" applyBorder="1">
      <alignment vertical="center"/>
    </xf>
    <xf numFmtId="3" fontId="9" fillId="3" borderId="12" xfId="0" applyNumberFormat="1" applyFont="1" applyFill="1" applyBorder="1">
      <alignment vertical="center"/>
    </xf>
    <xf numFmtId="0" fontId="9" fillId="3" borderId="13" xfId="0" applyFont="1" applyFill="1" applyBorder="1">
      <alignment vertical="center"/>
    </xf>
    <xf numFmtId="3" fontId="9" fillId="3" borderId="27" xfId="0" applyNumberFormat="1" applyFont="1" applyFill="1" applyBorder="1">
      <alignment vertical="center"/>
    </xf>
    <xf numFmtId="4" fontId="9" fillId="3" borderId="1" xfId="0" applyNumberFormat="1" applyFont="1" applyFill="1" applyBorder="1">
      <alignment vertical="center"/>
    </xf>
    <xf numFmtId="4" fontId="9" fillId="3" borderId="20" xfId="0" applyNumberFormat="1" applyFont="1" applyFill="1" applyBorder="1">
      <alignment vertical="center"/>
    </xf>
    <xf numFmtId="3" fontId="9" fillId="0" borderId="1" xfId="0" applyNumberFormat="1" applyFont="1" applyBorder="1">
      <alignment vertical="center"/>
    </xf>
    <xf numFmtId="3" fontId="9" fillId="0" borderId="9" xfId="0" applyNumberFormat="1" applyFont="1" applyBorder="1">
      <alignment vertical="center"/>
    </xf>
    <xf numFmtId="3" fontId="9" fillId="0" borderId="27" xfId="0" applyNumberFormat="1" applyFont="1" applyBorder="1">
      <alignment vertical="center"/>
    </xf>
    <xf numFmtId="4" fontId="9" fillId="0" borderId="1" xfId="0" applyNumberFormat="1" applyFont="1" applyBorder="1">
      <alignment vertical="center"/>
    </xf>
    <xf numFmtId="4" fontId="9" fillId="0" borderId="20" xfId="0" applyNumberFormat="1" applyFont="1" applyBorder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>
      <alignment vertical="center"/>
    </xf>
    <xf numFmtId="0" fontId="9" fillId="3" borderId="28" xfId="0" applyFont="1" applyFill="1" applyBorder="1" applyAlignment="1">
      <alignment horizontal="center" vertical="center"/>
    </xf>
    <xf numFmtId="3" fontId="9" fillId="3" borderId="29" xfId="0" applyNumberFormat="1" applyFont="1" applyFill="1" applyBorder="1">
      <alignment vertical="center"/>
    </xf>
    <xf numFmtId="3" fontId="9" fillId="3" borderId="30" xfId="0" applyNumberFormat="1" applyFont="1" applyFill="1" applyBorder="1">
      <alignment vertical="center"/>
    </xf>
    <xf numFmtId="4" fontId="9" fillId="3" borderId="29" xfId="0" applyNumberFormat="1" applyFont="1" applyFill="1" applyBorder="1">
      <alignment vertical="center"/>
    </xf>
    <xf numFmtId="4" fontId="9" fillId="3" borderId="32" xfId="0" applyNumberFormat="1" applyFont="1" applyFill="1" applyBorder="1">
      <alignment vertical="center"/>
    </xf>
    <xf numFmtId="0" fontId="12" fillId="4" borderId="38" xfId="0" applyFont="1" applyFill="1" applyBorder="1" applyAlignment="1">
      <alignment horizontal="center" vertical="center" wrapText="1"/>
    </xf>
    <xf numFmtId="0" fontId="13" fillId="0" borderId="0" xfId="1">
      <alignment vertical="center"/>
    </xf>
    <xf numFmtId="0" fontId="14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13" fillId="0" borderId="1" xfId="1" applyBorder="1" applyAlignment="1">
      <alignment vertical="center" wrapText="1"/>
    </xf>
    <xf numFmtId="0" fontId="12" fillId="5" borderId="37" xfId="0" applyFont="1" applyFill="1" applyBorder="1" applyAlignment="1">
      <alignment horizontal="center" vertical="center" wrapText="1"/>
    </xf>
    <xf numFmtId="10" fontId="12" fillId="5" borderId="37" xfId="0" applyNumberFormat="1" applyFont="1" applyFill="1" applyBorder="1" applyAlignment="1">
      <alignment horizontal="right" vertical="center" wrapText="1"/>
    </xf>
    <xf numFmtId="10" fontId="12" fillId="5" borderId="37" xfId="0" applyNumberFormat="1" applyFont="1" applyFill="1" applyBorder="1" applyAlignment="1">
      <alignment horizontal="center" vertical="center" wrapText="1"/>
    </xf>
    <xf numFmtId="0" fontId="12" fillId="5" borderId="37" xfId="0" applyFont="1" applyFill="1" applyBorder="1" applyAlignment="1">
      <alignment horizontal="right" vertical="center" wrapText="1"/>
    </xf>
    <xf numFmtId="10" fontId="10" fillId="7" borderId="9" xfId="0" applyNumberFormat="1" applyFont="1" applyFill="1" applyBorder="1" applyAlignment="1">
      <alignment horizontal="center" vertical="center"/>
    </xf>
    <xf numFmtId="10" fontId="10" fillId="7" borderId="27" xfId="0" applyNumberFormat="1" applyFont="1" applyFill="1" applyBorder="1" applyAlignment="1">
      <alignment horizontal="center" vertical="center"/>
    </xf>
    <xf numFmtId="10" fontId="10" fillId="7" borderId="42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3" borderId="31" xfId="0" applyFont="1" applyFill="1" applyBorder="1" applyAlignment="1">
      <alignment vertical="center"/>
    </xf>
    <xf numFmtId="0" fontId="9" fillId="3" borderId="36" xfId="0" applyFont="1" applyFill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iew.officeapps.live.com/op/view.aspx?src=https%3A%2F%2Fwww.kyoukaikenpo.or.jp%2Fassets%2Fr8tokutei.xlsx&amp;wdOrigin=BROWSELINK" TargetMode="External"/><Relationship Id="rId1" Type="http://schemas.openxmlformats.org/officeDocument/2006/relationships/hyperlink" Target="https://www.kyoukaikenpo.or.jp/about/business/insurance_rate/00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kyoukaikenpo.or.jp/about/business/insurance_rate/001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youkaikenpo.or.jp/assets/2025112813.pd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colab.research.google.com/?hl=ja" TargetMode="External"/><Relationship Id="rId1" Type="http://schemas.openxmlformats.org/officeDocument/2006/relationships/hyperlink" Target="https://www.python.jp/train/experience/colab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DD879-5CBE-47CE-A6A5-650A479A96BE}">
  <dimension ref="A1:E5"/>
  <sheetViews>
    <sheetView workbookViewId="0">
      <selection activeCell="B16" sqref="B16"/>
    </sheetView>
  </sheetViews>
  <sheetFormatPr defaultRowHeight="18"/>
  <cols>
    <col min="2" max="3" width="34" bestFit="1" customWidth="1"/>
    <col min="4" max="4" width="36.25" customWidth="1"/>
    <col min="5" max="5" width="38.875" customWidth="1"/>
  </cols>
  <sheetData>
    <row r="1" spans="1:5" ht="20.100000000000001">
      <c r="A1" s="12" t="s">
        <v>0</v>
      </c>
    </row>
    <row r="2" spans="1: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</row>
    <row r="3" spans="1:5">
      <c r="A3" s="14">
        <v>1</v>
      </c>
      <c r="B3" s="13" t="s">
        <v>6</v>
      </c>
      <c r="C3" s="13" t="s">
        <v>7</v>
      </c>
      <c r="D3" s="13"/>
      <c r="E3" s="13"/>
    </row>
    <row r="4" spans="1:5" ht="36">
      <c r="A4" s="14">
        <v>2</v>
      </c>
      <c r="B4" s="13" t="s">
        <v>8</v>
      </c>
      <c r="C4" s="13" t="s">
        <v>8</v>
      </c>
      <c r="D4" s="56" t="s">
        <v>9</v>
      </c>
      <c r="E4" s="13"/>
    </row>
    <row r="5" spans="1:5" ht="72">
      <c r="A5" s="14">
        <v>3</v>
      </c>
      <c r="B5" s="55" t="s">
        <v>10</v>
      </c>
      <c r="C5" s="13" t="s">
        <v>11</v>
      </c>
      <c r="D5" s="56" t="s">
        <v>12</v>
      </c>
      <c r="E5" s="13"/>
    </row>
  </sheetData>
  <phoneticPr fontId="3"/>
  <hyperlinks>
    <hyperlink ref="D4" r:id="rId1" xr:uid="{16F965BF-1A09-48F9-BF66-A098E2AFEBA6}"/>
    <hyperlink ref="D5" r:id="rId2" xr:uid="{6866529A-70A7-4F73-A5F1-9DBDECDE6F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F1CF-D980-4502-93FA-40F9345A62B0}">
  <dimension ref="A1:E29"/>
  <sheetViews>
    <sheetView workbookViewId="0">
      <selection activeCell="J14" sqref="J14"/>
    </sheetView>
  </sheetViews>
  <sheetFormatPr defaultRowHeight="18"/>
  <cols>
    <col min="2" max="2" width="22.125" bestFit="1" customWidth="1"/>
    <col min="3" max="3" width="26" customWidth="1"/>
  </cols>
  <sheetData>
    <row r="1" spans="1:5" ht="20.100000000000001">
      <c r="A1" s="12" t="s">
        <v>13</v>
      </c>
    </row>
    <row r="2" spans="1:5" s="15" customFormat="1">
      <c r="A2" s="14" t="s">
        <v>1</v>
      </c>
      <c r="B2" s="14" t="s">
        <v>14</v>
      </c>
      <c r="C2" s="14" t="s">
        <v>15</v>
      </c>
      <c r="D2" s="14" t="s">
        <v>16</v>
      </c>
      <c r="E2" s="14" t="s">
        <v>5</v>
      </c>
    </row>
    <row r="3" spans="1:5">
      <c r="A3" s="14">
        <v>1</v>
      </c>
      <c r="B3" s="13" t="s">
        <v>17</v>
      </c>
      <c r="C3" s="13" t="s">
        <v>18</v>
      </c>
      <c r="D3" s="13" t="s">
        <v>19</v>
      </c>
      <c r="E3" s="13"/>
    </row>
    <row r="4" spans="1:5">
      <c r="A4" s="14">
        <v>2</v>
      </c>
      <c r="B4" s="13" t="s">
        <v>20</v>
      </c>
      <c r="C4" s="13" t="s">
        <v>21</v>
      </c>
      <c r="D4" s="13" t="s">
        <v>22</v>
      </c>
      <c r="E4" s="13"/>
    </row>
    <row r="5" spans="1:5">
      <c r="A5" s="14">
        <v>3</v>
      </c>
      <c r="B5" s="13" t="s">
        <v>23</v>
      </c>
      <c r="C5" s="13" t="s">
        <v>23</v>
      </c>
      <c r="D5" s="13" t="s">
        <v>19</v>
      </c>
      <c r="E5" s="13"/>
    </row>
    <row r="6" spans="1:5">
      <c r="A6" s="14">
        <v>4</v>
      </c>
      <c r="B6" s="13" t="s">
        <v>24</v>
      </c>
      <c r="C6" s="13" t="s">
        <v>25</v>
      </c>
      <c r="D6" s="13" t="s">
        <v>19</v>
      </c>
      <c r="E6" s="13"/>
    </row>
    <row r="7" spans="1:5">
      <c r="A7" s="14">
        <v>5</v>
      </c>
      <c r="B7" s="16" t="s">
        <v>26</v>
      </c>
      <c r="C7" s="13" t="s">
        <v>27</v>
      </c>
      <c r="D7" s="13" t="s">
        <v>22</v>
      </c>
      <c r="E7" s="13"/>
    </row>
    <row r="8" spans="1:5">
      <c r="A8" s="14">
        <v>6</v>
      </c>
      <c r="B8" s="13" t="s">
        <v>28</v>
      </c>
      <c r="C8" s="13"/>
      <c r="D8" s="13" t="s">
        <v>22</v>
      </c>
      <c r="E8" s="13"/>
    </row>
    <row r="9" spans="1:5">
      <c r="A9" s="14">
        <v>7</v>
      </c>
      <c r="B9" s="13" t="s">
        <v>29</v>
      </c>
      <c r="C9" s="13"/>
      <c r="D9" s="13" t="s">
        <v>22</v>
      </c>
      <c r="E9" s="13"/>
    </row>
    <row r="10" spans="1:5">
      <c r="A10" s="14">
        <v>8</v>
      </c>
      <c r="B10" s="13" t="s">
        <v>30</v>
      </c>
      <c r="C10" s="13"/>
      <c r="D10" s="13" t="s">
        <v>22</v>
      </c>
      <c r="E10" s="13"/>
    </row>
    <row r="11" spans="1:5">
      <c r="A11" s="14">
        <v>9</v>
      </c>
      <c r="B11" s="13" t="s">
        <v>31</v>
      </c>
      <c r="C11" s="13"/>
      <c r="D11" s="13" t="s">
        <v>22</v>
      </c>
      <c r="E11" s="13"/>
    </row>
    <row r="12" spans="1:5">
      <c r="A12" s="14">
        <v>10</v>
      </c>
      <c r="B12" s="13" t="s">
        <v>32</v>
      </c>
      <c r="C12" s="13"/>
      <c r="D12" s="13" t="s">
        <v>22</v>
      </c>
      <c r="E12" s="13"/>
    </row>
    <row r="13" spans="1:5">
      <c r="A13" s="14">
        <v>11</v>
      </c>
      <c r="B13" s="13" t="s">
        <v>33</v>
      </c>
      <c r="C13" s="13"/>
      <c r="D13" s="13" t="s">
        <v>22</v>
      </c>
      <c r="E13" s="13"/>
    </row>
    <row r="14" spans="1:5">
      <c r="A14" s="14">
        <v>12</v>
      </c>
      <c r="B14" s="13" t="s">
        <v>34</v>
      </c>
      <c r="C14" s="13"/>
      <c r="D14" s="13" t="s">
        <v>22</v>
      </c>
      <c r="E14" s="13"/>
    </row>
    <row r="15" spans="1:5">
      <c r="A15" s="14">
        <v>13</v>
      </c>
      <c r="B15" s="13" t="s">
        <v>35</v>
      </c>
      <c r="C15" s="13"/>
      <c r="D15" s="13" t="s">
        <v>22</v>
      </c>
      <c r="E15" s="13"/>
    </row>
    <row r="16" spans="1:5">
      <c r="A16" s="14">
        <v>14</v>
      </c>
      <c r="B16" s="13" t="s">
        <v>36</v>
      </c>
      <c r="C16" s="13"/>
      <c r="D16" s="13" t="s">
        <v>22</v>
      </c>
      <c r="E16" s="13"/>
    </row>
    <row r="17" spans="1:5">
      <c r="A17" s="14">
        <v>15</v>
      </c>
      <c r="B17" s="13" t="s">
        <v>37</v>
      </c>
      <c r="C17" s="13"/>
      <c r="D17" s="13" t="s">
        <v>22</v>
      </c>
      <c r="E17" s="13"/>
    </row>
    <row r="18" spans="1:5">
      <c r="A18" s="14">
        <v>16</v>
      </c>
      <c r="B18" s="13" t="s">
        <v>38</v>
      </c>
      <c r="C18" s="13"/>
      <c r="D18" s="13" t="s">
        <v>22</v>
      </c>
      <c r="E18" s="13"/>
    </row>
    <row r="19" spans="1:5">
      <c r="A19" s="14">
        <v>17</v>
      </c>
      <c r="B19" s="13" t="s">
        <v>39</v>
      </c>
      <c r="C19" s="13"/>
      <c r="D19" s="13" t="s">
        <v>22</v>
      </c>
      <c r="E19" s="13"/>
    </row>
    <row r="20" spans="1:5">
      <c r="A20" s="14">
        <v>18</v>
      </c>
      <c r="B20" s="13" t="s">
        <v>40</v>
      </c>
      <c r="C20" s="13"/>
      <c r="D20" s="13" t="s">
        <v>22</v>
      </c>
      <c r="E20" s="13"/>
    </row>
    <row r="21" spans="1:5">
      <c r="A21" s="14">
        <v>19</v>
      </c>
      <c r="B21" s="13" t="s">
        <v>41</v>
      </c>
      <c r="C21" s="13"/>
      <c r="D21" s="13" t="s">
        <v>22</v>
      </c>
      <c r="E21" s="13"/>
    </row>
    <row r="22" spans="1:5">
      <c r="A22" s="14">
        <v>20</v>
      </c>
      <c r="B22" s="13" t="s">
        <v>42</v>
      </c>
      <c r="C22" s="13"/>
      <c r="D22" s="13" t="s">
        <v>22</v>
      </c>
      <c r="E22" s="13"/>
    </row>
    <row r="23" spans="1:5">
      <c r="A23" s="14">
        <v>21</v>
      </c>
      <c r="B23" s="13" t="s">
        <v>43</v>
      </c>
      <c r="C23" s="13"/>
      <c r="D23" s="13" t="s">
        <v>22</v>
      </c>
      <c r="E23" s="13"/>
    </row>
    <row r="24" spans="1:5">
      <c r="A24" s="14">
        <v>22</v>
      </c>
      <c r="B24" s="13" t="s">
        <v>44</v>
      </c>
      <c r="C24" s="13"/>
      <c r="D24" s="13" t="s">
        <v>22</v>
      </c>
      <c r="E24" s="13"/>
    </row>
    <row r="25" spans="1:5">
      <c r="A25" s="14">
        <v>23</v>
      </c>
      <c r="B25" s="13" t="s">
        <v>45</v>
      </c>
      <c r="C25" s="13"/>
      <c r="D25" s="13" t="s">
        <v>22</v>
      </c>
      <c r="E25" s="13"/>
    </row>
    <row r="26" spans="1:5">
      <c r="A26" s="14">
        <v>24</v>
      </c>
      <c r="B26" s="13" t="s">
        <v>46</v>
      </c>
      <c r="C26" s="13"/>
      <c r="D26" s="13" t="s">
        <v>22</v>
      </c>
      <c r="E26" s="13"/>
    </row>
    <row r="27" spans="1:5">
      <c r="A27" s="14">
        <v>25</v>
      </c>
      <c r="B27" s="13" t="s">
        <v>47</v>
      </c>
      <c r="C27" s="13"/>
      <c r="D27" s="13" t="s">
        <v>22</v>
      </c>
      <c r="E27" s="13"/>
    </row>
    <row r="28" spans="1:5">
      <c r="A28" s="14">
        <v>26</v>
      </c>
      <c r="B28" s="13" t="s">
        <v>48</v>
      </c>
      <c r="C28" s="13"/>
      <c r="D28" s="13" t="s">
        <v>22</v>
      </c>
      <c r="E28" s="13"/>
    </row>
    <row r="29" spans="1:5">
      <c r="A29" s="14">
        <v>27</v>
      </c>
      <c r="B29" s="13" t="s">
        <v>49</v>
      </c>
      <c r="C29" s="13"/>
      <c r="D29" s="13" t="s">
        <v>22</v>
      </c>
      <c r="E29" s="13"/>
    </row>
  </sheetData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4748-7F39-401D-A7DE-98C872EDA6B3}">
  <dimension ref="A1:AA49"/>
  <sheetViews>
    <sheetView tabSelected="1" workbookViewId="0">
      <selection activeCell="A2" sqref="A2:XFD2"/>
    </sheetView>
  </sheetViews>
  <sheetFormatPr defaultRowHeight="18"/>
  <cols>
    <col min="1" max="1" width="9.5" bestFit="1" customWidth="1"/>
    <col min="2" max="2" width="9.5" customWidth="1"/>
    <col min="3" max="3" width="9.5" style="4" customWidth="1"/>
    <col min="10" max="17" width="8.625" customWidth="1"/>
  </cols>
  <sheetData>
    <row r="1" spans="1:27">
      <c r="A1" t="s">
        <v>50</v>
      </c>
    </row>
    <row r="2" spans="1:27" s="5" customFormat="1" ht="76.5" customHeight="1">
      <c r="A2" s="6" t="s">
        <v>51</v>
      </c>
      <c r="B2" s="7" t="s">
        <v>20</v>
      </c>
      <c r="C2" s="8" t="s">
        <v>23</v>
      </c>
      <c r="D2" s="6" t="s">
        <v>24</v>
      </c>
      <c r="E2" s="7" t="s">
        <v>26</v>
      </c>
      <c r="F2" s="6" t="s">
        <v>28</v>
      </c>
      <c r="G2" s="6" t="s">
        <v>29</v>
      </c>
      <c r="H2" s="9" t="s">
        <v>52</v>
      </c>
      <c r="I2" s="10" t="s">
        <v>53</v>
      </c>
      <c r="J2" s="9" t="s">
        <v>54</v>
      </c>
      <c r="K2" s="10" t="s">
        <v>55</v>
      </c>
      <c r="L2" s="9" t="s">
        <v>56</v>
      </c>
      <c r="M2" s="10" t="s">
        <v>57</v>
      </c>
      <c r="N2" s="9" t="s">
        <v>58</v>
      </c>
      <c r="O2" s="10" t="s">
        <v>59</v>
      </c>
      <c r="P2" s="9" t="s">
        <v>60</v>
      </c>
      <c r="Q2" s="10" t="s">
        <v>61</v>
      </c>
      <c r="R2" s="9" t="s">
        <v>62</v>
      </c>
      <c r="S2" s="7" t="s">
        <v>63</v>
      </c>
      <c r="T2" s="9" t="s">
        <v>64</v>
      </c>
      <c r="U2" s="10" t="s">
        <v>65</v>
      </c>
      <c r="V2" s="9" t="s">
        <v>66</v>
      </c>
      <c r="W2" s="10" t="s">
        <v>67</v>
      </c>
      <c r="X2" s="9" t="s">
        <v>68</v>
      </c>
      <c r="Y2" s="10" t="s">
        <v>69</v>
      </c>
      <c r="Z2" s="9" t="s">
        <v>70</v>
      </c>
      <c r="AA2" s="10" t="s">
        <v>71</v>
      </c>
    </row>
    <row r="3" spans="1:27">
      <c r="A3" s="1" t="s">
        <v>72</v>
      </c>
      <c r="B3" s="1">
        <v>2024</v>
      </c>
      <c r="C3" s="3" t="s">
        <v>73</v>
      </c>
      <c r="D3" s="1" t="s">
        <v>74</v>
      </c>
      <c r="E3" s="1">
        <v>10.28</v>
      </c>
      <c r="F3" s="1">
        <v>296.5</v>
      </c>
      <c r="G3" s="1">
        <v>39</v>
      </c>
      <c r="H3" s="1">
        <v>67.3</v>
      </c>
      <c r="I3" s="1">
        <v>30</v>
      </c>
      <c r="J3" s="1">
        <v>71.400000000000006</v>
      </c>
      <c r="K3" s="1">
        <v>18</v>
      </c>
      <c r="L3" s="1">
        <v>59.6</v>
      </c>
      <c r="M3" s="1">
        <v>45</v>
      </c>
      <c r="N3" s="1">
        <v>47.8</v>
      </c>
      <c r="O3" s="1">
        <v>26</v>
      </c>
      <c r="P3" s="1">
        <v>50.5</v>
      </c>
      <c r="Q3" s="1">
        <v>20</v>
      </c>
      <c r="R3" s="2">
        <v>0.56100000000000005</v>
      </c>
      <c r="S3" s="1">
        <v>41</v>
      </c>
      <c r="T3" s="2">
        <v>0.16</v>
      </c>
      <c r="U3" s="1">
        <v>41</v>
      </c>
      <c r="V3" s="2">
        <v>0.32200000000000001</v>
      </c>
      <c r="W3" s="1">
        <v>45</v>
      </c>
      <c r="X3" s="2">
        <v>0.33300000000000002</v>
      </c>
      <c r="Y3" s="1">
        <v>32</v>
      </c>
      <c r="Z3" s="2">
        <v>0.879</v>
      </c>
      <c r="AA3" s="1">
        <v>16</v>
      </c>
    </row>
    <row r="4" spans="1:27">
      <c r="A4" s="1" t="s">
        <v>72</v>
      </c>
      <c r="B4" s="1">
        <v>2024</v>
      </c>
      <c r="C4" s="3" t="s">
        <v>75</v>
      </c>
      <c r="D4" s="1" t="s">
        <v>76</v>
      </c>
      <c r="E4" s="1">
        <v>9.85</v>
      </c>
      <c r="F4" s="1">
        <v>292.7</v>
      </c>
      <c r="G4" s="1">
        <v>43</v>
      </c>
      <c r="H4" s="1">
        <v>71</v>
      </c>
      <c r="I4" s="1">
        <v>24</v>
      </c>
      <c r="J4" s="1">
        <v>76.7</v>
      </c>
      <c r="K4" s="1">
        <v>15</v>
      </c>
      <c r="L4" s="1">
        <v>48.3</v>
      </c>
      <c r="M4" s="1">
        <v>46</v>
      </c>
      <c r="N4" s="1">
        <v>40</v>
      </c>
      <c r="O4" s="1">
        <v>45</v>
      </c>
      <c r="P4" s="1">
        <v>56.7</v>
      </c>
      <c r="Q4" s="1">
        <v>11</v>
      </c>
      <c r="R4" s="2">
        <v>0.63200000000000001</v>
      </c>
      <c r="S4" s="1">
        <v>21</v>
      </c>
      <c r="T4" s="2">
        <v>0.29199999999999998</v>
      </c>
      <c r="U4" s="1">
        <v>9</v>
      </c>
      <c r="V4" s="2">
        <v>0.316</v>
      </c>
      <c r="W4" s="1">
        <v>46</v>
      </c>
      <c r="X4" s="2">
        <v>0.32900000000000001</v>
      </c>
      <c r="Y4" s="1">
        <v>33</v>
      </c>
      <c r="Z4" s="2">
        <v>0.88400000000000001</v>
      </c>
      <c r="AA4" s="1">
        <v>13</v>
      </c>
    </row>
    <row r="5" spans="1:27">
      <c r="A5" s="1" t="s">
        <v>72</v>
      </c>
      <c r="B5" s="1">
        <v>2024</v>
      </c>
      <c r="C5" s="3" t="s">
        <v>77</v>
      </c>
      <c r="D5" s="1" t="s">
        <v>78</v>
      </c>
      <c r="E5" s="1">
        <v>9.51</v>
      </c>
      <c r="F5" s="1">
        <v>330.5</v>
      </c>
      <c r="G5" s="1">
        <v>15</v>
      </c>
      <c r="H5" s="1">
        <v>74.900000000000006</v>
      </c>
      <c r="I5" s="1">
        <v>16</v>
      </c>
      <c r="J5" s="1">
        <v>65.900000000000006</v>
      </c>
      <c r="K5" s="1">
        <v>29</v>
      </c>
      <c r="L5" s="1">
        <v>79.3</v>
      </c>
      <c r="M5" s="1">
        <v>24</v>
      </c>
      <c r="N5" s="1">
        <v>48.5</v>
      </c>
      <c r="O5" s="1">
        <v>24</v>
      </c>
      <c r="P5" s="1">
        <v>61.9</v>
      </c>
      <c r="Q5" s="1">
        <v>6</v>
      </c>
      <c r="R5" s="2">
        <v>0.65700000000000003</v>
      </c>
      <c r="S5" s="1">
        <v>14</v>
      </c>
      <c r="T5" s="2">
        <v>0.218</v>
      </c>
      <c r="U5" s="1">
        <v>26</v>
      </c>
      <c r="V5" s="2">
        <v>0.33200000000000002</v>
      </c>
      <c r="W5" s="1">
        <v>24</v>
      </c>
      <c r="X5" s="2">
        <v>0.32800000000000001</v>
      </c>
      <c r="Y5" s="1">
        <v>36</v>
      </c>
      <c r="Z5" s="2">
        <v>0.90200000000000002</v>
      </c>
      <c r="AA5" s="1">
        <v>4</v>
      </c>
    </row>
    <row r="6" spans="1:27">
      <c r="A6" s="1" t="s">
        <v>72</v>
      </c>
      <c r="B6" s="1">
        <v>2024</v>
      </c>
      <c r="C6" s="3" t="s">
        <v>79</v>
      </c>
      <c r="D6" s="1" t="s">
        <v>80</v>
      </c>
      <c r="E6" s="1">
        <v>10.1</v>
      </c>
      <c r="F6" s="1">
        <v>319.60000000000002</v>
      </c>
      <c r="G6" s="1">
        <v>21</v>
      </c>
      <c r="H6" s="1">
        <v>74.099999999999994</v>
      </c>
      <c r="I6" s="1">
        <v>17</v>
      </c>
      <c r="J6" s="1">
        <v>77</v>
      </c>
      <c r="K6" s="1">
        <v>13</v>
      </c>
      <c r="L6" s="1">
        <v>60.5</v>
      </c>
      <c r="M6" s="1">
        <v>43</v>
      </c>
      <c r="N6" s="1">
        <v>49.4</v>
      </c>
      <c r="O6" s="1">
        <v>21</v>
      </c>
      <c r="P6" s="1">
        <v>58.6</v>
      </c>
      <c r="Q6" s="1">
        <v>10</v>
      </c>
      <c r="R6" s="2">
        <v>0.65800000000000003</v>
      </c>
      <c r="S6" s="1">
        <v>12</v>
      </c>
      <c r="T6" s="2">
        <v>0.26600000000000001</v>
      </c>
      <c r="U6" s="1">
        <v>15</v>
      </c>
      <c r="V6" s="2">
        <v>0.32200000000000001</v>
      </c>
      <c r="W6" s="1">
        <v>43</v>
      </c>
      <c r="X6" s="2">
        <v>0.33900000000000002</v>
      </c>
      <c r="Y6" s="1">
        <v>26</v>
      </c>
      <c r="Z6" s="2">
        <v>0.89400000000000002</v>
      </c>
      <c r="AA6" s="1">
        <v>6</v>
      </c>
    </row>
    <row r="7" spans="1:27">
      <c r="A7" s="1" t="s">
        <v>72</v>
      </c>
      <c r="B7" s="1">
        <v>2024</v>
      </c>
      <c r="C7" s="3" t="s">
        <v>81</v>
      </c>
      <c r="D7" s="1" t="s">
        <v>82</v>
      </c>
      <c r="E7" s="1">
        <v>10.01</v>
      </c>
      <c r="F7" s="1">
        <v>341.9</v>
      </c>
      <c r="G7" s="1">
        <v>8</v>
      </c>
      <c r="H7" s="1">
        <v>69.900000000000006</v>
      </c>
      <c r="I7" s="1">
        <v>28</v>
      </c>
      <c r="J7" s="1">
        <v>77.8</v>
      </c>
      <c r="K7" s="1">
        <v>12</v>
      </c>
      <c r="L7" s="1">
        <v>93.1</v>
      </c>
      <c r="M7" s="1">
        <v>9</v>
      </c>
      <c r="N7" s="1">
        <v>44.5</v>
      </c>
      <c r="O7" s="1">
        <v>37</v>
      </c>
      <c r="P7" s="1">
        <v>56.7</v>
      </c>
      <c r="Q7" s="1">
        <v>12</v>
      </c>
      <c r="R7" s="2">
        <v>0.64300000000000002</v>
      </c>
      <c r="S7" s="1">
        <v>17</v>
      </c>
      <c r="T7" s="2">
        <v>0.32800000000000001</v>
      </c>
      <c r="U7" s="1">
        <v>6</v>
      </c>
      <c r="V7" s="2">
        <v>0.34</v>
      </c>
      <c r="W7" s="1">
        <v>9</v>
      </c>
      <c r="X7" s="2">
        <v>0.36</v>
      </c>
      <c r="Y7" s="1">
        <v>12</v>
      </c>
      <c r="Z7" s="2">
        <v>0.88600000000000001</v>
      </c>
      <c r="AA7" s="1">
        <v>11</v>
      </c>
    </row>
    <row r="8" spans="1:27">
      <c r="A8" s="1" t="s">
        <v>72</v>
      </c>
      <c r="B8" s="1">
        <v>2024</v>
      </c>
      <c r="C8" s="3" t="s">
        <v>83</v>
      </c>
      <c r="D8" s="1" t="s">
        <v>84</v>
      </c>
      <c r="E8" s="1">
        <v>9.75</v>
      </c>
      <c r="F8" s="1">
        <v>349.6</v>
      </c>
      <c r="G8" s="1">
        <v>4</v>
      </c>
      <c r="H8" s="1">
        <v>88.7</v>
      </c>
      <c r="I8" s="1">
        <v>1</v>
      </c>
      <c r="J8" s="1">
        <v>78.8</v>
      </c>
      <c r="K8" s="1">
        <v>9</v>
      </c>
      <c r="L8" s="1">
        <v>75.5</v>
      </c>
      <c r="M8" s="1">
        <v>30</v>
      </c>
      <c r="N8" s="1">
        <v>45</v>
      </c>
      <c r="O8" s="1">
        <v>33</v>
      </c>
      <c r="P8" s="1">
        <v>61.6</v>
      </c>
      <c r="Q8" s="1">
        <v>7</v>
      </c>
      <c r="R8" s="2">
        <v>0.79200000000000004</v>
      </c>
      <c r="S8" s="1">
        <v>1</v>
      </c>
      <c r="T8" s="2">
        <v>0.30599999999999999</v>
      </c>
      <c r="U8" s="1">
        <v>8</v>
      </c>
      <c r="V8" s="2">
        <v>0.33</v>
      </c>
      <c r="W8" s="1">
        <v>30</v>
      </c>
      <c r="X8" s="2">
        <v>0.35799999999999998</v>
      </c>
      <c r="Y8" s="1">
        <v>13</v>
      </c>
      <c r="Z8" s="2">
        <v>0.90200000000000002</v>
      </c>
      <c r="AA8" s="1">
        <v>3</v>
      </c>
    </row>
    <row r="9" spans="1:27">
      <c r="A9" s="1" t="s">
        <v>72</v>
      </c>
      <c r="B9" s="1">
        <v>2024</v>
      </c>
      <c r="C9" s="3" t="s">
        <v>85</v>
      </c>
      <c r="D9" s="1" t="s">
        <v>86</v>
      </c>
      <c r="E9" s="1">
        <v>9.5</v>
      </c>
      <c r="F9" s="1">
        <v>336.8</v>
      </c>
      <c r="G9" s="1">
        <v>11</v>
      </c>
      <c r="H9" s="1">
        <v>76</v>
      </c>
      <c r="I9" s="1">
        <v>13</v>
      </c>
      <c r="J9" s="1">
        <v>66.400000000000006</v>
      </c>
      <c r="K9" s="1">
        <v>27</v>
      </c>
      <c r="L9" s="1">
        <v>84.6</v>
      </c>
      <c r="M9" s="1">
        <v>17</v>
      </c>
      <c r="N9" s="1">
        <v>46.7</v>
      </c>
      <c r="O9" s="1">
        <v>30</v>
      </c>
      <c r="P9" s="1">
        <v>63.1</v>
      </c>
      <c r="Q9" s="1">
        <v>4</v>
      </c>
      <c r="R9" s="2">
        <v>0.628</v>
      </c>
      <c r="S9" s="1">
        <v>24</v>
      </c>
      <c r="T9" s="2">
        <v>0.25800000000000001</v>
      </c>
      <c r="U9" s="1">
        <v>18</v>
      </c>
      <c r="V9" s="2">
        <v>0.33500000000000002</v>
      </c>
      <c r="W9" s="1">
        <v>17</v>
      </c>
      <c r="X9" s="2">
        <v>0.32200000000000001</v>
      </c>
      <c r="Y9" s="1">
        <v>39</v>
      </c>
      <c r="Z9" s="2">
        <v>0.88700000000000001</v>
      </c>
      <c r="AA9" s="1">
        <v>9</v>
      </c>
    </row>
    <row r="10" spans="1:27">
      <c r="A10" s="1" t="s">
        <v>72</v>
      </c>
      <c r="B10" s="1">
        <v>2024</v>
      </c>
      <c r="C10" s="3" t="s">
        <v>87</v>
      </c>
      <c r="D10" s="1" t="s">
        <v>88</v>
      </c>
      <c r="E10" s="1">
        <v>9.52</v>
      </c>
      <c r="F10" s="1">
        <v>290.10000000000002</v>
      </c>
      <c r="G10" s="1">
        <v>44</v>
      </c>
      <c r="H10" s="1">
        <v>70.900000000000006</v>
      </c>
      <c r="I10" s="1">
        <v>25</v>
      </c>
      <c r="J10" s="1">
        <v>62.1</v>
      </c>
      <c r="K10" s="1">
        <v>38</v>
      </c>
      <c r="L10" s="1">
        <v>63.7</v>
      </c>
      <c r="M10" s="1">
        <v>42</v>
      </c>
      <c r="N10" s="1">
        <v>43.1</v>
      </c>
      <c r="O10" s="1">
        <v>42</v>
      </c>
      <c r="P10" s="1">
        <v>50.2</v>
      </c>
      <c r="Q10" s="1">
        <v>22</v>
      </c>
      <c r="R10" s="2">
        <v>0.58399999999999996</v>
      </c>
      <c r="S10" s="1">
        <v>35</v>
      </c>
      <c r="T10" s="2">
        <v>0.16700000000000001</v>
      </c>
      <c r="U10" s="1">
        <v>38</v>
      </c>
      <c r="V10" s="2">
        <v>0.32400000000000001</v>
      </c>
      <c r="W10" s="1">
        <v>42</v>
      </c>
      <c r="X10" s="2">
        <v>0.32200000000000001</v>
      </c>
      <c r="Y10" s="1">
        <v>40</v>
      </c>
      <c r="Z10" s="2">
        <v>0.86799999999999999</v>
      </c>
      <c r="AA10" s="1">
        <v>28</v>
      </c>
    </row>
    <row r="11" spans="1:27">
      <c r="A11" s="1" t="s">
        <v>72</v>
      </c>
      <c r="B11" s="1">
        <v>2024</v>
      </c>
      <c r="C11" s="3" t="s">
        <v>89</v>
      </c>
      <c r="D11" s="1" t="s">
        <v>90</v>
      </c>
      <c r="E11" s="1">
        <v>9.82</v>
      </c>
      <c r="F11" s="1">
        <v>320.89999999999998</v>
      </c>
      <c r="G11" s="1">
        <v>20</v>
      </c>
      <c r="H11" s="1">
        <v>74.900000000000006</v>
      </c>
      <c r="I11" s="1">
        <v>15</v>
      </c>
      <c r="J11" s="1">
        <v>67.400000000000006</v>
      </c>
      <c r="K11" s="1">
        <v>23</v>
      </c>
      <c r="L11" s="1">
        <v>85.9</v>
      </c>
      <c r="M11" s="1">
        <v>13</v>
      </c>
      <c r="N11" s="1">
        <v>57.6</v>
      </c>
      <c r="O11" s="1">
        <v>8</v>
      </c>
      <c r="P11" s="1">
        <v>35.1</v>
      </c>
      <c r="Q11" s="1">
        <v>47</v>
      </c>
      <c r="R11" s="2">
        <v>0.63800000000000001</v>
      </c>
      <c r="S11" s="1">
        <v>20</v>
      </c>
      <c r="T11" s="2">
        <v>0.25900000000000001</v>
      </c>
      <c r="U11" s="1">
        <v>17</v>
      </c>
      <c r="V11" s="2">
        <v>0.33600000000000002</v>
      </c>
      <c r="W11" s="1">
        <v>13</v>
      </c>
      <c r="X11" s="2">
        <v>0.36</v>
      </c>
      <c r="Y11" s="1">
        <v>11</v>
      </c>
      <c r="Z11" s="2">
        <v>0.86399999999999999</v>
      </c>
      <c r="AA11" s="1">
        <v>34</v>
      </c>
    </row>
    <row r="12" spans="1:27">
      <c r="A12" s="1" t="s">
        <v>72</v>
      </c>
      <c r="B12" s="1">
        <v>2024</v>
      </c>
      <c r="C12" s="3" t="s">
        <v>91</v>
      </c>
      <c r="D12" s="1" t="s">
        <v>92</v>
      </c>
      <c r="E12" s="1">
        <v>9.68</v>
      </c>
      <c r="F12" s="1">
        <v>282.39999999999998</v>
      </c>
      <c r="G12" s="1">
        <v>46</v>
      </c>
      <c r="H12" s="1">
        <v>65.599999999999994</v>
      </c>
      <c r="I12" s="1">
        <v>32</v>
      </c>
      <c r="J12" s="1">
        <v>59.4</v>
      </c>
      <c r="K12" s="1">
        <v>42</v>
      </c>
      <c r="L12" s="1">
        <v>72.599999999999994</v>
      </c>
      <c r="M12" s="1">
        <v>34</v>
      </c>
      <c r="N12" s="1">
        <v>39.1</v>
      </c>
      <c r="O12" s="1">
        <v>46</v>
      </c>
      <c r="P12" s="1">
        <v>45.7</v>
      </c>
      <c r="Q12" s="1">
        <v>31</v>
      </c>
      <c r="R12" s="2">
        <v>0.57399999999999995</v>
      </c>
      <c r="S12" s="1">
        <v>39</v>
      </c>
      <c r="T12" s="2">
        <v>0.14499999999999999</v>
      </c>
      <c r="U12" s="1">
        <v>43</v>
      </c>
      <c r="V12" s="2">
        <v>0.32900000000000001</v>
      </c>
      <c r="W12" s="1">
        <v>34</v>
      </c>
      <c r="X12" s="2">
        <v>0.318</v>
      </c>
      <c r="Y12" s="1">
        <v>43</v>
      </c>
      <c r="Z12" s="2">
        <v>0.873</v>
      </c>
      <c r="AA12" s="1">
        <v>23</v>
      </c>
    </row>
    <row r="13" spans="1:27">
      <c r="A13" s="1" t="s">
        <v>72</v>
      </c>
      <c r="B13" s="1">
        <v>2024</v>
      </c>
      <c r="C13" s="3" t="s">
        <v>93</v>
      </c>
      <c r="D13" s="1" t="s">
        <v>94</v>
      </c>
      <c r="E13" s="1">
        <v>9.67</v>
      </c>
      <c r="F13" s="1">
        <v>297.60000000000002</v>
      </c>
      <c r="G13" s="1">
        <v>38</v>
      </c>
      <c r="H13" s="1">
        <v>64.3</v>
      </c>
      <c r="I13" s="1">
        <v>34</v>
      </c>
      <c r="J13" s="1">
        <v>61</v>
      </c>
      <c r="K13" s="1">
        <v>40</v>
      </c>
      <c r="L13" s="1">
        <v>76.099999999999994</v>
      </c>
      <c r="M13" s="1">
        <v>28</v>
      </c>
      <c r="N13" s="1">
        <v>47.5</v>
      </c>
      <c r="O13" s="1">
        <v>27</v>
      </c>
      <c r="P13" s="1">
        <v>48.6</v>
      </c>
      <c r="Q13" s="1">
        <v>27</v>
      </c>
      <c r="R13" s="2">
        <v>0.51</v>
      </c>
      <c r="S13" s="1">
        <v>47</v>
      </c>
      <c r="T13" s="2">
        <v>0.105</v>
      </c>
      <c r="U13" s="1">
        <v>47</v>
      </c>
      <c r="V13" s="2">
        <v>0.33100000000000002</v>
      </c>
      <c r="W13" s="1">
        <v>28</v>
      </c>
      <c r="X13" s="2">
        <v>0.31900000000000001</v>
      </c>
      <c r="Y13" s="1">
        <v>42</v>
      </c>
      <c r="Z13" s="2">
        <v>0.872</v>
      </c>
      <c r="AA13" s="1">
        <v>25</v>
      </c>
    </row>
    <row r="14" spans="1:27">
      <c r="A14" s="1" t="s">
        <v>72</v>
      </c>
      <c r="B14" s="1">
        <v>2024</v>
      </c>
      <c r="C14" s="3" t="s">
        <v>95</v>
      </c>
      <c r="D14" s="1" t="s">
        <v>96</v>
      </c>
      <c r="E14" s="1">
        <v>9.73</v>
      </c>
      <c r="F14" s="1">
        <v>300.7</v>
      </c>
      <c r="G14" s="1">
        <v>37</v>
      </c>
      <c r="H14" s="1">
        <v>71.400000000000006</v>
      </c>
      <c r="I14" s="1">
        <v>23</v>
      </c>
      <c r="J14" s="1">
        <v>67.5</v>
      </c>
      <c r="K14" s="1">
        <v>22</v>
      </c>
      <c r="L14" s="1">
        <v>72.7</v>
      </c>
      <c r="M14" s="1">
        <v>33</v>
      </c>
      <c r="N14" s="1">
        <v>44.6</v>
      </c>
      <c r="O14" s="1">
        <v>36</v>
      </c>
      <c r="P14" s="1">
        <v>44.3</v>
      </c>
      <c r="Q14" s="1">
        <v>35</v>
      </c>
      <c r="R14" s="2">
        <v>0.51600000000000001</v>
      </c>
      <c r="S14" s="1">
        <v>45</v>
      </c>
      <c r="T14" s="2">
        <v>0.17199999999999999</v>
      </c>
      <c r="U14" s="1">
        <v>37</v>
      </c>
      <c r="V14" s="2">
        <v>0.32900000000000001</v>
      </c>
      <c r="W14" s="1">
        <v>33</v>
      </c>
      <c r="X14" s="2">
        <v>0.32400000000000001</v>
      </c>
      <c r="Y14" s="1">
        <v>38</v>
      </c>
      <c r="Z14" s="2">
        <v>0.87</v>
      </c>
      <c r="AA14" s="1">
        <v>27</v>
      </c>
    </row>
    <row r="15" spans="1:27">
      <c r="A15" s="1" t="s">
        <v>72</v>
      </c>
      <c r="B15" s="1">
        <v>2024</v>
      </c>
      <c r="C15" s="3" t="s">
        <v>97</v>
      </c>
      <c r="D15" s="1" t="s">
        <v>98</v>
      </c>
      <c r="E15" s="1">
        <v>9.85</v>
      </c>
      <c r="F15" s="1">
        <v>313.39999999999998</v>
      </c>
      <c r="G15" s="1">
        <v>26</v>
      </c>
      <c r="H15" s="1">
        <v>58.2</v>
      </c>
      <c r="I15" s="1">
        <v>43</v>
      </c>
      <c r="J15" s="1">
        <v>68.3</v>
      </c>
      <c r="K15" s="1">
        <v>21</v>
      </c>
      <c r="L15" s="1">
        <v>93.8</v>
      </c>
      <c r="M15" s="1">
        <v>8</v>
      </c>
      <c r="N15" s="1">
        <v>50.8</v>
      </c>
      <c r="O15" s="1">
        <v>19</v>
      </c>
      <c r="P15" s="1">
        <v>42.4</v>
      </c>
      <c r="Q15" s="1">
        <v>38</v>
      </c>
      <c r="R15" s="2">
        <v>0.54600000000000004</v>
      </c>
      <c r="S15" s="1">
        <v>42</v>
      </c>
      <c r="T15" s="2">
        <v>0.14199999999999999</v>
      </c>
      <c r="U15" s="1">
        <v>44</v>
      </c>
      <c r="V15" s="2">
        <v>0.34</v>
      </c>
      <c r="W15" s="1">
        <v>8</v>
      </c>
      <c r="X15" s="2">
        <v>0.33300000000000002</v>
      </c>
      <c r="Y15" s="1">
        <v>31</v>
      </c>
      <c r="Z15" s="2">
        <v>0.86099999999999999</v>
      </c>
      <c r="AA15" s="1">
        <v>37</v>
      </c>
    </row>
    <row r="16" spans="1:27">
      <c r="A16" s="1" t="s">
        <v>72</v>
      </c>
      <c r="B16" s="1">
        <v>2024</v>
      </c>
      <c r="C16" s="3" t="s">
        <v>99</v>
      </c>
      <c r="D16" s="1" t="s">
        <v>100</v>
      </c>
      <c r="E16" s="1">
        <v>9.92</v>
      </c>
      <c r="F16" s="1">
        <v>296</v>
      </c>
      <c r="G16" s="1">
        <v>40</v>
      </c>
      <c r="H16" s="1">
        <v>70.099999999999994</v>
      </c>
      <c r="I16" s="1">
        <v>27</v>
      </c>
      <c r="J16" s="1">
        <v>61.2</v>
      </c>
      <c r="K16" s="1">
        <v>39</v>
      </c>
      <c r="L16" s="1">
        <v>70.3</v>
      </c>
      <c r="M16" s="1">
        <v>35</v>
      </c>
      <c r="N16" s="1">
        <v>48.8</v>
      </c>
      <c r="O16" s="1">
        <v>22</v>
      </c>
      <c r="P16" s="1">
        <v>45.5</v>
      </c>
      <c r="Q16" s="1">
        <v>33</v>
      </c>
      <c r="R16" s="2">
        <v>0.51800000000000002</v>
      </c>
      <c r="S16" s="1">
        <v>44</v>
      </c>
      <c r="T16" s="2">
        <v>0.13800000000000001</v>
      </c>
      <c r="U16" s="1">
        <v>45</v>
      </c>
      <c r="V16" s="2">
        <v>0.32800000000000001</v>
      </c>
      <c r="W16" s="1">
        <v>35</v>
      </c>
      <c r="X16" s="2">
        <v>0.32900000000000001</v>
      </c>
      <c r="Y16" s="1">
        <v>34</v>
      </c>
      <c r="Z16" s="2">
        <v>0.86499999999999999</v>
      </c>
      <c r="AA16" s="1">
        <v>33</v>
      </c>
    </row>
    <row r="17" spans="1:27">
      <c r="A17" s="1" t="s">
        <v>72</v>
      </c>
      <c r="B17" s="1">
        <v>2024</v>
      </c>
      <c r="C17" s="3" t="s">
        <v>101</v>
      </c>
      <c r="D17" s="1" t="s">
        <v>102</v>
      </c>
      <c r="E17" s="1">
        <v>9.2100000000000009</v>
      </c>
      <c r="F17" s="1">
        <v>418.1</v>
      </c>
      <c r="G17" s="1">
        <v>1</v>
      </c>
      <c r="H17" s="1">
        <v>81.400000000000006</v>
      </c>
      <c r="I17" s="1">
        <v>4</v>
      </c>
      <c r="J17" s="1">
        <v>83.1</v>
      </c>
      <c r="K17" s="1">
        <v>4</v>
      </c>
      <c r="L17" s="1">
        <v>122</v>
      </c>
      <c r="M17" s="1">
        <v>1</v>
      </c>
      <c r="N17" s="1">
        <v>68.5</v>
      </c>
      <c r="O17" s="1">
        <v>1</v>
      </c>
      <c r="P17" s="1">
        <v>63.1</v>
      </c>
      <c r="Q17" s="1">
        <v>3</v>
      </c>
      <c r="R17" s="2">
        <v>0.72099999999999997</v>
      </c>
      <c r="S17" s="1">
        <v>4</v>
      </c>
      <c r="T17" s="2">
        <v>0.28399999999999997</v>
      </c>
      <c r="U17" s="1">
        <v>12</v>
      </c>
      <c r="V17" s="2">
        <v>0.35499999999999998</v>
      </c>
      <c r="W17" s="1">
        <v>1</v>
      </c>
      <c r="X17" s="2">
        <v>0.38700000000000001</v>
      </c>
      <c r="Y17" s="1">
        <v>2</v>
      </c>
      <c r="Z17" s="2">
        <v>0.88600000000000001</v>
      </c>
      <c r="AA17" s="1">
        <v>10</v>
      </c>
    </row>
    <row r="18" spans="1:27">
      <c r="A18" s="1" t="s">
        <v>72</v>
      </c>
      <c r="B18" s="1">
        <v>2024</v>
      </c>
      <c r="C18" s="3" t="s">
        <v>103</v>
      </c>
      <c r="D18" s="1" t="s">
        <v>104</v>
      </c>
      <c r="E18" s="1">
        <v>9.59</v>
      </c>
      <c r="F18" s="1">
        <v>325.89999999999998</v>
      </c>
      <c r="G18" s="1">
        <v>18</v>
      </c>
      <c r="H18" s="1">
        <v>82.1</v>
      </c>
      <c r="I18" s="1">
        <v>3</v>
      </c>
      <c r="J18" s="1">
        <v>62.6</v>
      </c>
      <c r="K18" s="1">
        <v>36</v>
      </c>
      <c r="L18" s="1">
        <v>74.5</v>
      </c>
      <c r="M18" s="1">
        <v>31</v>
      </c>
      <c r="N18" s="1">
        <v>57.3</v>
      </c>
      <c r="O18" s="1">
        <v>9</v>
      </c>
      <c r="P18" s="1">
        <v>49.4</v>
      </c>
      <c r="Q18" s="1">
        <v>25</v>
      </c>
      <c r="R18" s="2">
        <v>0.73699999999999999</v>
      </c>
      <c r="S18" s="1">
        <v>2</v>
      </c>
      <c r="T18" s="2">
        <v>0.28399999999999997</v>
      </c>
      <c r="U18" s="1">
        <v>11</v>
      </c>
      <c r="V18" s="2">
        <v>0.33</v>
      </c>
      <c r="W18" s="1">
        <v>31</v>
      </c>
      <c r="X18" s="2">
        <v>0.38400000000000001</v>
      </c>
      <c r="Y18" s="1">
        <v>3</v>
      </c>
      <c r="Z18" s="2">
        <v>0.875</v>
      </c>
      <c r="AA18" s="1">
        <v>20</v>
      </c>
    </row>
    <row r="19" spans="1:27">
      <c r="A19" s="1" t="s">
        <v>72</v>
      </c>
      <c r="B19" s="1">
        <v>2024</v>
      </c>
      <c r="C19" s="3" t="s">
        <v>105</v>
      </c>
      <c r="D19" s="1" t="s">
        <v>106</v>
      </c>
      <c r="E19" s="1">
        <v>9.6999999999999993</v>
      </c>
      <c r="F19" s="1">
        <v>346.3</v>
      </c>
      <c r="G19" s="1">
        <v>5</v>
      </c>
      <c r="H19" s="1">
        <v>80.900000000000006</v>
      </c>
      <c r="I19" s="1">
        <v>6</v>
      </c>
      <c r="J19" s="1">
        <v>73.2</v>
      </c>
      <c r="K19" s="1">
        <v>16</v>
      </c>
      <c r="L19" s="1">
        <v>85.4</v>
      </c>
      <c r="M19" s="1">
        <v>16</v>
      </c>
      <c r="N19" s="1">
        <v>50.9</v>
      </c>
      <c r="O19" s="1">
        <v>18</v>
      </c>
      <c r="P19" s="1">
        <v>55.9</v>
      </c>
      <c r="Q19" s="1">
        <v>13</v>
      </c>
      <c r="R19" s="2">
        <v>0.69099999999999995</v>
      </c>
      <c r="S19" s="1">
        <v>8</v>
      </c>
      <c r="T19" s="2">
        <v>0.27400000000000002</v>
      </c>
      <c r="U19" s="1">
        <v>13</v>
      </c>
      <c r="V19" s="2">
        <v>0.33600000000000002</v>
      </c>
      <c r="W19" s="1">
        <v>16</v>
      </c>
      <c r="X19" s="2">
        <v>0.33800000000000002</v>
      </c>
      <c r="Y19" s="1">
        <v>27</v>
      </c>
      <c r="Z19" s="2">
        <v>0.871</v>
      </c>
      <c r="AA19" s="1">
        <v>26</v>
      </c>
    </row>
    <row r="20" spans="1:27">
      <c r="A20" s="1" t="s">
        <v>72</v>
      </c>
      <c r="B20" s="1">
        <v>2024</v>
      </c>
      <c r="C20" s="3" t="s">
        <v>107</v>
      </c>
      <c r="D20" s="1" t="s">
        <v>108</v>
      </c>
      <c r="E20" s="1">
        <v>9.7100000000000009</v>
      </c>
      <c r="F20" s="1">
        <v>311.60000000000002</v>
      </c>
      <c r="G20" s="1">
        <v>29</v>
      </c>
      <c r="H20" s="1">
        <v>83.1</v>
      </c>
      <c r="I20" s="1">
        <v>2</v>
      </c>
      <c r="J20" s="1">
        <v>64.7</v>
      </c>
      <c r="K20" s="1">
        <v>30</v>
      </c>
      <c r="L20" s="1">
        <v>70.2</v>
      </c>
      <c r="M20" s="1">
        <v>36</v>
      </c>
      <c r="N20" s="1">
        <v>41.6</v>
      </c>
      <c r="O20" s="1">
        <v>44</v>
      </c>
      <c r="P20" s="1">
        <v>52.1</v>
      </c>
      <c r="Q20" s="1">
        <v>18</v>
      </c>
      <c r="R20" s="2">
        <v>0.69899999999999995</v>
      </c>
      <c r="S20" s="1">
        <v>6</v>
      </c>
      <c r="T20" s="2">
        <v>0.22700000000000001</v>
      </c>
      <c r="U20" s="1">
        <v>24</v>
      </c>
      <c r="V20" s="2">
        <v>0.32800000000000001</v>
      </c>
      <c r="W20" s="1">
        <v>36</v>
      </c>
      <c r="X20" s="2">
        <v>0.32800000000000001</v>
      </c>
      <c r="Y20" s="1">
        <v>35</v>
      </c>
      <c r="Z20" s="2">
        <v>0.86199999999999999</v>
      </c>
      <c r="AA20" s="1">
        <v>35</v>
      </c>
    </row>
    <row r="21" spans="1:27">
      <c r="A21" s="1" t="s">
        <v>72</v>
      </c>
      <c r="B21" s="1">
        <v>2024</v>
      </c>
      <c r="C21" s="3" t="s">
        <v>109</v>
      </c>
      <c r="D21" s="1" t="s">
        <v>110</v>
      </c>
      <c r="E21" s="1">
        <v>9.5500000000000007</v>
      </c>
      <c r="F21" s="1">
        <v>336.9</v>
      </c>
      <c r="G21" s="1">
        <v>10</v>
      </c>
      <c r="H21" s="1">
        <v>78</v>
      </c>
      <c r="I21" s="1">
        <v>8</v>
      </c>
      <c r="J21" s="1">
        <v>84.4</v>
      </c>
      <c r="K21" s="1">
        <v>3</v>
      </c>
      <c r="L21" s="1">
        <v>70</v>
      </c>
      <c r="M21" s="1">
        <v>37</v>
      </c>
      <c r="N21" s="1">
        <v>53.5</v>
      </c>
      <c r="O21" s="1">
        <v>12</v>
      </c>
      <c r="P21" s="1">
        <v>50.9</v>
      </c>
      <c r="Q21" s="1">
        <v>19</v>
      </c>
      <c r="R21" s="2">
        <v>0.70199999999999996</v>
      </c>
      <c r="S21" s="1">
        <v>5</v>
      </c>
      <c r="T21" s="2">
        <v>0.27200000000000002</v>
      </c>
      <c r="U21" s="1">
        <v>14</v>
      </c>
      <c r="V21" s="2">
        <v>0.32700000000000001</v>
      </c>
      <c r="W21" s="1">
        <v>37</v>
      </c>
      <c r="X21" s="2">
        <v>0.34699999999999998</v>
      </c>
      <c r="Y21" s="1">
        <v>20</v>
      </c>
      <c r="Z21" s="2">
        <v>0.86699999999999999</v>
      </c>
      <c r="AA21" s="1">
        <v>31</v>
      </c>
    </row>
    <row r="22" spans="1:27">
      <c r="A22" s="1" t="s">
        <v>72</v>
      </c>
      <c r="B22" s="1">
        <v>2024</v>
      </c>
      <c r="C22" s="3" t="s">
        <v>111</v>
      </c>
      <c r="D22" s="1" t="s">
        <v>112</v>
      </c>
      <c r="E22" s="1">
        <v>9.6300000000000008</v>
      </c>
      <c r="F22" s="1">
        <v>305.60000000000002</v>
      </c>
      <c r="G22" s="1">
        <v>34</v>
      </c>
      <c r="H22" s="1">
        <v>74</v>
      </c>
      <c r="I22" s="1">
        <v>18</v>
      </c>
      <c r="J22" s="1">
        <v>56.6</v>
      </c>
      <c r="K22" s="1">
        <v>45</v>
      </c>
      <c r="L22" s="1">
        <v>82.2</v>
      </c>
      <c r="M22" s="1">
        <v>21</v>
      </c>
      <c r="N22" s="1">
        <v>47.1</v>
      </c>
      <c r="O22" s="1">
        <v>28</v>
      </c>
      <c r="P22" s="1">
        <v>45.7</v>
      </c>
      <c r="Q22" s="1">
        <v>32</v>
      </c>
      <c r="R22" s="2">
        <v>0.65900000000000003</v>
      </c>
      <c r="S22" s="1">
        <v>11</v>
      </c>
      <c r="T22" s="2">
        <v>0.253</v>
      </c>
      <c r="U22" s="1">
        <v>20</v>
      </c>
      <c r="V22" s="2">
        <v>0.33400000000000002</v>
      </c>
      <c r="W22" s="1">
        <v>21</v>
      </c>
      <c r="X22" s="2">
        <v>0.35299999999999998</v>
      </c>
      <c r="Y22" s="1">
        <v>15</v>
      </c>
      <c r="Z22" s="2">
        <v>0.879</v>
      </c>
      <c r="AA22" s="1">
        <v>17</v>
      </c>
    </row>
    <row r="23" spans="1:27">
      <c r="A23" s="1" t="s">
        <v>72</v>
      </c>
      <c r="B23" s="1">
        <v>2024</v>
      </c>
      <c r="C23" s="3" t="s">
        <v>113</v>
      </c>
      <c r="D23" s="1" t="s">
        <v>114</v>
      </c>
      <c r="E23" s="1">
        <v>9.8000000000000007</v>
      </c>
      <c r="F23" s="1">
        <v>351.9</v>
      </c>
      <c r="G23" s="1">
        <v>3</v>
      </c>
      <c r="H23" s="1">
        <v>67.2</v>
      </c>
      <c r="I23" s="1">
        <v>31</v>
      </c>
      <c r="J23" s="1">
        <v>76.7</v>
      </c>
      <c r="K23" s="1">
        <v>14</v>
      </c>
      <c r="L23" s="1">
        <v>97.8</v>
      </c>
      <c r="M23" s="1">
        <v>6</v>
      </c>
      <c r="N23" s="1">
        <v>47</v>
      </c>
      <c r="O23" s="1">
        <v>29</v>
      </c>
      <c r="P23" s="1">
        <v>63.2</v>
      </c>
      <c r="Q23" s="1">
        <v>2</v>
      </c>
      <c r="R23" s="2">
        <v>0.65900000000000003</v>
      </c>
      <c r="S23" s="1">
        <v>10</v>
      </c>
      <c r="T23" s="2">
        <v>0.26400000000000001</v>
      </c>
      <c r="U23" s="1">
        <v>16</v>
      </c>
      <c r="V23" s="2">
        <v>0.34200000000000003</v>
      </c>
      <c r="W23" s="1">
        <v>6</v>
      </c>
      <c r="X23" s="2">
        <v>0.35299999999999998</v>
      </c>
      <c r="Y23" s="1">
        <v>14</v>
      </c>
      <c r="Z23" s="2">
        <v>0.873</v>
      </c>
      <c r="AA23" s="1">
        <v>24</v>
      </c>
    </row>
    <row r="24" spans="1:27">
      <c r="A24" s="1" t="s">
        <v>72</v>
      </c>
      <c r="B24" s="1">
        <v>2024</v>
      </c>
      <c r="C24" s="3" t="s">
        <v>115</v>
      </c>
      <c r="D24" s="1" t="s">
        <v>116</v>
      </c>
      <c r="E24" s="1">
        <v>9.61</v>
      </c>
      <c r="F24" s="1">
        <v>345.6</v>
      </c>
      <c r="G24" s="1">
        <v>6</v>
      </c>
      <c r="H24" s="1">
        <v>78</v>
      </c>
      <c r="I24" s="1">
        <v>9</v>
      </c>
      <c r="J24" s="1">
        <v>67</v>
      </c>
      <c r="K24" s="1">
        <v>25</v>
      </c>
      <c r="L24" s="1">
        <v>99.3</v>
      </c>
      <c r="M24" s="1">
        <v>4</v>
      </c>
      <c r="N24" s="1">
        <v>51.7</v>
      </c>
      <c r="O24" s="1">
        <v>17</v>
      </c>
      <c r="P24" s="1">
        <v>49.6</v>
      </c>
      <c r="Q24" s="1">
        <v>24</v>
      </c>
      <c r="R24" s="2">
        <v>0.628</v>
      </c>
      <c r="S24" s="1">
        <v>23</v>
      </c>
      <c r="T24" s="2">
        <v>0.188</v>
      </c>
      <c r="U24" s="1">
        <v>32</v>
      </c>
      <c r="V24" s="2">
        <v>0.34300000000000003</v>
      </c>
      <c r="W24" s="1">
        <v>4</v>
      </c>
      <c r="X24" s="2">
        <v>0.35</v>
      </c>
      <c r="Y24" s="1">
        <v>17</v>
      </c>
      <c r="Z24" s="2">
        <v>0.875</v>
      </c>
      <c r="AA24" s="1">
        <v>21</v>
      </c>
    </row>
    <row r="25" spans="1:27">
      <c r="A25" s="1" t="s">
        <v>72</v>
      </c>
      <c r="B25" s="1">
        <v>2024</v>
      </c>
      <c r="C25" s="3" t="s">
        <v>117</v>
      </c>
      <c r="D25" s="1" t="s">
        <v>118</v>
      </c>
      <c r="E25" s="1">
        <v>9.93</v>
      </c>
      <c r="F25" s="1">
        <v>295.10000000000002</v>
      </c>
      <c r="G25" s="1">
        <v>41</v>
      </c>
      <c r="H25" s="1">
        <v>61.1</v>
      </c>
      <c r="I25" s="1">
        <v>38</v>
      </c>
      <c r="J25" s="1">
        <v>64.400000000000006</v>
      </c>
      <c r="K25" s="1">
        <v>31</v>
      </c>
      <c r="L25" s="1">
        <v>73.099999999999994</v>
      </c>
      <c r="M25" s="1">
        <v>32</v>
      </c>
      <c r="N25" s="1">
        <v>44.3</v>
      </c>
      <c r="O25" s="1">
        <v>38</v>
      </c>
      <c r="P25" s="1">
        <v>52.2</v>
      </c>
      <c r="Q25" s="1">
        <v>17</v>
      </c>
      <c r="R25" s="2">
        <v>0.57699999999999996</v>
      </c>
      <c r="S25" s="1">
        <v>38</v>
      </c>
      <c r="T25" s="2">
        <v>0.17199999999999999</v>
      </c>
      <c r="U25" s="1">
        <v>36</v>
      </c>
      <c r="V25" s="2">
        <v>0.32900000000000001</v>
      </c>
      <c r="W25" s="1">
        <v>32</v>
      </c>
      <c r="X25" s="2">
        <v>0.317</v>
      </c>
      <c r="Y25" s="1">
        <v>44</v>
      </c>
      <c r="Z25" s="2">
        <v>0.86799999999999999</v>
      </c>
      <c r="AA25" s="1">
        <v>29</v>
      </c>
    </row>
    <row r="26" spans="1:27">
      <c r="A26" s="1" t="s">
        <v>72</v>
      </c>
      <c r="B26" s="1">
        <v>2024</v>
      </c>
      <c r="C26" s="3" t="s">
        <v>119</v>
      </c>
      <c r="D26" s="1" t="s">
        <v>120</v>
      </c>
      <c r="E26" s="1">
        <v>9.77</v>
      </c>
      <c r="F26" s="1">
        <v>308</v>
      </c>
      <c r="G26" s="1">
        <v>32</v>
      </c>
      <c r="H26" s="1">
        <v>71.900000000000006</v>
      </c>
      <c r="I26" s="1">
        <v>21</v>
      </c>
      <c r="J26" s="1">
        <v>67.099999999999994</v>
      </c>
      <c r="K26" s="1">
        <v>24</v>
      </c>
      <c r="L26" s="1">
        <v>83.4</v>
      </c>
      <c r="M26" s="1">
        <v>19</v>
      </c>
      <c r="N26" s="1">
        <v>45.3</v>
      </c>
      <c r="O26" s="1">
        <v>32</v>
      </c>
      <c r="P26" s="1">
        <v>40.299999999999997</v>
      </c>
      <c r="Q26" s="1">
        <v>42</v>
      </c>
      <c r="R26" s="2">
        <v>0.65700000000000003</v>
      </c>
      <c r="S26" s="1">
        <v>13</v>
      </c>
      <c r="T26" s="2">
        <v>0.192</v>
      </c>
      <c r="U26" s="1">
        <v>30</v>
      </c>
      <c r="V26" s="2">
        <v>0.33400000000000002</v>
      </c>
      <c r="W26" s="1">
        <v>19</v>
      </c>
      <c r="X26" s="2">
        <v>0.34300000000000003</v>
      </c>
      <c r="Y26" s="1">
        <v>23</v>
      </c>
      <c r="Z26" s="2">
        <v>0.85899999999999999</v>
      </c>
      <c r="AA26" s="1">
        <v>39</v>
      </c>
    </row>
    <row r="27" spans="1:27">
      <c r="A27" s="1" t="s">
        <v>72</v>
      </c>
      <c r="B27" s="1">
        <v>2024</v>
      </c>
      <c r="C27" s="3" t="s">
        <v>121</v>
      </c>
      <c r="D27" s="1" t="s">
        <v>122</v>
      </c>
      <c r="E27" s="1">
        <v>9.8800000000000008</v>
      </c>
      <c r="F27" s="1">
        <v>312</v>
      </c>
      <c r="G27" s="1">
        <v>27</v>
      </c>
      <c r="H27" s="1">
        <v>77.7</v>
      </c>
      <c r="I27" s="1">
        <v>12</v>
      </c>
      <c r="J27" s="1">
        <v>54.2</v>
      </c>
      <c r="K27" s="1">
        <v>47</v>
      </c>
      <c r="L27" s="1">
        <v>85.9</v>
      </c>
      <c r="M27" s="1">
        <v>14</v>
      </c>
      <c r="N27" s="1">
        <v>39.1</v>
      </c>
      <c r="O27" s="1">
        <v>47</v>
      </c>
      <c r="P27" s="1">
        <v>55.2</v>
      </c>
      <c r="Q27" s="1">
        <v>14</v>
      </c>
      <c r="R27" s="2">
        <v>0.65</v>
      </c>
      <c r="S27" s="1">
        <v>15</v>
      </c>
      <c r="T27" s="2">
        <v>0.16700000000000001</v>
      </c>
      <c r="U27" s="1">
        <v>39</v>
      </c>
      <c r="V27" s="2">
        <v>0.33600000000000002</v>
      </c>
      <c r="W27" s="1">
        <v>14</v>
      </c>
      <c r="X27" s="2">
        <v>0.316</v>
      </c>
      <c r="Y27" s="1">
        <v>46</v>
      </c>
      <c r="Z27" s="2">
        <v>0.876</v>
      </c>
      <c r="AA27" s="1">
        <v>19</v>
      </c>
    </row>
    <row r="28" spans="1:27">
      <c r="A28" s="1" t="s">
        <v>72</v>
      </c>
      <c r="B28" s="1">
        <v>2024</v>
      </c>
      <c r="C28" s="3" t="s">
        <v>123</v>
      </c>
      <c r="D28" s="1" t="s">
        <v>124</v>
      </c>
      <c r="E28" s="1">
        <v>9.89</v>
      </c>
      <c r="F28" s="1">
        <v>309.10000000000002</v>
      </c>
      <c r="G28" s="1">
        <v>31</v>
      </c>
      <c r="H28" s="1">
        <v>71.599999999999994</v>
      </c>
      <c r="I28" s="1">
        <v>22</v>
      </c>
      <c r="J28" s="1">
        <v>63.8</v>
      </c>
      <c r="K28" s="1">
        <v>33</v>
      </c>
      <c r="L28" s="1">
        <v>86.2</v>
      </c>
      <c r="M28" s="1">
        <v>12</v>
      </c>
      <c r="N28" s="1">
        <v>43.3</v>
      </c>
      <c r="O28" s="1">
        <v>41</v>
      </c>
      <c r="P28" s="1">
        <v>44.3</v>
      </c>
      <c r="Q28" s="1">
        <v>36</v>
      </c>
      <c r="R28" s="2">
        <v>0.64100000000000001</v>
      </c>
      <c r="S28" s="1">
        <v>18</v>
      </c>
      <c r="T28" s="2">
        <v>0.17899999999999999</v>
      </c>
      <c r="U28" s="1">
        <v>34</v>
      </c>
      <c r="V28" s="2">
        <v>0.33600000000000002</v>
      </c>
      <c r="W28" s="1">
        <v>12</v>
      </c>
      <c r="X28" s="2">
        <v>0.313</v>
      </c>
      <c r="Y28" s="1">
        <v>47</v>
      </c>
      <c r="Z28" s="2">
        <v>0.84899999999999998</v>
      </c>
      <c r="AA28" s="1">
        <v>43</v>
      </c>
    </row>
    <row r="29" spans="1:27">
      <c r="A29" s="1" t="s">
        <v>72</v>
      </c>
      <c r="B29" s="1">
        <v>2024</v>
      </c>
      <c r="C29" s="3" t="s">
        <v>125</v>
      </c>
      <c r="D29" s="1" t="s">
        <v>126</v>
      </c>
      <c r="E29" s="1">
        <v>10.130000000000001</v>
      </c>
      <c r="F29" s="1">
        <v>294.2</v>
      </c>
      <c r="G29" s="1">
        <v>42</v>
      </c>
      <c r="H29" s="1">
        <v>56.9</v>
      </c>
      <c r="I29" s="1">
        <v>44</v>
      </c>
      <c r="J29" s="1">
        <v>56.5</v>
      </c>
      <c r="K29" s="1">
        <v>46</v>
      </c>
      <c r="L29" s="1">
        <v>88.9</v>
      </c>
      <c r="M29" s="1">
        <v>10</v>
      </c>
      <c r="N29" s="1">
        <v>48.6</v>
      </c>
      <c r="O29" s="1">
        <v>23</v>
      </c>
      <c r="P29" s="1">
        <v>43.2</v>
      </c>
      <c r="Q29" s="1">
        <v>37</v>
      </c>
      <c r="R29" s="2">
        <v>0.51500000000000001</v>
      </c>
      <c r="S29" s="1">
        <v>46</v>
      </c>
      <c r="T29" s="2">
        <v>0.13100000000000001</v>
      </c>
      <c r="U29" s="1">
        <v>46</v>
      </c>
      <c r="V29" s="2">
        <v>0.33700000000000002</v>
      </c>
      <c r="W29" s="1">
        <v>10</v>
      </c>
      <c r="X29" s="2">
        <v>0.32700000000000001</v>
      </c>
      <c r="Y29" s="1">
        <v>37</v>
      </c>
      <c r="Z29" s="2">
        <v>0.85</v>
      </c>
      <c r="AA29" s="1">
        <v>40</v>
      </c>
    </row>
    <row r="30" spans="1:27">
      <c r="A30" s="1" t="s">
        <v>72</v>
      </c>
      <c r="B30" s="1">
        <v>2024</v>
      </c>
      <c r="C30" s="3" t="s">
        <v>127</v>
      </c>
      <c r="D30" s="1" t="s">
        <v>128</v>
      </c>
      <c r="E30" s="1">
        <v>10.119999999999999</v>
      </c>
      <c r="F30" s="1">
        <v>305.2</v>
      </c>
      <c r="G30" s="1">
        <v>35</v>
      </c>
      <c r="H30" s="1">
        <v>62.6</v>
      </c>
      <c r="I30" s="1">
        <v>37</v>
      </c>
      <c r="J30" s="1">
        <v>60.5</v>
      </c>
      <c r="K30" s="1">
        <v>41</v>
      </c>
      <c r="L30" s="1">
        <v>85.5</v>
      </c>
      <c r="M30" s="1">
        <v>15</v>
      </c>
      <c r="N30" s="1">
        <v>47.9</v>
      </c>
      <c r="O30" s="1">
        <v>25</v>
      </c>
      <c r="P30" s="1">
        <v>48.7</v>
      </c>
      <c r="Q30" s="1">
        <v>26</v>
      </c>
      <c r="R30" s="2">
        <v>0.57899999999999996</v>
      </c>
      <c r="S30" s="1">
        <v>36</v>
      </c>
      <c r="T30" s="2">
        <v>0.154</v>
      </c>
      <c r="U30" s="1">
        <v>42</v>
      </c>
      <c r="V30" s="2">
        <v>0.33600000000000002</v>
      </c>
      <c r="W30" s="1">
        <v>15</v>
      </c>
      <c r="X30" s="2">
        <v>0.33300000000000002</v>
      </c>
      <c r="Y30" s="1">
        <v>30</v>
      </c>
      <c r="Z30" s="2">
        <v>0.86499999999999999</v>
      </c>
      <c r="AA30" s="1">
        <v>32</v>
      </c>
    </row>
    <row r="31" spans="1:27">
      <c r="A31" s="1" t="s">
        <v>72</v>
      </c>
      <c r="B31" s="1">
        <v>2024</v>
      </c>
      <c r="C31" s="3" t="s">
        <v>129</v>
      </c>
      <c r="D31" s="1" t="s">
        <v>130</v>
      </c>
      <c r="E31" s="1">
        <v>9.91</v>
      </c>
      <c r="F31" s="1">
        <v>341.7</v>
      </c>
      <c r="G31" s="1">
        <v>9</v>
      </c>
      <c r="H31" s="1">
        <v>72.2</v>
      </c>
      <c r="I31" s="1">
        <v>20</v>
      </c>
      <c r="J31" s="1">
        <v>66.099999999999994</v>
      </c>
      <c r="K31" s="1">
        <v>28</v>
      </c>
      <c r="L31" s="1">
        <v>114.6</v>
      </c>
      <c r="M31" s="1">
        <v>3</v>
      </c>
      <c r="N31" s="1">
        <v>53.4</v>
      </c>
      <c r="O31" s="1">
        <v>13</v>
      </c>
      <c r="P31" s="1">
        <v>35.4</v>
      </c>
      <c r="Q31" s="1">
        <v>46</v>
      </c>
      <c r="R31" s="2">
        <v>0.59</v>
      </c>
      <c r="S31" s="1">
        <v>32</v>
      </c>
      <c r="T31" s="2">
        <v>0.20399999999999999</v>
      </c>
      <c r="U31" s="1">
        <v>27</v>
      </c>
      <c r="V31" s="2">
        <v>0.35099999999999998</v>
      </c>
      <c r="W31" s="1">
        <v>3</v>
      </c>
      <c r="X31" s="2">
        <v>0.36899999999999999</v>
      </c>
      <c r="Y31" s="1">
        <v>8</v>
      </c>
      <c r="Z31" s="2">
        <v>0.83499999999999996</v>
      </c>
      <c r="AA31" s="1">
        <v>46</v>
      </c>
    </row>
    <row r="32" spans="1:27">
      <c r="A32" s="1" t="s">
        <v>72</v>
      </c>
      <c r="B32" s="1">
        <v>2024</v>
      </c>
      <c r="C32" s="3" t="s">
        <v>131</v>
      </c>
      <c r="D32" s="1" t="s">
        <v>132</v>
      </c>
      <c r="E32" s="1">
        <v>10.06</v>
      </c>
      <c r="F32" s="1">
        <v>335.8</v>
      </c>
      <c r="G32" s="1">
        <v>12</v>
      </c>
      <c r="H32" s="1">
        <v>81.2</v>
      </c>
      <c r="I32" s="1">
        <v>5</v>
      </c>
      <c r="J32" s="1">
        <v>58.2</v>
      </c>
      <c r="K32" s="1">
        <v>43</v>
      </c>
      <c r="L32" s="1">
        <v>99.2</v>
      </c>
      <c r="M32" s="1">
        <v>5</v>
      </c>
      <c r="N32" s="1">
        <v>56.1</v>
      </c>
      <c r="O32" s="1">
        <v>10</v>
      </c>
      <c r="P32" s="1">
        <v>41.1</v>
      </c>
      <c r="Q32" s="1">
        <v>41</v>
      </c>
      <c r="R32" s="2">
        <v>0.61499999999999999</v>
      </c>
      <c r="S32" s="1">
        <v>26</v>
      </c>
      <c r="T32" s="2">
        <v>0.16700000000000001</v>
      </c>
      <c r="U32" s="1">
        <v>40</v>
      </c>
      <c r="V32" s="2">
        <v>0.34300000000000003</v>
      </c>
      <c r="W32" s="1">
        <v>5</v>
      </c>
      <c r="X32" s="2">
        <v>0.34699999999999998</v>
      </c>
      <c r="Y32" s="1">
        <v>19</v>
      </c>
      <c r="Z32" s="2">
        <v>0.84299999999999997</v>
      </c>
      <c r="AA32" s="1">
        <v>44</v>
      </c>
    </row>
    <row r="33" spans="1:27">
      <c r="A33" s="1" t="s">
        <v>72</v>
      </c>
      <c r="B33" s="1">
        <v>2024</v>
      </c>
      <c r="C33" s="3" t="s">
        <v>133</v>
      </c>
      <c r="D33" s="1" t="s">
        <v>134</v>
      </c>
      <c r="E33" s="1">
        <v>9.86</v>
      </c>
      <c r="F33" s="1">
        <v>307.7</v>
      </c>
      <c r="G33" s="1">
        <v>33</v>
      </c>
      <c r="H33" s="1">
        <v>78.3</v>
      </c>
      <c r="I33" s="1">
        <v>7</v>
      </c>
      <c r="J33" s="1">
        <v>78.2</v>
      </c>
      <c r="K33" s="1">
        <v>10</v>
      </c>
      <c r="L33" s="1">
        <v>63.8</v>
      </c>
      <c r="M33" s="1">
        <v>41</v>
      </c>
      <c r="N33" s="1">
        <v>45.8</v>
      </c>
      <c r="O33" s="1">
        <v>31</v>
      </c>
      <c r="P33" s="1">
        <v>41.6</v>
      </c>
      <c r="Q33" s="1">
        <v>40</v>
      </c>
      <c r="R33" s="2">
        <v>0.61599999999999999</v>
      </c>
      <c r="S33" s="1">
        <v>25</v>
      </c>
      <c r="T33" s="2">
        <v>0.255</v>
      </c>
      <c r="U33" s="1">
        <v>19</v>
      </c>
      <c r="V33" s="2">
        <v>0.32400000000000001</v>
      </c>
      <c r="W33" s="1">
        <v>41</v>
      </c>
      <c r="X33" s="2">
        <v>0.32</v>
      </c>
      <c r="Y33" s="1">
        <v>41</v>
      </c>
      <c r="Z33" s="2">
        <v>0.877</v>
      </c>
      <c r="AA33" s="1">
        <v>18</v>
      </c>
    </row>
    <row r="34" spans="1:27">
      <c r="A34" s="1" t="s">
        <v>72</v>
      </c>
      <c r="B34" s="1">
        <v>2024</v>
      </c>
      <c r="C34" s="3" t="s">
        <v>135</v>
      </c>
      <c r="D34" s="1" t="s">
        <v>136</v>
      </c>
      <c r="E34" s="1">
        <v>9.94</v>
      </c>
      <c r="F34" s="1">
        <v>384.1</v>
      </c>
      <c r="G34" s="1">
        <v>2</v>
      </c>
      <c r="H34" s="1">
        <v>77.7</v>
      </c>
      <c r="I34" s="1">
        <v>11</v>
      </c>
      <c r="J34" s="1">
        <v>117.1</v>
      </c>
      <c r="K34" s="1">
        <v>1</v>
      </c>
      <c r="L34" s="1">
        <v>84</v>
      </c>
      <c r="M34" s="1">
        <v>18</v>
      </c>
      <c r="N34" s="1">
        <v>42.4</v>
      </c>
      <c r="O34" s="1">
        <v>43</v>
      </c>
      <c r="P34" s="1">
        <v>62.9</v>
      </c>
      <c r="Q34" s="1">
        <v>5</v>
      </c>
      <c r="R34" s="2">
        <v>0.72399999999999998</v>
      </c>
      <c r="S34" s="1">
        <v>3</v>
      </c>
      <c r="T34" s="2">
        <v>0.39500000000000002</v>
      </c>
      <c r="U34" s="1">
        <v>1</v>
      </c>
      <c r="V34" s="2">
        <v>0.33500000000000002</v>
      </c>
      <c r="W34" s="1">
        <v>18</v>
      </c>
      <c r="X34" s="2">
        <v>0.34499999999999997</v>
      </c>
      <c r="Y34" s="1">
        <v>22</v>
      </c>
      <c r="Z34" s="2">
        <v>0.89700000000000002</v>
      </c>
      <c r="AA34" s="1">
        <v>5</v>
      </c>
    </row>
    <row r="35" spans="1:27">
      <c r="A35" s="1" t="s">
        <v>72</v>
      </c>
      <c r="B35" s="1">
        <v>2024</v>
      </c>
      <c r="C35" s="3" t="s">
        <v>137</v>
      </c>
      <c r="D35" s="1" t="s">
        <v>138</v>
      </c>
      <c r="E35" s="1">
        <v>10.050000000000001</v>
      </c>
      <c r="F35" s="1">
        <v>317</v>
      </c>
      <c r="G35" s="1">
        <v>22</v>
      </c>
      <c r="H35" s="1">
        <v>72.7</v>
      </c>
      <c r="I35" s="1">
        <v>19</v>
      </c>
      <c r="J35" s="1">
        <v>78</v>
      </c>
      <c r="K35" s="1">
        <v>11</v>
      </c>
      <c r="L35" s="1">
        <v>60.2</v>
      </c>
      <c r="M35" s="1">
        <v>44</v>
      </c>
      <c r="N35" s="1">
        <v>61.6</v>
      </c>
      <c r="O35" s="1">
        <v>5</v>
      </c>
      <c r="P35" s="1">
        <v>44.5</v>
      </c>
      <c r="Q35" s="1">
        <v>34</v>
      </c>
      <c r="R35" s="2">
        <v>0.66200000000000003</v>
      </c>
      <c r="S35" s="1">
        <v>9</v>
      </c>
      <c r="T35" s="2">
        <v>0.34799999999999998</v>
      </c>
      <c r="U35" s="1">
        <v>4</v>
      </c>
      <c r="V35" s="2">
        <v>0.32200000000000001</v>
      </c>
      <c r="W35" s="1">
        <v>44</v>
      </c>
      <c r="X35" s="2">
        <v>0.38900000000000001</v>
      </c>
      <c r="Y35" s="1">
        <v>1</v>
      </c>
      <c r="Z35" s="2">
        <v>0.85899999999999999</v>
      </c>
      <c r="AA35" s="1">
        <v>38</v>
      </c>
    </row>
    <row r="36" spans="1:27">
      <c r="A36" s="1" t="s">
        <v>72</v>
      </c>
      <c r="B36" s="1">
        <v>2024</v>
      </c>
      <c r="C36" s="3" t="s">
        <v>139</v>
      </c>
      <c r="D36" s="1" t="s">
        <v>140</v>
      </c>
      <c r="E36" s="1">
        <v>9.7799999999999994</v>
      </c>
      <c r="F36" s="1">
        <v>313.5</v>
      </c>
      <c r="G36" s="1">
        <v>25</v>
      </c>
      <c r="H36" s="1">
        <v>67.599999999999994</v>
      </c>
      <c r="I36" s="1">
        <v>29</v>
      </c>
      <c r="J36" s="1">
        <v>68.7</v>
      </c>
      <c r="K36" s="1">
        <v>20</v>
      </c>
      <c r="L36" s="1">
        <v>82.3</v>
      </c>
      <c r="M36" s="1">
        <v>20</v>
      </c>
      <c r="N36" s="1">
        <v>44.7</v>
      </c>
      <c r="O36" s="1">
        <v>35</v>
      </c>
      <c r="P36" s="1">
        <v>50.2</v>
      </c>
      <c r="Q36" s="1">
        <v>23</v>
      </c>
      <c r="R36" s="2">
        <v>0.60799999999999998</v>
      </c>
      <c r="S36" s="1">
        <v>27</v>
      </c>
      <c r="T36" s="2">
        <v>0.222</v>
      </c>
      <c r="U36" s="1">
        <v>25</v>
      </c>
      <c r="V36" s="2">
        <v>0.33400000000000002</v>
      </c>
      <c r="W36" s="1">
        <v>20</v>
      </c>
      <c r="X36" s="2">
        <v>0.35299999999999998</v>
      </c>
      <c r="Y36" s="1">
        <v>16</v>
      </c>
      <c r="Z36" s="2">
        <v>0.86099999999999999</v>
      </c>
      <c r="AA36" s="1">
        <v>36</v>
      </c>
    </row>
    <row r="37" spans="1:27">
      <c r="A37" s="1" t="s">
        <v>72</v>
      </c>
      <c r="B37" s="1">
        <v>2024</v>
      </c>
      <c r="C37" s="3" t="s">
        <v>141</v>
      </c>
      <c r="D37" s="1" t="s">
        <v>142</v>
      </c>
      <c r="E37" s="1">
        <v>10.15</v>
      </c>
      <c r="F37" s="1">
        <v>303.10000000000002</v>
      </c>
      <c r="G37" s="1">
        <v>36</v>
      </c>
      <c r="H37" s="1">
        <v>77.900000000000006</v>
      </c>
      <c r="I37" s="1">
        <v>10</v>
      </c>
      <c r="J37" s="1">
        <v>62.5</v>
      </c>
      <c r="K37" s="1">
        <v>37</v>
      </c>
      <c r="L37" s="1">
        <v>63.9</v>
      </c>
      <c r="M37" s="1">
        <v>40</v>
      </c>
      <c r="N37" s="1">
        <v>44.2</v>
      </c>
      <c r="O37" s="1">
        <v>39</v>
      </c>
      <c r="P37" s="1">
        <v>54.5</v>
      </c>
      <c r="Q37" s="1">
        <v>16</v>
      </c>
      <c r="R37" s="2">
        <v>0.60799999999999998</v>
      </c>
      <c r="S37" s="1">
        <v>28</v>
      </c>
      <c r="T37" s="2">
        <v>0.19</v>
      </c>
      <c r="U37" s="1">
        <v>31</v>
      </c>
      <c r="V37" s="2">
        <v>0.32400000000000001</v>
      </c>
      <c r="W37" s="1">
        <v>40</v>
      </c>
      <c r="X37" s="2">
        <v>0.33300000000000002</v>
      </c>
      <c r="Y37" s="1">
        <v>29</v>
      </c>
      <c r="Z37" s="2">
        <v>0.88200000000000001</v>
      </c>
      <c r="AA37" s="1">
        <v>14</v>
      </c>
    </row>
    <row r="38" spans="1:27">
      <c r="A38" s="1" t="s">
        <v>72</v>
      </c>
      <c r="B38" s="1">
        <v>2024</v>
      </c>
      <c r="C38" s="3" t="s">
        <v>143</v>
      </c>
      <c r="D38" s="1" t="s">
        <v>144</v>
      </c>
      <c r="E38" s="1">
        <v>10.24</v>
      </c>
      <c r="F38" s="1">
        <v>331.2</v>
      </c>
      <c r="G38" s="1">
        <v>14</v>
      </c>
      <c r="H38" s="1">
        <v>52.4</v>
      </c>
      <c r="I38" s="1">
        <v>47</v>
      </c>
      <c r="J38" s="1">
        <v>79.2</v>
      </c>
      <c r="K38" s="1">
        <v>8</v>
      </c>
      <c r="L38" s="1">
        <v>118.8</v>
      </c>
      <c r="M38" s="1">
        <v>2</v>
      </c>
      <c r="N38" s="1">
        <v>43.7</v>
      </c>
      <c r="O38" s="1">
        <v>40</v>
      </c>
      <c r="P38" s="1">
        <v>37.1</v>
      </c>
      <c r="Q38" s="1">
        <v>44</v>
      </c>
      <c r="R38" s="2">
        <v>0.56599999999999995</v>
      </c>
      <c r="S38" s="1">
        <v>40</v>
      </c>
      <c r="T38" s="2">
        <v>0.28999999999999998</v>
      </c>
      <c r="U38" s="1">
        <v>10</v>
      </c>
      <c r="V38" s="2">
        <v>0.35299999999999998</v>
      </c>
      <c r="W38" s="1">
        <v>2</v>
      </c>
      <c r="X38" s="2">
        <v>0.317</v>
      </c>
      <c r="Y38" s="1">
        <v>45</v>
      </c>
      <c r="Z38" s="2">
        <v>0.82299999999999995</v>
      </c>
      <c r="AA38" s="1">
        <v>47</v>
      </c>
    </row>
    <row r="39" spans="1:27">
      <c r="A39" s="1" t="s">
        <v>72</v>
      </c>
      <c r="B39" s="1">
        <v>2024</v>
      </c>
      <c r="C39" s="3" t="s">
        <v>145</v>
      </c>
      <c r="D39" s="1" t="s">
        <v>146</v>
      </c>
      <c r="E39" s="1">
        <v>10.02</v>
      </c>
      <c r="F39" s="1">
        <v>324.5</v>
      </c>
      <c r="G39" s="1">
        <v>19</v>
      </c>
      <c r="H39" s="1">
        <v>70.8</v>
      </c>
      <c r="I39" s="1">
        <v>26</v>
      </c>
      <c r="J39" s="1">
        <v>80.8</v>
      </c>
      <c r="K39" s="1">
        <v>6</v>
      </c>
      <c r="L39" s="1">
        <v>78.099999999999994</v>
      </c>
      <c r="M39" s="1">
        <v>26</v>
      </c>
      <c r="N39" s="1">
        <v>53.1</v>
      </c>
      <c r="O39" s="1">
        <v>14</v>
      </c>
      <c r="P39" s="1">
        <v>41.7</v>
      </c>
      <c r="Q39" s="1">
        <v>39</v>
      </c>
      <c r="R39" s="2">
        <v>0.57899999999999996</v>
      </c>
      <c r="S39" s="1">
        <v>37</v>
      </c>
      <c r="T39" s="2">
        <v>0.34499999999999997</v>
      </c>
      <c r="U39" s="1">
        <v>5</v>
      </c>
      <c r="V39" s="2">
        <v>0.33200000000000002</v>
      </c>
      <c r="W39" s="1">
        <v>26</v>
      </c>
      <c r="X39" s="2">
        <v>0.34</v>
      </c>
      <c r="Y39" s="1">
        <v>25</v>
      </c>
      <c r="Z39" s="2">
        <v>0.84899999999999998</v>
      </c>
      <c r="AA39" s="1">
        <v>42</v>
      </c>
    </row>
    <row r="40" spans="1:27">
      <c r="A40" s="1" t="s">
        <v>72</v>
      </c>
      <c r="B40" s="1">
        <v>2024</v>
      </c>
      <c r="C40" s="3" t="s">
        <v>147</v>
      </c>
      <c r="D40" s="1" t="s">
        <v>148</v>
      </c>
      <c r="E40" s="1">
        <v>9.98</v>
      </c>
      <c r="F40" s="1">
        <v>281.7</v>
      </c>
      <c r="G40" s="1">
        <v>47</v>
      </c>
      <c r="H40" s="1">
        <v>60.4</v>
      </c>
      <c r="I40" s="1">
        <v>41</v>
      </c>
      <c r="J40" s="1">
        <v>66.7</v>
      </c>
      <c r="K40" s="1">
        <v>26</v>
      </c>
      <c r="L40" s="1">
        <v>68.400000000000006</v>
      </c>
      <c r="M40" s="1">
        <v>38</v>
      </c>
      <c r="N40" s="1">
        <v>49.4</v>
      </c>
      <c r="O40" s="1">
        <v>20</v>
      </c>
      <c r="P40" s="1">
        <v>36.799999999999997</v>
      </c>
      <c r="Q40" s="1">
        <v>45</v>
      </c>
      <c r="R40" s="2">
        <v>0.63200000000000001</v>
      </c>
      <c r="S40" s="1">
        <v>22</v>
      </c>
      <c r="T40" s="2">
        <v>0.20100000000000001</v>
      </c>
      <c r="U40" s="1">
        <v>28</v>
      </c>
      <c r="V40" s="2">
        <v>0.32700000000000001</v>
      </c>
      <c r="W40" s="1">
        <v>38</v>
      </c>
      <c r="X40" s="2">
        <v>0.34100000000000003</v>
      </c>
      <c r="Y40" s="1">
        <v>24</v>
      </c>
      <c r="Z40" s="2">
        <v>0.85</v>
      </c>
      <c r="AA40" s="1">
        <v>41</v>
      </c>
    </row>
    <row r="41" spans="1:27">
      <c r="A41" s="1" t="s">
        <v>72</v>
      </c>
      <c r="B41" s="1">
        <v>2024</v>
      </c>
      <c r="C41" s="3" t="s">
        <v>149</v>
      </c>
      <c r="D41" s="1" t="s">
        <v>150</v>
      </c>
      <c r="E41" s="1">
        <v>10.050000000000001</v>
      </c>
      <c r="F41" s="1">
        <v>283.5</v>
      </c>
      <c r="G41" s="1">
        <v>45</v>
      </c>
      <c r="H41" s="1">
        <v>75</v>
      </c>
      <c r="I41" s="1">
        <v>14</v>
      </c>
      <c r="J41" s="1">
        <v>64.3</v>
      </c>
      <c r="K41" s="1">
        <v>32</v>
      </c>
      <c r="L41" s="1">
        <v>38.799999999999997</v>
      </c>
      <c r="M41" s="1">
        <v>47</v>
      </c>
      <c r="N41" s="1">
        <v>67.400000000000006</v>
      </c>
      <c r="O41" s="1">
        <v>2</v>
      </c>
      <c r="P41" s="1">
        <v>38.1</v>
      </c>
      <c r="Q41" s="1">
        <v>43</v>
      </c>
      <c r="R41" s="2">
        <v>0.69099999999999995</v>
      </c>
      <c r="S41" s="1">
        <v>7</v>
      </c>
      <c r="T41" s="2">
        <v>0.17899999999999999</v>
      </c>
      <c r="U41" s="1">
        <v>35</v>
      </c>
      <c r="V41" s="2">
        <v>0.311</v>
      </c>
      <c r="W41" s="1">
        <v>47</v>
      </c>
      <c r="X41" s="2">
        <v>0.34899999999999998</v>
      </c>
      <c r="Y41" s="1">
        <v>18</v>
      </c>
      <c r="Z41" s="2">
        <v>0.83799999999999997</v>
      </c>
      <c r="AA41" s="1">
        <v>45</v>
      </c>
    </row>
    <row r="42" spans="1:27">
      <c r="A42" s="1" t="s">
        <v>72</v>
      </c>
      <c r="B42" s="1">
        <v>2024</v>
      </c>
      <c r="C42" s="3" t="s">
        <v>151</v>
      </c>
      <c r="D42" s="1" t="s">
        <v>152</v>
      </c>
      <c r="E42" s="1">
        <v>10.11</v>
      </c>
      <c r="F42" s="1">
        <v>312</v>
      </c>
      <c r="G42" s="1">
        <v>28</v>
      </c>
      <c r="H42" s="1">
        <v>63.5</v>
      </c>
      <c r="I42" s="1">
        <v>35</v>
      </c>
      <c r="J42" s="1">
        <v>72</v>
      </c>
      <c r="K42" s="1">
        <v>17</v>
      </c>
      <c r="L42" s="1">
        <v>76</v>
      </c>
      <c r="M42" s="1">
        <v>29</v>
      </c>
      <c r="N42" s="1">
        <v>53.6</v>
      </c>
      <c r="O42" s="1">
        <v>11</v>
      </c>
      <c r="P42" s="1">
        <v>46.9</v>
      </c>
      <c r="Q42" s="1">
        <v>30</v>
      </c>
      <c r="R42" s="2">
        <v>0.58899999999999997</v>
      </c>
      <c r="S42" s="1">
        <v>33</v>
      </c>
      <c r="T42" s="2">
        <v>0.22800000000000001</v>
      </c>
      <c r="U42" s="1">
        <v>23</v>
      </c>
      <c r="V42" s="2">
        <v>0.33100000000000002</v>
      </c>
      <c r="W42" s="1">
        <v>29</v>
      </c>
      <c r="X42" s="2">
        <v>0.34499999999999997</v>
      </c>
      <c r="Y42" s="1">
        <v>21</v>
      </c>
      <c r="Z42" s="2">
        <v>0.875</v>
      </c>
      <c r="AA42" s="1">
        <v>22</v>
      </c>
    </row>
    <row r="43" spans="1:27">
      <c r="A43" s="1" t="s">
        <v>72</v>
      </c>
      <c r="B43" s="1">
        <v>2024</v>
      </c>
      <c r="C43" s="3" t="s">
        <v>153</v>
      </c>
      <c r="D43" s="1" t="s">
        <v>154</v>
      </c>
      <c r="E43" s="1">
        <v>10.55</v>
      </c>
      <c r="F43" s="1">
        <v>331.8</v>
      </c>
      <c r="G43" s="1">
        <v>13</v>
      </c>
      <c r="H43" s="1">
        <v>60.4</v>
      </c>
      <c r="I43" s="1">
        <v>40</v>
      </c>
      <c r="J43" s="1">
        <v>69.3</v>
      </c>
      <c r="K43" s="1">
        <v>19</v>
      </c>
      <c r="L43" s="1">
        <v>80.599999999999994</v>
      </c>
      <c r="M43" s="1">
        <v>23</v>
      </c>
      <c r="N43" s="1">
        <v>62.4</v>
      </c>
      <c r="O43" s="1">
        <v>4</v>
      </c>
      <c r="P43" s="1">
        <v>59.1</v>
      </c>
      <c r="Q43" s="1">
        <v>9</v>
      </c>
      <c r="R43" s="2">
        <v>0.59299999999999997</v>
      </c>
      <c r="S43" s="1">
        <v>31</v>
      </c>
      <c r="T43" s="2">
        <v>0.246</v>
      </c>
      <c r="U43" s="1">
        <v>21</v>
      </c>
      <c r="V43" s="2">
        <v>0.33300000000000002</v>
      </c>
      <c r="W43" s="1">
        <v>23</v>
      </c>
      <c r="X43" s="2">
        <v>0.36899999999999999</v>
      </c>
      <c r="Y43" s="1">
        <v>7</v>
      </c>
      <c r="Z43" s="2">
        <v>0.88700000000000001</v>
      </c>
      <c r="AA43" s="1">
        <v>8</v>
      </c>
    </row>
    <row r="44" spans="1:27">
      <c r="A44" s="1" t="s">
        <v>72</v>
      </c>
      <c r="B44" s="1">
        <v>2024</v>
      </c>
      <c r="C44" s="3" t="s">
        <v>155</v>
      </c>
      <c r="D44" s="1" t="s">
        <v>156</v>
      </c>
      <c r="E44" s="1">
        <v>10.06</v>
      </c>
      <c r="F44" s="1">
        <v>310.8</v>
      </c>
      <c r="G44" s="1">
        <v>30</v>
      </c>
      <c r="H44" s="1">
        <v>54.5</v>
      </c>
      <c r="I44" s="1">
        <v>45</v>
      </c>
      <c r="J44" s="1">
        <v>63.4</v>
      </c>
      <c r="K44" s="1">
        <v>34</v>
      </c>
      <c r="L44" s="1">
        <v>81.7</v>
      </c>
      <c r="M44" s="1">
        <v>22</v>
      </c>
      <c r="N44" s="1">
        <v>63.5</v>
      </c>
      <c r="O44" s="1">
        <v>3</v>
      </c>
      <c r="P44" s="1">
        <v>47.8</v>
      </c>
      <c r="Q44" s="1">
        <v>29</v>
      </c>
      <c r="R44" s="2">
        <v>0.58799999999999997</v>
      </c>
      <c r="S44" s="1">
        <v>34</v>
      </c>
      <c r="T44" s="2">
        <v>0.23499999999999999</v>
      </c>
      <c r="U44" s="1">
        <v>22</v>
      </c>
      <c r="V44" s="2">
        <v>0.33400000000000002</v>
      </c>
      <c r="W44" s="1">
        <v>22</v>
      </c>
      <c r="X44" s="2">
        <v>0.36499999999999999</v>
      </c>
      <c r="Y44" s="1">
        <v>9</v>
      </c>
      <c r="Z44" s="2">
        <v>0.88100000000000001</v>
      </c>
      <c r="AA44" s="1">
        <v>15</v>
      </c>
    </row>
    <row r="45" spans="1:27">
      <c r="A45" s="1" t="s">
        <v>72</v>
      </c>
      <c r="B45" s="1">
        <v>2024</v>
      </c>
      <c r="C45" s="3" t="s">
        <v>157</v>
      </c>
      <c r="D45" s="1" t="s">
        <v>158</v>
      </c>
      <c r="E45" s="1">
        <v>10.08</v>
      </c>
      <c r="F45" s="1">
        <v>314.8</v>
      </c>
      <c r="G45" s="1">
        <v>23</v>
      </c>
      <c r="H45" s="1">
        <v>63.4</v>
      </c>
      <c r="I45" s="1">
        <v>36</v>
      </c>
      <c r="J45" s="1">
        <v>80.5</v>
      </c>
      <c r="K45" s="1">
        <v>7</v>
      </c>
      <c r="L45" s="1">
        <v>68.099999999999994</v>
      </c>
      <c r="M45" s="1">
        <v>39</v>
      </c>
      <c r="N45" s="1">
        <v>52.5</v>
      </c>
      <c r="O45" s="1">
        <v>15</v>
      </c>
      <c r="P45" s="1">
        <v>50.3</v>
      </c>
      <c r="Q45" s="1">
        <v>21</v>
      </c>
      <c r="R45" s="2">
        <v>0.63900000000000001</v>
      </c>
      <c r="S45" s="1">
        <v>19</v>
      </c>
      <c r="T45" s="2">
        <v>0.373</v>
      </c>
      <c r="U45" s="1">
        <v>2</v>
      </c>
      <c r="V45" s="2">
        <v>0.32600000000000001</v>
      </c>
      <c r="W45" s="1">
        <v>39</v>
      </c>
      <c r="X45" s="2">
        <v>0.379</v>
      </c>
      <c r="Y45" s="1">
        <v>5</v>
      </c>
      <c r="Z45" s="2">
        <v>0.88400000000000001</v>
      </c>
      <c r="AA45" s="1">
        <v>12</v>
      </c>
    </row>
    <row r="46" spans="1:27">
      <c r="A46" s="1" t="s">
        <v>72</v>
      </c>
      <c r="B46" s="1">
        <v>2024</v>
      </c>
      <c r="C46" s="3" t="s">
        <v>159</v>
      </c>
      <c r="D46" s="1" t="s">
        <v>160</v>
      </c>
      <c r="E46" s="1">
        <v>10.08</v>
      </c>
      <c r="F46" s="1">
        <v>327.7</v>
      </c>
      <c r="G46" s="1">
        <v>16</v>
      </c>
      <c r="H46" s="1">
        <v>54.2</v>
      </c>
      <c r="I46" s="1">
        <v>46</v>
      </c>
      <c r="J46" s="1">
        <v>87.6</v>
      </c>
      <c r="K46" s="1">
        <v>2</v>
      </c>
      <c r="L46" s="1">
        <v>78</v>
      </c>
      <c r="M46" s="1">
        <v>27</v>
      </c>
      <c r="N46" s="1">
        <v>59.4</v>
      </c>
      <c r="O46" s="1">
        <v>7</v>
      </c>
      <c r="P46" s="1">
        <v>48.5</v>
      </c>
      <c r="Q46" s="1">
        <v>28</v>
      </c>
      <c r="R46" s="2">
        <v>0.64800000000000002</v>
      </c>
      <c r="S46" s="1">
        <v>16</v>
      </c>
      <c r="T46" s="2">
        <v>0.34899999999999998</v>
      </c>
      <c r="U46" s="1">
        <v>3</v>
      </c>
      <c r="V46" s="2">
        <v>0.33200000000000002</v>
      </c>
      <c r="W46" s="1">
        <v>27</v>
      </c>
      <c r="X46" s="2">
        <v>0.38</v>
      </c>
      <c r="Y46" s="1">
        <v>4</v>
      </c>
      <c r="Z46" s="2">
        <v>0.86799999999999999</v>
      </c>
      <c r="AA46" s="1">
        <v>30</v>
      </c>
    </row>
    <row r="47" spans="1:27">
      <c r="A47" s="1" t="s">
        <v>72</v>
      </c>
      <c r="B47" s="1">
        <v>2024</v>
      </c>
      <c r="C47" s="3" t="s">
        <v>161</v>
      </c>
      <c r="D47" s="1" t="s">
        <v>162</v>
      </c>
      <c r="E47" s="1">
        <v>9.77</v>
      </c>
      <c r="F47" s="1">
        <v>326</v>
      </c>
      <c r="G47" s="1">
        <v>17</v>
      </c>
      <c r="H47" s="1">
        <v>60.9</v>
      </c>
      <c r="I47" s="1">
        <v>39</v>
      </c>
      <c r="J47" s="1">
        <v>63.2</v>
      </c>
      <c r="K47" s="1">
        <v>35</v>
      </c>
      <c r="L47" s="1">
        <v>97.5</v>
      </c>
      <c r="M47" s="1">
        <v>7</v>
      </c>
      <c r="N47" s="1">
        <v>44.9</v>
      </c>
      <c r="O47" s="1">
        <v>34</v>
      </c>
      <c r="P47" s="1">
        <v>59.4</v>
      </c>
      <c r="Q47" s="1">
        <v>8</v>
      </c>
      <c r="R47" s="2">
        <v>0.60299999999999998</v>
      </c>
      <c r="S47" s="1">
        <v>29</v>
      </c>
      <c r="T47" s="2">
        <v>0.2</v>
      </c>
      <c r="U47" s="1">
        <v>29</v>
      </c>
      <c r="V47" s="2">
        <v>0.34200000000000003</v>
      </c>
      <c r="W47" s="1">
        <v>7</v>
      </c>
      <c r="X47" s="2">
        <v>0.33600000000000002</v>
      </c>
      <c r="Y47" s="1">
        <v>28</v>
      </c>
      <c r="Z47" s="2">
        <v>0.89300000000000002</v>
      </c>
      <c r="AA47" s="1">
        <v>7</v>
      </c>
    </row>
    <row r="48" spans="1:27">
      <c r="A48" s="1" t="s">
        <v>72</v>
      </c>
      <c r="B48" s="1">
        <v>2024</v>
      </c>
      <c r="C48" s="3" t="s">
        <v>163</v>
      </c>
      <c r="D48" s="1" t="s">
        <v>164</v>
      </c>
      <c r="E48" s="1">
        <v>10.130000000000001</v>
      </c>
      <c r="F48" s="1">
        <v>314.60000000000002</v>
      </c>
      <c r="G48" s="1">
        <v>24</v>
      </c>
      <c r="H48" s="1">
        <v>64.5</v>
      </c>
      <c r="I48" s="1">
        <v>33</v>
      </c>
      <c r="J48" s="1">
        <v>56.7</v>
      </c>
      <c r="K48" s="1">
        <v>44</v>
      </c>
      <c r="L48" s="1">
        <v>86.5</v>
      </c>
      <c r="M48" s="1">
        <v>11</v>
      </c>
      <c r="N48" s="1">
        <v>52</v>
      </c>
      <c r="O48" s="1">
        <v>16</v>
      </c>
      <c r="P48" s="1">
        <v>55</v>
      </c>
      <c r="Q48" s="1">
        <v>15</v>
      </c>
      <c r="R48" s="2">
        <v>0.54100000000000004</v>
      </c>
      <c r="S48" s="1">
        <v>43</v>
      </c>
      <c r="T48" s="2">
        <v>0.183</v>
      </c>
      <c r="U48" s="1">
        <v>33</v>
      </c>
      <c r="V48" s="2">
        <v>0.33600000000000002</v>
      </c>
      <c r="W48" s="1">
        <v>11</v>
      </c>
      <c r="X48" s="2">
        <v>0.378</v>
      </c>
      <c r="Y48" s="1">
        <v>6</v>
      </c>
      <c r="Z48" s="2">
        <v>0.90200000000000002</v>
      </c>
      <c r="AA48" s="1">
        <v>2</v>
      </c>
    </row>
    <row r="49" spans="1:27">
      <c r="A49" s="1" t="s">
        <v>72</v>
      </c>
      <c r="B49" s="1">
        <v>2024</v>
      </c>
      <c r="C49" s="3" t="s">
        <v>165</v>
      </c>
      <c r="D49" s="1" t="s">
        <v>166</v>
      </c>
      <c r="E49" s="1">
        <v>9.44</v>
      </c>
      <c r="F49" s="1">
        <v>344.5</v>
      </c>
      <c r="G49" s="1">
        <v>7</v>
      </c>
      <c r="H49" s="1">
        <v>58.7</v>
      </c>
      <c r="I49" s="1">
        <v>42</v>
      </c>
      <c r="J49" s="1">
        <v>82.1</v>
      </c>
      <c r="K49" s="1">
        <v>5</v>
      </c>
      <c r="L49" s="1">
        <v>78.8</v>
      </c>
      <c r="M49" s="1">
        <v>25</v>
      </c>
      <c r="N49" s="1">
        <v>60.4</v>
      </c>
      <c r="O49" s="1">
        <v>6</v>
      </c>
      <c r="P49" s="1">
        <v>64.400000000000006</v>
      </c>
      <c r="Q49" s="1">
        <v>1</v>
      </c>
      <c r="R49" s="2">
        <v>0.59799999999999998</v>
      </c>
      <c r="S49" s="1">
        <v>30</v>
      </c>
      <c r="T49" s="2">
        <v>0.314</v>
      </c>
      <c r="U49" s="1">
        <v>7</v>
      </c>
      <c r="V49" s="2">
        <v>0.33200000000000002</v>
      </c>
      <c r="W49" s="1">
        <v>25</v>
      </c>
      <c r="X49" s="2">
        <v>0.36</v>
      </c>
      <c r="Y49" s="1">
        <v>10</v>
      </c>
      <c r="Z49" s="2">
        <v>0.92400000000000004</v>
      </c>
      <c r="AA49" s="1">
        <v>1</v>
      </c>
    </row>
  </sheetData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4931-530F-41EC-A0FD-C755E3EEA012}">
  <dimension ref="A1:E50"/>
  <sheetViews>
    <sheetView workbookViewId="0">
      <selection activeCell="H18" sqref="H18"/>
    </sheetView>
  </sheetViews>
  <sheetFormatPr defaultRowHeight="18"/>
  <sheetData>
    <row r="1" spans="1:5">
      <c r="A1" t="s">
        <v>167</v>
      </c>
    </row>
    <row r="2" spans="1:5" ht="18.600000000000001" thickBot="1">
      <c r="A2" t="s">
        <v>168</v>
      </c>
      <c r="B2" s="53" t="s">
        <v>9</v>
      </c>
    </row>
    <row r="3" spans="1:5" ht="56.45" thickBot="1">
      <c r="A3" s="52" t="s">
        <v>169</v>
      </c>
      <c r="B3" s="52" t="s">
        <v>170</v>
      </c>
      <c r="C3" s="52" t="s">
        <v>171</v>
      </c>
      <c r="D3" s="52" t="s">
        <v>172</v>
      </c>
      <c r="E3" s="52" t="s">
        <v>173</v>
      </c>
    </row>
    <row r="4" spans="1:5" ht="18.600000000000001" thickBot="1">
      <c r="A4" s="57" t="s">
        <v>174</v>
      </c>
      <c r="B4" s="57" t="s">
        <v>74</v>
      </c>
      <c r="C4" s="58">
        <v>0.1028</v>
      </c>
      <c r="D4" s="59">
        <v>3.2399999999999998E-2</v>
      </c>
      <c r="E4" s="59">
        <v>7.0400000000000004E-2</v>
      </c>
    </row>
    <row r="5" spans="1:5" ht="18.600000000000001" thickBot="1">
      <c r="A5" s="57" t="s">
        <v>174</v>
      </c>
      <c r="B5" s="57" t="s">
        <v>175</v>
      </c>
      <c r="C5" s="58">
        <v>9.8500000000000004E-2</v>
      </c>
      <c r="D5" s="59">
        <v>3.2399999999999998E-2</v>
      </c>
      <c r="E5" s="59">
        <v>6.6100000000000006E-2</v>
      </c>
    </row>
    <row r="6" spans="1:5" ht="18.600000000000001" thickBot="1">
      <c r="A6" s="57" t="s">
        <v>174</v>
      </c>
      <c r="B6" s="57" t="s">
        <v>176</v>
      </c>
      <c r="C6" s="58">
        <v>9.5100000000000004E-2</v>
      </c>
      <c r="D6" s="59">
        <v>3.2399999999999998E-2</v>
      </c>
      <c r="E6" s="59">
        <v>6.2700000000000006E-2</v>
      </c>
    </row>
    <row r="7" spans="1:5" ht="18.600000000000001" thickBot="1">
      <c r="A7" s="57" t="s">
        <v>174</v>
      </c>
      <c r="B7" s="57" t="s">
        <v>177</v>
      </c>
      <c r="C7" s="58">
        <v>0.10100000000000001</v>
      </c>
      <c r="D7" s="59">
        <v>3.2399999999999998E-2</v>
      </c>
      <c r="E7" s="59">
        <v>6.8599999999999994E-2</v>
      </c>
    </row>
    <row r="8" spans="1:5" ht="18.600000000000001" thickBot="1">
      <c r="A8" s="57" t="s">
        <v>174</v>
      </c>
      <c r="B8" s="57" t="s">
        <v>178</v>
      </c>
      <c r="C8" s="58">
        <v>0.10009999999999999</v>
      </c>
      <c r="D8" s="59">
        <v>3.2399999999999998E-2</v>
      </c>
      <c r="E8" s="59">
        <v>6.7699999999999996E-2</v>
      </c>
    </row>
    <row r="9" spans="1:5" ht="18.600000000000001" thickBot="1">
      <c r="A9" s="57" t="s">
        <v>174</v>
      </c>
      <c r="B9" s="57" t="s">
        <v>179</v>
      </c>
      <c r="C9" s="58">
        <v>9.7500000000000003E-2</v>
      </c>
      <c r="D9" s="59">
        <v>3.2399999999999998E-2</v>
      </c>
      <c r="E9" s="59">
        <v>6.5100000000000005E-2</v>
      </c>
    </row>
    <row r="10" spans="1:5" ht="18.600000000000001" thickBot="1">
      <c r="A10" s="57" t="s">
        <v>174</v>
      </c>
      <c r="B10" s="57" t="s">
        <v>180</v>
      </c>
      <c r="C10" s="58">
        <v>9.5000000000000001E-2</v>
      </c>
      <c r="D10" s="59">
        <v>3.2399999999999998E-2</v>
      </c>
      <c r="E10" s="59">
        <v>6.2600000000000003E-2</v>
      </c>
    </row>
    <row r="11" spans="1:5" ht="18.600000000000001" thickBot="1">
      <c r="A11" s="57" t="s">
        <v>174</v>
      </c>
      <c r="B11" s="57" t="s">
        <v>181</v>
      </c>
      <c r="C11" s="58">
        <v>9.5200000000000007E-2</v>
      </c>
      <c r="D11" s="59">
        <v>3.2399999999999998E-2</v>
      </c>
      <c r="E11" s="59">
        <v>6.2799999999999995E-2</v>
      </c>
    </row>
    <row r="12" spans="1:5" ht="18.600000000000001" thickBot="1">
      <c r="A12" s="57" t="s">
        <v>174</v>
      </c>
      <c r="B12" s="57" t="s">
        <v>182</v>
      </c>
      <c r="C12" s="58">
        <v>9.8199999999999996E-2</v>
      </c>
      <c r="D12" s="59">
        <v>3.2399999999999998E-2</v>
      </c>
      <c r="E12" s="59">
        <v>6.5799999999999997E-2</v>
      </c>
    </row>
    <row r="13" spans="1:5" ht="18.600000000000001" thickBot="1">
      <c r="A13" s="57" t="s">
        <v>174</v>
      </c>
      <c r="B13" s="57" t="s">
        <v>183</v>
      </c>
      <c r="C13" s="58">
        <v>9.6799999999999997E-2</v>
      </c>
      <c r="D13" s="59">
        <v>3.2399999999999998E-2</v>
      </c>
      <c r="E13" s="59">
        <v>6.4399999999999999E-2</v>
      </c>
    </row>
    <row r="14" spans="1:5" ht="18.600000000000001" thickBot="1">
      <c r="A14" s="57" t="s">
        <v>174</v>
      </c>
      <c r="B14" s="57" t="s">
        <v>184</v>
      </c>
      <c r="C14" s="58">
        <v>9.6699999999999994E-2</v>
      </c>
      <c r="D14" s="59">
        <v>3.2399999999999998E-2</v>
      </c>
      <c r="E14" s="59">
        <v>6.4299999999999996E-2</v>
      </c>
    </row>
    <row r="15" spans="1:5" ht="18.600000000000001" thickBot="1">
      <c r="A15" s="57" t="s">
        <v>174</v>
      </c>
      <c r="B15" s="57" t="s">
        <v>185</v>
      </c>
      <c r="C15" s="58">
        <v>9.7299999999999998E-2</v>
      </c>
      <c r="D15" s="59">
        <v>3.2399999999999998E-2</v>
      </c>
      <c r="E15" s="59">
        <v>6.4899999999999999E-2</v>
      </c>
    </row>
    <row r="16" spans="1:5" ht="18.600000000000001" thickBot="1">
      <c r="A16" s="57" t="s">
        <v>174</v>
      </c>
      <c r="B16" s="57" t="s">
        <v>186</v>
      </c>
      <c r="C16" s="58">
        <v>9.8500000000000004E-2</v>
      </c>
      <c r="D16" s="59">
        <v>3.2399999999999998E-2</v>
      </c>
      <c r="E16" s="59">
        <v>6.6100000000000006E-2</v>
      </c>
    </row>
    <row r="17" spans="1:5" ht="18.600000000000001" thickBot="1">
      <c r="A17" s="57" t="s">
        <v>174</v>
      </c>
      <c r="B17" s="57" t="s">
        <v>187</v>
      </c>
      <c r="C17" s="58">
        <v>9.9199999999999997E-2</v>
      </c>
      <c r="D17" s="59">
        <v>3.2399999999999998E-2</v>
      </c>
      <c r="E17" s="59">
        <v>6.6799999999999998E-2</v>
      </c>
    </row>
    <row r="18" spans="1:5" ht="18.600000000000001" thickBot="1">
      <c r="A18" s="57" t="s">
        <v>174</v>
      </c>
      <c r="B18" s="57" t="s">
        <v>188</v>
      </c>
      <c r="C18" s="58">
        <v>9.2100000000000001E-2</v>
      </c>
      <c r="D18" s="59">
        <v>3.2399999999999998E-2</v>
      </c>
      <c r="E18" s="59">
        <v>5.9700000000000003E-2</v>
      </c>
    </row>
    <row r="19" spans="1:5" ht="18.600000000000001" thickBot="1">
      <c r="A19" s="57" t="s">
        <v>174</v>
      </c>
      <c r="B19" s="57" t="s">
        <v>189</v>
      </c>
      <c r="C19" s="58">
        <v>9.5899999999999999E-2</v>
      </c>
      <c r="D19" s="59">
        <v>3.2399999999999998E-2</v>
      </c>
      <c r="E19" s="59">
        <v>6.3500000000000001E-2</v>
      </c>
    </row>
    <row r="20" spans="1:5" ht="18.600000000000001" thickBot="1">
      <c r="A20" s="57" t="s">
        <v>174</v>
      </c>
      <c r="B20" s="57" t="s">
        <v>190</v>
      </c>
      <c r="C20" s="58">
        <v>9.7000000000000003E-2</v>
      </c>
      <c r="D20" s="59">
        <v>3.2399999999999998E-2</v>
      </c>
      <c r="E20" s="59">
        <v>6.4600000000000005E-2</v>
      </c>
    </row>
    <row r="21" spans="1:5" ht="28.5" thickBot="1">
      <c r="A21" s="57" t="s">
        <v>174</v>
      </c>
      <c r="B21" s="57" t="s">
        <v>191</v>
      </c>
      <c r="C21" s="60" t="s">
        <v>192</v>
      </c>
      <c r="D21" s="59">
        <v>3.2399999999999998E-2</v>
      </c>
      <c r="E21" s="59">
        <v>6.4699999999999994E-2</v>
      </c>
    </row>
    <row r="22" spans="1:5" ht="18.600000000000001" thickBot="1">
      <c r="A22" s="57" t="s">
        <v>174</v>
      </c>
      <c r="B22" s="57" t="s">
        <v>193</v>
      </c>
      <c r="C22" s="58">
        <v>9.5500000000000002E-2</v>
      </c>
      <c r="D22" s="59">
        <v>3.2399999999999998E-2</v>
      </c>
      <c r="E22" s="59">
        <v>6.3100000000000003E-2</v>
      </c>
    </row>
    <row r="23" spans="1:5" ht="18.600000000000001" thickBot="1">
      <c r="A23" s="57" t="s">
        <v>174</v>
      </c>
      <c r="B23" s="57" t="s">
        <v>194</v>
      </c>
      <c r="C23" s="58">
        <v>9.6299999999999997E-2</v>
      </c>
      <c r="D23" s="59">
        <v>3.2399999999999998E-2</v>
      </c>
      <c r="E23" s="59">
        <v>6.3899999999999998E-2</v>
      </c>
    </row>
    <row r="24" spans="1:5" ht="18.600000000000001" thickBot="1">
      <c r="A24" s="57" t="s">
        <v>174</v>
      </c>
      <c r="B24" s="57" t="s">
        <v>195</v>
      </c>
      <c r="C24" s="58">
        <v>9.8000000000000004E-2</v>
      </c>
      <c r="D24" s="59">
        <v>3.2399999999999998E-2</v>
      </c>
      <c r="E24" s="59">
        <v>6.5600000000000006E-2</v>
      </c>
    </row>
    <row r="25" spans="1:5" ht="18.600000000000001" thickBot="1">
      <c r="A25" s="57" t="s">
        <v>174</v>
      </c>
      <c r="B25" s="57" t="s">
        <v>196</v>
      </c>
      <c r="C25" s="58">
        <v>9.6100000000000005E-2</v>
      </c>
      <c r="D25" s="59">
        <v>3.2399999999999998E-2</v>
      </c>
      <c r="E25" s="59">
        <v>6.3700000000000007E-2</v>
      </c>
    </row>
    <row r="26" spans="1:5" ht="18.600000000000001" thickBot="1">
      <c r="A26" s="57" t="s">
        <v>174</v>
      </c>
      <c r="B26" s="57" t="s">
        <v>197</v>
      </c>
      <c r="C26" s="58">
        <v>9.9299999999999999E-2</v>
      </c>
      <c r="D26" s="59">
        <v>3.2399999999999998E-2</v>
      </c>
      <c r="E26" s="59">
        <v>6.6900000000000001E-2</v>
      </c>
    </row>
    <row r="27" spans="1:5" ht="18.600000000000001" thickBot="1">
      <c r="A27" s="57" t="s">
        <v>174</v>
      </c>
      <c r="B27" s="57" t="s">
        <v>198</v>
      </c>
      <c r="C27" s="58">
        <v>9.7699999999999995E-2</v>
      </c>
      <c r="D27" s="59">
        <v>3.2399999999999998E-2</v>
      </c>
      <c r="E27" s="59">
        <v>6.5299999999999997E-2</v>
      </c>
    </row>
    <row r="28" spans="1:5" ht="18.600000000000001" thickBot="1">
      <c r="A28" s="57" t="s">
        <v>174</v>
      </c>
      <c r="B28" s="57" t="s">
        <v>199</v>
      </c>
      <c r="C28" s="58">
        <v>9.8799999999999999E-2</v>
      </c>
      <c r="D28" s="59">
        <v>3.2399999999999998E-2</v>
      </c>
      <c r="E28" s="59">
        <v>6.6400000000000001E-2</v>
      </c>
    </row>
    <row r="29" spans="1:5" ht="18.600000000000001" thickBot="1">
      <c r="A29" s="57" t="s">
        <v>174</v>
      </c>
      <c r="B29" s="57" t="s">
        <v>200</v>
      </c>
      <c r="C29" s="58">
        <v>9.8900000000000002E-2</v>
      </c>
      <c r="D29" s="59">
        <v>3.2399999999999998E-2</v>
      </c>
      <c r="E29" s="59">
        <v>6.6500000000000004E-2</v>
      </c>
    </row>
    <row r="30" spans="1:5" ht="18.600000000000001" thickBot="1">
      <c r="A30" s="57" t="s">
        <v>174</v>
      </c>
      <c r="B30" s="57" t="s">
        <v>201</v>
      </c>
      <c r="C30" s="58">
        <v>0.1013</v>
      </c>
      <c r="D30" s="59">
        <v>3.2399999999999998E-2</v>
      </c>
      <c r="E30" s="59">
        <v>6.8900000000000003E-2</v>
      </c>
    </row>
    <row r="31" spans="1:5" ht="18.600000000000001" thickBot="1">
      <c r="A31" s="57" t="s">
        <v>174</v>
      </c>
      <c r="B31" s="57" t="s">
        <v>202</v>
      </c>
      <c r="C31" s="58">
        <v>0.1012</v>
      </c>
      <c r="D31" s="59">
        <v>3.2399999999999998E-2</v>
      </c>
      <c r="E31" s="59">
        <v>6.88E-2</v>
      </c>
    </row>
    <row r="32" spans="1:5" ht="18.600000000000001" thickBot="1">
      <c r="A32" s="57" t="s">
        <v>174</v>
      </c>
      <c r="B32" s="57" t="s">
        <v>203</v>
      </c>
      <c r="C32" s="58">
        <v>9.9099999999999994E-2</v>
      </c>
      <c r="D32" s="59">
        <v>3.2399999999999998E-2</v>
      </c>
      <c r="E32" s="59">
        <v>6.6699999999999995E-2</v>
      </c>
    </row>
    <row r="33" spans="1:5" ht="18.600000000000001" thickBot="1">
      <c r="A33" s="57" t="s">
        <v>174</v>
      </c>
      <c r="B33" s="57" t="s">
        <v>204</v>
      </c>
      <c r="C33" s="58">
        <v>0.10059999999999999</v>
      </c>
      <c r="D33" s="59">
        <v>3.2399999999999998E-2</v>
      </c>
      <c r="E33" s="59">
        <v>6.8199999999999997E-2</v>
      </c>
    </row>
    <row r="34" spans="1:5" ht="18.600000000000001" thickBot="1">
      <c r="A34" s="57" t="s">
        <v>174</v>
      </c>
      <c r="B34" s="57" t="s">
        <v>205</v>
      </c>
      <c r="C34" s="58">
        <v>9.8599999999999993E-2</v>
      </c>
      <c r="D34" s="59">
        <v>3.2399999999999998E-2</v>
      </c>
      <c r="E34" s="59">
        <v>6.6199999999999995E-2</v>
      </c>
    </row>
    <row r="35" spans="1:5" ht="18.600000000000001" thickBot="1">
      <c r="A35" s="57" t="s">
        <v>174</v>
      </c>
      <c r="B35" s="57" t="s">
        <v>206</v>
      </c>
      <c r="C35" s="58">
        <v>9.9400000000000002E-2</v>
      </c>
      <c r="D35" s="59">
        <v>3.2399999999999998E-2</v>
      </c>
      <c r="E35" s="59">
        <v>6.7000000000000004E-2</v>
      </c>
    </row>
    <row r="36" spans="1:5" ht="18.600000000000001" thickBot="1">
      <c r="A36" s="57" t="s">
        <v>174</v>
      </c>
      <c r="B36" s="57" t="s">
        <v>207</v>
      </c>
      <c r="C36" s="58">
        <v>0.10050000000000001</v>
      </c>
      <c r="D36" s="59">
        <v>3.2399999999999998E-2</v>
      </c>
      <c r="E36" s="59">
        <v>6.8099999999999994E-2</v>
      </c>
    </row>
    <row r="37" spans="1:5" ht="18.600000000000001" thickBot="1">
      <c r="A37" s="57" t="s">
        <v>174</v>
      </c>
      <c r="B37" s="57" t="s">
        <v>208</v>
      </c>
      <c r="C37" s="58">
        <v>9.7799999999999998E-2</v>
      </c>
      <c r="D37" s="59">
        <v>3.2399999999999998E-2</v>
      </c>
      <c r="E37" s="59">
        <v>6.54E-2</v>
      </c>
    </row>
    <row r="38" spans="1:5" ht="18.600000000000001" thickBot="1">
      <c r="A38" s="57" t="s">
        <v>174</v>
      </c>
      <c r="B38" s="57" t="s">
        <v>209</v>
      </c>
      <c r="C38" s="58">
        <v>0.10150000000000001</v>
      </c>
      <c r="D38" s="59">
        <v>3.2399999999999998E-2</v>
      </c>
      <c r="E38" s="59">
        <v>6.9099999999999995E-2</v>
      </c>
    </row>
    <row r="39" spans="1:5" ht="18.600000000000001" thickBot="1">
      <c r="A39" s="57" t="s">
        <v>174</v>
      </c>
      <c r="B39" s="57" t="s">
        <v>210</v>
      </c>
      <c r="C39" s="58">
        <v>0.1024</v>
      </c>
      <c r="D39" s="59">
        <v>3.2399999999999998E-2</v>
      </c>
      <c r="E39" s="59">
        <v>7.0000000000000007E-2</v>
      </c>
    </row>
    <row r="40" spans="1:5" ht="18.600000000000001" thickBot="1">
      <c r="A40" s="57" t="s">
        <v>174</v>
      </c>
      <c r="B40" s="57" t="s">
        <v>211</v>
      </c>
      <c r="C40" s="58">
        <v>0.1002</v>
      </c>
      <c r="D40" s="59">
        <v>3.2399999999999998E-2</v>
      </c>
      <c r="E40" s="59">
        <v>6.7799999999999999E-2</v>
      </c>
    </row>
    <row r="41" spans="1:5" ht="18.600000000000001" thickBot="1">
      <c r="A41" s="57" t="s">
        <v>174</v>
      </c>
      <c r="B41" s="57" t="s">
        <v>212</v>
      </c>
      <c r="C41" s="58">
        <v>9.98E-2</v>
      </c>
      <c r="D41" s="59">
        <v>3.2399999999999998E-2</v>
      </c>
      <c r="E41" s="59">
        <v>6.7400000000000002E-2</v>
      </c>
    </row>
    <row r="42" spans="1:5" ht="18.600000000000001" thickBot="1">
      <c r="A42" s="57" t="s">
        <v>174</v>
      </c>
      <c r="B42" s="57" t="s">
        <v>213</v>
      </c>
      <c r="C42" s="58">
        <v>0.10050000000000001</v>
      </c>
      <c r="D42" s="59">
        <v>3.2399999999999998E-2</v>
      </c>
      <c r="E42" s="59">
        <v>6.8099999999999994E-2</v>
      </c>
    </row>
    <row r="43" spans="1:5" ht="18.600000000000001" thickBot="1">
      <c r="A43" s="57" t="s">
        <v>174</v>
      </c>
      <c r="B43" s="57" t="s">
        <v>214</v>
      </c>
      <c r="C43" s="58">
        <v>0.1011</v>
      </c>
      <c r="D43" s="59">
        <v>3.2399999999999998E-2</v>
      </c>
      <c r="E43" s="59">
        <v>6.8699999999999997E-2</v>
      </c>
    </row>
    <row r="44" spans="1:5" ht="18.600000000000001" thickBot="1">
      <c r="A44" s="57" t="s">
        <v>174</v>
      </c>
      <c r="B44" s="57" t="s">
        <v>215</v>
      </c>
      <c r="C44" s="58">
        <v>0.1055</v>
      </c>
      <c r="D44" s="59">
        <v>3.2399999999999998E-2</v>
      </c>
      <c r="E44" s="59">
        <v>7.3099999999999998E-2</v>
      </c>
    </row>
    <row r="45" spans="1:5" ht="18.600000000000001" thickBot="1">
      <c r="A45" s="57" t="s">
        <v>174</v>
      </c>
      <c r="B45" s="57" t="s">
        <v>216</v>
      </c>
      <c r="C45" s="58">
        <v>0.10059999999999999</v>
      </c>
      <c r="D45" s="59">
        <v>3.2399999999999998E-2</v>
      </c>
      <c r="E45" s="59">
        <v>6.8199999999999997E-2</v>
      </c>
    </row>
    <row r="46" spans="1:5" ht="18.600000000000001" thickBot="1">
      <c r="A46" s="57" t="s">
        <v>174</v>
      </c>
      <c r="B46" s="57" t="s">
        <v>217</v>
      </c>
      <c r="C46" s="58">
        <v>0.1008</v>
      </c>
      <c r="D46" s="59">
        <v>3.2399999999999998E-2</v>
      </c>
      <c r="E46" s="59">
        <v>6.8400000000000002E-2</v>
      </c>
    </row>
    <row r="47" spans="1:5" ht="18.600000000000001" thickBot="1">
      <c r="A47" s="57" t="s">
        <v>174</v>
      </c>
      <c r="B47" s="57" t="s">
        <v>218</v>
      </c>
      <c r="C47" s="58">
        <v>0.1008</v>
      </c>
      <c r="D47" s="59">
        <v>3.2399999999999998E-2</v>
      </c>
      <c r="E47" s="59">
        <v>6.8400000000000002E-2</v>
      </c>
    </row>
    <row r="48" spans="1:5" ht="18.600000000000001" thickBot="1">
      <c r="A48" s="57" t="s">
        <v>174</v>
      </c>
      <c r="B48" s="57" t="s">
        <v>219</v>
      </c>
      <c r="C48" s="58">
        <v>9.7699999999999995E-2</v>
      </c>
      <c r="D48" s="59">
        <v>3.2399999999999998E-2</v>
      </c>
      <c r="E48" s="59">
        <v>6.5299999999999997E-2</v>
      </c>
    </row>
    <row r="49" spans="1:5" ht="18.600000000000001" thickBot="1">
      <c r="A49" s="57" t="s">
        <v>174</v>
      </c>
      <c r="B49" s="57" t="s">
        <v>220</v>
      </c>
      <c r="C49" s="58">
        <v>0.1013</v>
      </c>
      <c r="D49" s="59">
        <v>3.2399999999999998E-2</v>
      </c>
      <c r="E49" s="59">
        <v>6.8900000000000003E-2</v>
      </c>
    </row>
    <row r="50" spans="1:5" ht="18.600000000000001" thickBot="1">
      <c r="A50" s="57" t="s">
        <v>174</v>
      </c>
      <c r="B50" s="57" t="s">
        <v>221</v>
      </c>
      <c r="C50" s="58">
        <v>9.4399999999999998E-2</v>
      </c>
      <c r="D50" s="59">
        <v>3.2399999999999998E-2</v>
      </c>
      <c r="E50" s="59">
        <v>6.2E-2</v>
      </c>
    </row>
  </sheetData>
  <phoneticPr fontId="3"/>
  <hyperlinks>
    <hyperlink ref="B2" r:id="rId1" xr:uid="{667AB92F-E838-4C8E-BF5F-9C1BE555487A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6379-4AA5-4740-8A6D-EF8C937B4F96}">
  <dimension ref="A1:K60"/>
  <sheetViews>
    <sheetView workbookViewId="0">
      <selection activeCell="P8" sqref="P8"/>
    </sheetView>
  </sheetViews>
  <sheetFormatPr defaultRowHeight="18"/>
  <sheetData>
    <row r="1" spans="1:11" ht="22.5">
      <c r="A1" s="54" t="s">
        <v>222</v>
      </c>
    </row>
    <row r="2" spans="1:11">
      <c r="A2" t="s">
        <v>169</v>
      </c>
      <c r="B2" s="64" t="s">
        <v>174</v>
      </c>
      <c r="C2" s="64"/>
      <c r="E2" t="s">
        <v>223</v>
      </c>
      <c r="F2" s="64" t="s">
        <v>224</v>
      </c>
      <c r="G2" s="64"/>
    </row>
    <row r="3" spans="1:11" ht="11.1" customHeight="1" thickBot="1"/>
    <row r="4" spans="1:11" ht="18.600000000000001" thickTop="1">
      <c r="A4" s="65" t="s">
        <v>225</v>
      </c>
      <c r="B4" s="66"/>
      <c r="C4" s="71" t="s">
        <v>226</v>
      </c>
      <c r="D4" s="72"/>
      <c r="E4" s="66"/>
      <c r="F4" s="77" t="s">
        <v>227</v>
      </c>
      <c r="G4" s="78"/>
      <c r="H4" s="78"/>
      <c r="I4" s="78"/>
      <c r="J4" s="78"/>
      <c r="K4" s="79"/>
    </row>
    <row r="5" spans="1:11">
      <c r="A5" s="67"/>
      <c r="B5" s="68"/>
      <c r="C5" s="73"/>
      <c r="D5" s="74"/>
      <c r="E5" s="68"/>
      <c r="F5" s="80" t="s">
        <v>228</v>
      </c>
      <c r="G5" s="81"/>
      <c r="H5" s="84" t="s">
        <v>229</v>
      </c>
      <c r="I5" s="85"/>
      <c r="J5" s="80" t="s">
        <v>230</v>
      </c>
      <c r="K5" s="86"/>
    </row>
    <row r="6" spans="1:11" ht="21.95" customHeight="1">
      <c r="A6" s="69"/>
      <c r="B6" s="70"/>
      <c r="C6" s="73"/>
      <c r="D6" s="74"/>
      <c r="E6" s="68"/>
      <c r="F6" s="82" t="s">
        <v>231</v>
      </c>
      <c r="G6" s="83"/>
      <c r="H6" s="75"/>
      <c r="I6" s="70"/>
      <c r="J6" s="82"/>
      <c r="K6" s="87"/>
    </row>
    <row r="7" spans="1:11">
      <c r="A7" s="88" t="s">
        <v>232</v>
      </c>
      <c r="B7" s="90" t="s">
        <v>233</v>
      </c>
      <c r="C7" s="73"/>
      <c r="D7" s="74"/>
      <c r="E7" s="68"/>
      <c r="F7" s="61" cm="1">
        <f t="array" ref="F7">_xlfn._xlws.FILTER(特定保険料率及び基本保険料率!$C$4:$C$50,(特定保険料率及び基本保険料率!$A$4:$A$50=$B$2)*(特定保険料率及び基本保険料率!$B$4:$B$50=$F$2))</f>
        <v>0.10059999999999999</v>
      </c>
      <c r="G7" s="62"/>
      <c r="H7" s="61" cm="1">
        <f t="array" ref="H7">_xlfn._xlws.FILTER(特定保険料率及び基本保険料率!$D$4:$D$50,(特定保険料率及び基本保険料率!$A$4:$A$50=$B$2)*(特定保険料率及び基本保険料率!$B$4:$B$50=$F$2))</f>
        <v>3.2399999999999998E-2</v>
      </c>
      <c r="I7" s="62"/>
      <c r="J7" s="61" cm="1">
        <f t="array" ref="J7">_xlfn._xlws.FILTER(特定保険料率及び基本保険料率!$E$4:$E$50,(特定保険料率及び基本保険料率!$A$4:$A$50=$B$2)*(特定保険料率及び基本保険料率!$B$4:$B$50=$F$2))</f>
        <v>6.8199999999999997E-2</v>
      </c>
      <c r="K7" s="63"/>
    </row>
    <row r="8" spans="1:11">
      <c r="A8" s="89"/>
      <c r="B8" s="91"/>
      <c r="C8" s="75"/>
      <c r="D8" s="76"/>
      <c r="E8" s="70"/>
      <c r="F8" s="18" t="s">
        <v>234</v>
      </c>
      <c r="G8" s="18" t="s">
        <v>235</v>
      </c>
      <c r="H8" s="18" t="s">
        <v>234</v>
      </c>
      <c r="I8" s="18" t="s">
        <v>235</v>
      </c>
      <c r="J8" s="18" t="s">
        <v>234</v>
      </c>
      <c r="K8" s="19" t="s">
        <v>235</v>
      </c>
    </row>
    <row r="9" spans="1:11">
      <c r="A9" s="20"/>
      <c r="B9" s="21"/>
      <c r="C9" s="22" t="s">
        <v>236</v>
      </c>
      <c r="D9" s="23"/>
      <c r="E9" s="24" t="s">
        <v>237</v>
      </c>
      <c r="F9" s="17"/>
      <c r="G9" s="17"/>
      <c r="H9" s="17"/>
      <c r="I9" s="17"/>
      <c r="J9" s="17"/>
      <c r="K9" s="25"/>
    </row>
    <row r="10" spans="1:11">
      <c r="A10" s="26">
        <v>1</v>
      </c>
      <c r="B10" s="27">
        <v>58000</v>
      </c>
      <c r="C10" s="28"/>
      <c r="D10" s="29" t="s">
        <v>238</v>
      </c>
      <c r="E10" s="30">
        <v>63000</v>
      </c>
      <c r="F10" s="31">
        <f>B10*$F$7</f>
        <v>5834.7999999999993</v>
      </c>
      <c r="G10" s="32">
        <f>F10/2</f>
        <v>2917.3999999999996</v>
      </c>
      <c r="H10" s="31">
        <f>B10*$H$7</f>
        <v>1879.1999999999998</v>
      </c>
      <c r="I10" s="32">
        <f>H10/2</f>
        <v>939.59999999999991</v>
      </c>
      <c r="J10" s="31">
        <f>B10*$J$7</f>
        <v>3955.6</v>
      </c>
      <c r="K10" s="32">
        <f>J10/2</f>
        <v>1977.8</v>
      </c>
    </row>
    <row r="11" spans="1:11">
      <c r="A11" s="33">
        <v>2</v>
      </c>
      <c r="B11" s="34">
        <v>68000</v>
      </c>
      <c r="C11" s="35">
        <v>63000</v>
      </c>
      <c r="D11" s="36" t="s">
        <v>238</v>
      </c>
      <c r="E11" s="37">
        <v>73000</v>
      </c>
      <c r="F11" s="38">
        <f t="shared" ref="F11:F59" si="0">B11*$F$7</f>
        <v>6840.7999999999993</v>
      </c>
      <c r="G11" s="38">
        <f t="shared" ref="G11:G59" si="1">F11/2</f>
        <v>3420.3999999999996</v>
      </c>
      <c r="H11" s="38">
        <f t="shared" ref="H11:H59" si="2">B11*$H$7</f>
        <v>2203.1999999999998</v>
      </c>
      <c r="I11" s="38">
        <f t="shared" ref="I11:I59" si="3">H11/2</f>
        <v>1101.5999999999999</v>
      </c>
      <c r="J11" s="38">
        <f t="shared" ref="J11:J59" si="4">B11*$J$7</f>
        <v>4637.5999999999995</v>
      </c>
      <c r="K11" s="39">
        <f t="shared" ref="K11:K59" si="5">J11/2</f>
        <v>2318.7999999999997</v>
      </c>
    </row>
    <row r="12" spans="1:11">
      <c r="A12" s="26">
        <v>3</v>
      </c>
      <c r="B12" s="40">
        <v>78000</v>
      </c>
      <c r="C12" s="41">
        <v>73000</v>
      </c>
      <c r="D12" s="29" t="s">
        <v>238</v>
      </c>
      <c r="E12" s="42">
        <v>83000</v>
      </c>
      <c r="F12" s="43">
        <f t="shared" si="0"/>
        <v>7846.7999999999993</v>
      </c>
      <c r="G12" s="43">
        <f t="shared" si="1"/>
        <v>3923.3999999999996</v>
      </c>
      <c r="H12" s="43">
        <f t="shared" si="2"/>
        <v>2527.1999999999998</v>
      </c>
      <c r="I12" s="43">
        <f t="shared" si="3"/>
        <v>1263.5999999999999</v>
      </c>
      <c r="J12" s="43">
        <f t="shared" si="4"/>
        <v>5319.5999999999995</v>
      </c>
      <c r="K12" s="44">
        <f t="shared" si="5"/>
        <v>2659.7999999999997</v>
      </c>
    </row>
    <row r="13" spans="1:11">
      <c r="A13" s="33">
        <v>4</v>
      </c>
      <c r="B13" s="34">
        <v>88000</v>
      </c>
      <c r="C13" s="35">
        <v>83000</v>
      </c>
      <c r="D13" s="36" t="s">
        <v>238</v>
      </c>
      <c r="E13" s="37">
        <v>93000</v>
      </c>
      <c r="F13" s="38">
        <f t="shared" si="0"/>
        <v>8852.7999999999993</v>
      </c>
      <c r="G13" s="38">
        <f t="shared" si="1"/>
        <v>4426.3999999999996</v>
      </c>
      <c r="H13" s="38">
        <f t="shared" si="2"/>
        <v>2851.2</v>
      </c>
      <c r="I13" s="38">
        <f t="shared" si="3"/>
        <v>1425.6</v>
      </c>
      <c r="J13" s="38">
        <f t="shared" si="4"/>
        <v>6001.5999999999995</v>
      </c>
      <c r="K13" s="39">
        <f t="shared" si="5"/>
        <v>3000.7999999999997</v>
      </c>
    </row>
    <row r="14" spans="1:11">
      <c r="A14" s="26">
        <v>5</v>
      </c>
      <c r="B14" s="40">
        <v>98000</v>
      </c>
      <c r="C14" s="41">
        <v>93000</v>
      </c>
      <c r="D14" s="29" t="s">
        <v>238</v>
      </c>
      <c r="E14" s="42">
        <v>101000</v>
      </c>
      <c r="F14" s="43">
        <f t="shared" si="0"/>
        <v>9858.7999999999993</v>
      </c>
      <c r="G14" s="43">
        <f t="shared" si="1"/>
        <v>4929.3999999999996</v>
      </c>
      <c r="H14" s="43">
        <f t="shared" si="2"/>
        <v>3175.2</v>
      </c>
      <c r="I14" s="43">
        <f t="shared" si="3"/>
        <v>1587.6</v>
      </c>
      <c r="J14" s="43">
        <f t="shared" si="4"/>
        <v>6683.5999999999995</v>
      </c>
      <c r="K14" s="44">
        <f t="shared" si="5"/>
        <v>3341.7999999999997</v>
      </c>
    </row>
    <row r="15" spans="1:11">
      <c r="A15" s="33">
        <v>6</v>
      </c>
      <c r="B15" s="34">
        <v>104000</v>
      </c>
      <c r="C15" s="35">
        <v>101000</v>
      </c>
      <c r="D15" s="36" t="s">
        <v>238</v>
      </c>
      <c r="E15" s="37">
        <v>107000</v>
      </c>
      <c r="F15" s="38">
        <f t="shared" si="0"/>
        <v>10462.4</v>
      </c>
      <c r="G15" s="38">
        <f t="shared" si="1"/>
        <v>5231.2</v>
      </c>
      <c r="H15" s="38">
        <f t="shared" si="2"/>
        <v>3369.6</v>
      </c>
      <c r="I15" s="38">
        <f t="shared" si="3"/>
        <v>1684.8</v>
      </c>
      <c r="J15" s="38">
        <f t="shared" si="4"/>
        <v>7092.7999999999993</v>
      </c>
      <c r="K15" s="39">
        <f t="shared" si="5"/>
        <v>3546.3999999999996</v>
      </c>
    </row>
    <row r="16" spans="1:11">
      <c r="A16" s="26">
        <v>7</v>
      </c>
      <c r="B16" s="40">
        <v>110000</v>
      </c>
      <c r="C16" s="41">
        <v>107000</v>
      </c>
      <c r="D16" s="29" t="s">
        <v>238</v>
      </c>
      <c r="E16" s="42">
        <v>114000</v>
      </c>
      <c r="F16" s="43">
        <f t="shared" si="0"/>
        <v>11066</v>
      </c>
      <c r="G16" s="43">
        <f t="shared" si="1"/>
        <v>5533</v>
      </c>
      <c r="H16" s="43">
        <f t="shared" si="2"/>
        <v>3564</v>
      </c>
      <c r="I16" s="43">
        <f t="shared" si="3"/>
        <v>1782</v>
      </c>
      <c r="J16" s="43">
        <f t="shared" si="4"/>
        <v>7502</v>
      </c>
      <c r="K16" s="44">
        <f t="shared" si="5"/>
        <v>3751</v>
      </c>
    </row>
    <row r="17" spans="1:11">
      <c r="A17" s="33">
        <v>8</v>
      </c>
      <c r="B17" s="34">
        <v>118000</v>
      </c>
      <c r="C17" s="35">
        <v>114000</v>
      </c>
      <c r="D17" s="36" t="s">
        <v>238</v>
      </c>
      <c r="E17" s="37">
        <v>122000</v>
      </c>
      <c r="F17" s="38">
        <f t="shared" si="0"/>
        <v>11870.8</v>
      </c>
      <c r="G17" s="38">
        <f t="shared" si="1"/>
        <v>5935.4</v>
      </c>
      <c r="H17" s="38">
        <f t="shared" si="2"/>
        <v>3823.2</v>
      </c>
      <c r="I17" s="38">
        <f t="shared" si="3"/>
        <v>1911.6</v>
      </c>
      <c r="J17" s="38">
        <f t="shared" si="4"/>
        <v>8047.5999999999995</v>
      </c>
      <c r="K17" s="39">
        <f t="shared" si="5"/>
        <v>4023.7999999999997</v>
      </c>
    </row>
    <row r="18" spans="1:11">
      <c r="A18" s="26">
        <v>9</v>
      </c>
      <c r="B18" s="40">
        <v>126000</v>
      </c>
      <c r="C18" s="41">
        <v>122000</v>
      </c>
      <c r="D18" s="29" t="s">
        <v>238</v>
      </c>
      <c r="E18" s="42">
        <v>130000</v>
      </c>
      <c r="F18" s="43">
        <f t="shared" si="0"/>
        <v>12675.599999999999</v>
      </c>
      <c r="G18" s="43">
        <f t="shared" si="1"/>
        <v>6337.7999999999993</v>
      </c>
      <c r="H18" s="43">
        <f t="shared" si="2"/>
        <v>4082.3999999999996</v>
      </c>
      <c r="I18" s="43">
        <f t="shared" si="3"/>
        <v>2041.1999999999998</v>
      </c>
      <c r="J18" s="43">
        <f t="shared" si="4"/>
        <v>8593.1999999999989</v>
      </c>
      <c r="K18" s="44">
        <f t="shared" si="5"/>
        <v>4296.5999999999995</v>
      </c>
    </row>
    <row r="19" spans="1:11">
      <c r="A19" s="33">
        <v>10</v>
      </c>
      <c r="B19" s="34">
        <v>134000</v>
      </c>
      <c r="C19" s="35">
        <v>130000</v>
      </c>
      <c r="D19" s="36" t="s">
        <v>238</v>
      </c>
      <c r="E19" s="37">
        <v>138000</v>
      </c>
      <c r="F19" s="38">
        <f t="shared" si="0"/>
        <v>13480.4</v>
      </c>
      <c r="G19" s="38">
        <f t="shared" si="1"/>
        <v>6740.2</v>
      </c>
      <c r="H19" s="38">
        <f t="shared" si="2"/>
        <v>4341.5999999999995</v>
      </c>
      <c r="I19" s="38">
        <f t="shared" si="3"/>
        <v>2170.7999999999997</v>
      </c>
      <c r="J19" s="38">
        <f t="shared" si="4"/>
        <v>9138.7999999999993</v>
      </c>
      <c r="K19" s="39">
        <f t="shared" si="5"/>
        <v>4569.3999999999996</v>
      </c>
    </row>
    <row r="20" spans="1:11">
      <c r="A20" s="26">
        <v>11</v>
      </c>
      <c r="B20" s="40">
        <v>142000</v>
      </c>
      <c r="C20" s="41">
        <v>138000</v>
      </c>
      <c r="D20" s="29" t="s">
        <v>238</v>
      </c>
      <c r="E20" s="42">
        <v>146000</v>
      </c>
      <c r="F20" s="43">
        <f t="shared" si="0"/>
        <v>14285.199999999999</v>
      </c>
      <c r="G20" s="43">
        <f t="shared" si="1"/>
        <v>7142.5999999999995</v>
      </c>
      <c r="H20" s="43">
        <f t="shared" si="2"/>
        <v>4600.8</v>
      </c>
      <c r="I20" s="43">
        <f t="shared" si="3"/>
        <v>2300.4</v>
      </c>
      <c r="J20" s="43">
        <f t="shared" si="4"/>
        <v>9684.4</v>
      </c>
      <c r="K20" s="44">
        <f t="shared" si="5"/>
        <v>4842.2</v>
      </c>
    </row>
    <row r="21" spans="1:11">
      <c r="A21" s="33">
        <v>12</v>
      </c>
      <c r="B21" s="34">
        <v>150000</v>
      </c>
      <c r="C21" s="35">
        <v>146000</v>
      </c>
      <c r="D21" s="36" t="s">
        <v>238</v>
      </c>
      <c r="E21" s="37">
        <v>155000</v>
      </c>
      <c r="F21" s="38">
        <f t="shared" si="0"/>
        <v>15090</v>
      </c>
      <c r="G21" s="38">
        <f t="shared" si="1"/>
        <v>7545</v>
      </c>
      <c r="H21" s="38">
        <f t="shared" si="2"/>
        <v>4860</v>
      </c>
      <c r="I21" s="38">
        <f t="shared" si="3"/>
        <v>2430</v>
      </c>
      <c r="J21" s="38">
        <f t="shared" si="4"/>
        <v>10230</v>
      </c>
      <c r="K21" s="39">
        <f t="shared" si="5"/>
        <v>5115</v>
      </c>
    </row>
    <row r="22" spans="1:11">
      <c r="A22" s="26">
        <v>13</v>
      </c>
      <c r="B22" s="40">
        <v>160000</v>
      </c>
      <c r="C22" s="41">
        <v>155000</v>
      </c>
      <c r="D22" s="29" t="s">
        <v>238</v>
      </c>
      <c r="E22" s="42">
        <v>165000</v>
      </c>
      <c r="F22" s="43">
        <f t="shared" si="0"/>
        <v>16096</v>
      </c>
      <c r="G22" s="43">
        <f t="shared" si="1"/>
        <v>8048</v>
      </c>
      <c r="H22" s="43">
        <f t="shared" si="2"/>
        <v>5184</v>
      </c>
      <c r="I22" s="43">
        <f t="shared" si="3"/>
        <v>2592</v>
      </c>
      <c r="J22" s="43">
        <f t="shared" si="4"/>
        <v>10912</v>
      </c>
      <c r="K22" s="44">
        <f t="shared" si="5"/>
        <v>5456</v>
      </c>
    </row>
    <row r="23" spans="1:11">
      <c r="A23" s="33">
        <v>14</v>
      </c>
      <c r="B23" s="34">
        <v>170000</v>
      </c>
      <c r="C23" s="35">
        <v>165000</v>
      </c>
      <c r="D23" s="36" t="s">
        <v>238</v>
      </c>
      <c r="E23" s="37">
        <v>175000</v>
      </c>
      <c r="F23" s="38">
        <f t="shared" si="0"/>
        <v>17102</v>
      </c>
      <c r="G23" s="38">
        <f t="shared" si="1"/>
        <v>8551</v>
      </c>
      <c r="H23" s="38">
        <f t="shared" si="2"/>
        <v>5508</v>
      </c>
      <c r="I23" s="38">
        <f t="shared" si="3"/>
        <v>2754</v>
      </c>
      <c r="J23" s="38">
        <f t="shared" si="4"/>
        <v>11594</v>
      </c>
      <c r="K23" s="39">
        <f t="shared" si="5"/>
        <v>5797</v>
      </c>
    </row>
    <row r="24" spans="1:11">
      <c r="A24" s="26">
        <v>15</v>
      </c>
      <c r="B24" s="40">
        <v>180000</v>
      </c>
      <c r="C24" s="41">
        <v>175000</v>
      </c>
      <c r="D24" s="29" t="s">
        <v>238</v>
      </c>
      <c r="E24" s="42">
        <v>185000</v>
      </c>
      <c r="F24" s="43">
        <f t="shared" si="0"/>
        <v>18108</v>
      </c>
      <c r="G24" s="43">
        <f t="shared" si="1"/>
        <v>9054</v>
      </c>
      <c r="H24" s="43">
        <f t="shared" si="2"/>
        <v>5832</v>
      </c>
      <c r="I24" s="43">
        <f t="shared" si="3"/>
        <v>2916</v>
      </c>
      <c r="J24" s="43">
        <f t="shared" si="4"/>
        <v>12276</v>
      </c>
      <c r="K24" s="44">
        <f t="shared" si="5"/>
        <v>6138</v>
      </c>
    </row>
    <row r="25" spans="1:11">
      <c r="A25" s="33">
        <v>16</v>
      </c>
      <c r="B25" s="34">
        <v>190000</v>
      </c>
      <c r="C25" s="35">
        <v>185000</v>
      </c>
      <c r="D25" s="36" t="s">
        <v>238</v>
      </c>
      <c r="E25" s="37">
        <v>195000</v>
      </c>
      <c r="F25" s="38">
        <f t="shared" si="0"/>
        <v>19114</v>
      </c>
      <c r="G25" s="38">
        <f t="shared" si="1"/>
        <v>9557</v>
      </c>
      <c r="H25" s="38">
        <f t="shared" si="2"/>
        <v>6156</v>
      </c>
      <c r="I25" s="38">
        <f t="shared" si="3"/>
        <v>3078</v>
      </c>
      <c r="J25" s="38">
        <f t="shared" si="4"/>
        <v>12958</v>
      </c>
      <c r="K25" s="39">
        <f t="shared" si="5"/>
        <v>6479</v>
      </c>
    </row>
    <row r="26" spans="1:11">
      <c r="A26" s="26">
        <v>17</v>
      </c>
      <c r="B26" s="40">
        <v>200000</v>
      </c>
      <c r="C26" s="41">
        <v>195000</v>
      </c>
      <c r="D26" s="29" t="s">
        <v>238</v>
      </c>
      <c r="E26" s="42">
        <v>210000</v>
      </c>
      <c r="F26" s="43">
        <f t="shared" si="0"/>
        <v>20120</v>
      </c>
      <c r="G26" s="43">
        <f t="shared" si="1"/>
        <v>10060</v>
      </c>
      <c r="H26" s="43">
        <f t="shared" si="2"/>
        <v>6480</v>
      </c>
      <c r="I26" s="43">
        <f t="shared" si="3"/>
        <v>3240</v>
      </c>
      <c r="J26" s="43">
        <f t="shared" si="4"/>
        <v>13640</v>
      </c>
      <c r="K26" s="44">
        <f t="shared" si="5"/>
        <v>6820</v>
      </c>
    </row>
    <row r="27" spans="1:11">
      <c r="A27" s="33">
        <v>18</v>
      </c>
      <c r="B27" s="34">
        <v>220000</v>
      </c>
      <c r="C27" s="35">
        <v>210000</v>
      </c>
      <c r="D27" s="36" t="s">
        <v>238</v>
      </c>
      <c r="E27" s="37">
        <v>230000</v>
      </c>
      <c r="F27" s="38">
        <f t="shared" si="0"/>
        <v>22132</v>
      </c>
      <c r="G27" s="38">
        <f t="shared" si="1"/>
        <v>11066</v>
      </c>
      <c r="H27" s="38">
        <f t="shared" si="2"/>
        <v>7128</v>
      </c>
      <c r="I27" s="38">
        <f t="shared" si="3"/>
        <v>3564</v>
      </c>
      <c r="J27" s="38">
        <f t="shared" si="4"/>
        <v>15004</v>
      </c>
      <c r="K27" s="39">
        <f t="shared" si="5"/>
        <v>7502</v>
      </c>
    </row>
    <row r="28" spans="1:11">
      <c r="A28" s="26">
        <v>19</v>
      </c>
      <c r="B28" s="40">
        <v>240000</v>
      </c>
      <c r="C28" s="41">
        <v>230000</v>
      </c>
      <c r="D28" s="29" t="s">
        <v>238</v>
      </c>
      <c r="E28" s="42">
        <v>250000</v>
      </c>
      <c r="F28" s="43">
        <f t="shared" si="0"/>
        <v>24144</v>
      </c>
      <c r="G28" s="43">
        <f t="shared" si="1"/>
        <v>12072</v>
      </c>
      <c r="H28" s="43">
        <f t="shared" si="2"/>
        <v>7776</v>
      </c>
      <c r="I28" s="43">
        <f t="shared" si="3"/>
        <v>3888</v>
      </c>
      <c r="J28" s="43">
        <f t="shared" si="4"/>
        <v>16368</v>
      </c>
      <c r="K28" s="44">
        <f t="shared" si="5"/>
        <v>8184</v>
      </c>
    </row>
    <row r="29" spans="1:11">
      <c r="A29" s="33">
        <v>20</v>
      </c>
      <c r="B29" s="34">
        <v>260000</v>
      </c>
      <c r="C29" s="35">
        <v>250000</v>
      </c>
      <c r="D29" s="36" t="s">
        <v>238</v>
      </c>
      <c r="E29" s="37">
        <v>270000</v>
      </c>
      <c r="F29" s="38">
        <f t="shared" si="0"/>
        <v>26156</v>
      </c>
      <c r="G29" s="38">
        <f t="shared" si="1"/>
        <v>13078</v>
      </c>
      <c r="H29" s="38">
        <f t="shared" si="2"/>
        <v>8424</v>
      </c>
      <c r="I29" s="38">
        <f t="shared" si="3"/>
        <v>4212</v>
      </c>
      <c r="J29" s="38">
        <f t="shared" si="4"/>
        <v>17732</v>
      </c>
      <c r="K29" s="39">
        <f t="shared" si="5"/>
        <v>8866</v>
      </c>
    </row>
    <row r="30" spans="1:11">
      <c r="A30" s="26">
        <v>21</v>
      </c>
      <c r="B30" s="40">
        <v>280000</v>
      </c>
      <c r="C30" s="41">
        <v>270000</v>
      </c>
      <c r="D30" s="29" t="s">
        <v>238</v>
      </c>
      <c r="E30" s="42">
        <v>290000</v>
      </c>
      <c r="F30" s="43">
        <f t="shared" si="0"/>
        <v>28168</v>
      </c>
      <c r="G30" s="43">
        <f t="shared" si="1"/>
        <v>14084</v>
      </c>
      <c r="H30" s="43">
        <f t="shared" si="2"/>
        <v>9072</v>
      </c>
      <c r="I30" s="43">
        <f t="shared" si="3"/>
        <v>4536</v>
      </c>
      <c r="J30" s="43">
        <f t="shared" si="4"/>
        <v>19096</v>
      </c>
      <c r="K30" s="44">
        <f t="shared" si="5"/>
        <v>9548</v>
      </c>
    </row>
    <row r="31" spans="1:11">
      <c r="A31" s="33">
        <v>22</v>
      </c>
      <c r="B31" s="34">
        <v>300000</v>
      </c>
      <c r="C31" s="35">
        <v>290000</v>
      </c>
      <c r="D31" s="36" t="s">
        <v>238</v>
      </c>
      <c r="E31" s="37">
        <v>310000</v>
      </c>
      <c r="F31" s="38">
        <f t="shared" si="0"/>
        <v>30180</v>
      </c>
      <c r="G31" s="38">
        <f t="shared" si="1"/>
        <v>15090</v>
      </c>
      <c r="H31" s="38">
        <f t="shared" si="2"/>
        <v>9720</v>
      </c>
      <c r="I31" s="38">
        <f t="shared" si="3"/>
        <v>4860</v>
      </c>
      <c r="J31" s="38">
        <f t="shared" si="4"/>
        <v>20460</v>
      </c>
      <c r="K31" s="39">
        <f t="shared" si="5"/>
        <v>10230</v>
      </c>
    </row>
    <row r="32" spans="1:11">
      <c r="A32" s="26">
        <v>23</v>
      </c>
      <c r="B32" s="40">
        <v>320000</v>
      </c>
      <c r="C32" s="41">
        <v>310000</v>
      </c>
      <c r="D32" s="29" t="s">
        <v>238</v>
      </c>
      <c r="E32" s="42">
        <v>330000</v>
      </c>
      <c r="F32" s="43">
        <f t="shared" si="0"/>
        <v>32192</v>
      </c>
      <c r="G32" s="43">
        <f t="shared" si="1"/>
        <v>16096</v>
      </c>
      <c r="H32" s="43">
        <f t="shared" si="2"/>
        <v>10368</v>
      </c>
      <c r="I32" s="43">
        <f t="shared" si="3"/>
        <v>5184</v>
      </c>
      <c r="J32" s="43">
        <f t="shared" si="4"/>
        <v>21824</v>
      </c>
      <c r="K32" s="44">
        <f t="shared" si="5"/>
        <v>10912</v>
      </c>
    </row>
    <row r="33" spans="1:11">
      <c r="A33" s="33">
        <v>24</v>
      </c>
      <c r="B33" s="34">
        <v>340000</v>
      </c>
      <c r="C33" s="35">
        <v>330000</v>
      </c>
      <c r="D33" s="36" t="s">
        <v>238</v>
      </c>
      <c r="E33" s="37">
        <v>350000</v>
      </c>
      <c r="F33" s="38">
        <f t="shared" si="0"/>
        <v>34204</v>
      </c>
      <c r="G33" s="38">
        <f t="shared" si="1"/>
        <v>17102</v>
      </c>
      <c r="H33" s="38">
        <f t="shared" si="2"/>
        <v>11016</v>
      </c>
      <c r="I33" s="38">
        <f t="shared" si="3"/>
        <v>5508</v>
      </c>
      <c r="J33" s="38">
        <f t="shared" si="4"/>
        <v>23188</v>
      </c>
      <c r="K33" s="39">
        <f t="shared" si="5"/>
        <v>11594</v>
      </c>
    </row>
    <row r="34" spans="1:11">
      <c r="A34" s="26">
        <v>25</v>
      </c>
      <c r="B34" s="40">
        <v>360000</v>
      </c>
      <c r="C34" s="41">
        <v>350000</v>
      </c>
      <c r="D34" s="29" t="s">
        <v>238</v>
      </c>
      <c r="E34" s="42">
        <v>370000</v>
      </c>
      <c r="F34" s="43">
        <f t="shared" si="0"/>
        <v>36216</v>
      </c>
      <c r="G34" s="43">
        <f t="shared" si="1"/>
        <v>18108</v>
      </c>
      <c r="H34" s="43">
        <f t="shared" si="2"/>
        <v>11664</v>
      </c>
      <c r="I34" s="43">
        <f t="shared" si="3"/>
        <v>5832</v>
      </c>
      <c r="J34" s="43">
        <f t="shared" si="4"/>
        <v>24552</v>
      </c>
      <c r="K34" s="44">
        <f t="shared" si="5"/>
        <v>12276</v>
      </c>
    </row>
    <row r="35" spans="1:11">
      <c r="A35" s="33">
        <v>26</v>
      </c>
      <c r="B35" s="34">
        <v>380000</v>
      </c>
      <c r="C35" s="35">
        <v>370000</v>
      </c>
      <c r="D35" s="36" t="s">
        <v>238</v>
      </c>
      <c r="E35" s="37">
        <v>395000</v>
      </c>
      <c r="F35" s="38">
        <f t="shared" si="0"/>
        <v>38228</v>
      </c>
      <c r="G35" s="38">
        <f t="shared" si="1"/>
        <v>19114</v>
      </c>
      <c r="H35" s="38">
        <f t="shared" si="2"/>
        <v>12312</v>
      </c>
      <c r="I35" s="38">
        <f t="shared" si="3"/>
        <v>6156</v>
      </c>
      <c r="J35" s="38">
        <f t="shared" si="4"/>
        <v>25916</v>
      </c>
      <c r="K35" s="39">
        <f t="shared" si="5"/>
        <v>12958</v>
      </c>
    </row>
    <row r="36" spans="1:11">
      <c r="A36" s="26">
        <v>27</v>
      </c>
      <c r="B36" s="40">
        <v>410000</v>
      </c>
      <c r="C36" s="41">
        <v>395000</v>
      </c>
      <c r="D36" s="29" t="s">
        <v>238</v>
      </c>
      <c r="E36" s="42">
        <v>425000</v>
      </c>
      <c r="F36" s="43">
        <f t="shared" si="0"/>
        <v>41246</v>
      </c>
      <c r="G36" s="43">
        <f t="shared" si="1"/>
        <v>20623</v>
      </c>
      <c r="H36" s="43">
        <f t="shared" si="2"/>
        <v>13284</v>
      </c>
      <c r="I36" s="43">
        <f t="shared" si="3"/>
        <v>6642</v>
      </c>
      <c r="J36" s="43">
        <f t="shared" si="4"/>
        <v>27962</v>
      </c>
      <c r="K36" s="44">
        <f t="shared" si="5"/>
        <v>13981</v>
      </c>
    </row>
    <row r="37" spans="1:11">
      <c r="A37" s="33">
        <v>28</v>
      </c>
      <c r="B37" s="34">
        <v>440000</v>
      </c>
      <c r="C37" s="35">
        <v>425000</v>
      </c>
      <c r="D37" s="36" t="s">
        <v>238</v>
      </c>
      <c r="E37" s="37">
        <v>455000</v>
      </c>
      <c r="F37" s="38">
        <f t="shared" si="0"/>
        <v>44264</v>
      </c>
      <c r="G37" s="38">
        <f t="shared" si="1"/>
        <v>22132</v>
      </c>
      <c r="H37" s="38">
        <f t="shared" si="2"/>
        <v>14256</v>
      </c>
      <c r="I37" s="38">
        <f t="shared" si="3"/>
        <v>7128</v>
      </c>
      <c r="J37" s="38">
        <f t="shared" si="4"/>
        <v>30008</v>
      </c>
      <c r="K37" s="39">
        <f t="shared" si="5"/>
        <v>15004</v>
      </c>
    </row>
    <row r="38" spans="1:11">
      <c r="A38" s="26">
        <v>29</v>
      </c>
      <c r="B38" s="40">
        <v>470000</v>
      </c>
      <c r="C38" s="41">
        <v>455000</v>
      </c>
      <c r="D38" s="29" t="s">
        <v>238</v>
      </c>
      <c r="E38" s="42">
        <v>485000</v>
      </c>
      <c r="F38" s="43">
        <f t="shared" si="0"/>
        <v>47282</v>
      </c>
      <c r="G38" s="43">
        <f t="shared" si="1"/>
        <v>23641</v>
      </c>
      <c r="H38" s="43">
        <f t="shared" si="2"/>
        <v>15228</v>
      </c>
      <c r="I38" s="43">
        <f t="shared" si="3"/>
        <v>7614</v>
      </c>
      <c r="J38" s="43">
        <f t="shared" si="4"/>
        <v>32054</v>
      </c>
      <c r="K38" s="44">
        <f t="shared" si="5"/>
        <v>16027</v>
      </c>
    </row>
    <row r="39" spans="1:11">
      <c r="A39" s="33">
        <v>30</v>
      </c>
      <c r="B39" s="34">
        <v>500000</v>
      </c>
      <c r="C39" s="35">
        <v>485000</v>
      </c>
      <c r="D39" s="36" t="s">
        <v>238</v>
      </c>
      <c r="E39" s="37">
        <v>515000</v>
      </c>
      <c r="F39" s="38">
        <f t="shared" si="0"/>
        <v>50300</v>
      </c>
      <c r="G39" s="38">
        <f t="shared" si="1"/>
        <v>25150</v>
      </c>
      <c r="H39" s="38">
        <f t="shared" si="2"/>
        <v>16200</v>
      </c>
      <c r="I39" s="38">
        <f t="shared" si="3"/>
        <v>8100</v>
      </c>
      <c r="J39" s="38">
        <f t="shared" si="4"/>
        <v>34100</v>
      </c>
      <c r="K39" s="39">
        <f t="shared" si="5"/>
        <v>17050</v>
      </c>
    </row>
    <row r="40" spans="1:11">
      <c r="A40" s="26">
        <v>31</v>
      </c>
      <c r="B40" s="40">
        <v>530000</v>
      </c>
      <c r="C40" s="41">
        <v>515000</v>
      </c>
      <c r="D40" s="29" t="s">
        <v>238</v>
      </c>
      <c r="E40" s="42">
        <v>545000</v>
      </c>
      <c r="F40" s="43">
        <f t="shared" si="0"/>
        <v>53318</v>
      </c>
      <c r="G40" s="43">
        <f t="shared" si="1"/>
        <v>26659</v>
      </c>
      <c r="H40" s="43">
        <f t="shared" si="2"/>
        <v>17172</v>
      </c>
      <c r="I40" s="43">
        <f t="shared" si="3"/>
        <v>8586</v>
      </c>
      <c r="J40" s="43">
        <f t="shared" si="4"/>
        <v>36146</v>
      </c>
      <c r="K40" s="44">
        <f t="shared" si="5"/>
        <v>18073</v>
      </c>
    </row>
    <row r="41" spans="1:11">
      <c r="A41" s="33">
        <v>32</v>
      </c>
      <c r="B41" s="34">
        <v>560000</v>
      </c>
      <c r="C41" s="35">
        <v>545000</v>
      </c>
      <c r="D41" s="36" t="s">
        <v>238</v>
      </c>
      <c r="E41" s="37">
        <v>575000</v>
      </c>
      <c r="F41" s="38">
        <f t="shared" si="0"/>
        <v>56336</v>
      </c>
      <c r="G41" s="38">
        <f t="shared" si="1"/>
        <v>28168</v>
      </c>
      <c r="H41" s="38">
        <f t="shared" si="2"/>
        <v>18144</v>
      </c>
      <c r="I41" s="38">
        <f t="shared" si="3"/>
        <v>9072</v>
      </c>
      <c r="J41" s="38">
        <f t="shared" si="4"/>
        <v>38192</v>
      </c>
      <c r="K41" s="39">
        <f t="shared" si="5"/>
        <v>19096</v>
      </c>
    </row>
    <row r="42" spans="1:11">
      <c r="A42" s="26">
        <v>33</v>
      </c>
      <c r="B42" s="40">
        <v>590000</v>
      </c>
      <c r="C42" s="41">
        <v>575000</v>
      </c>
      <c r="D42" s="29" t="s">
        <v>238</v>
      </c>
      <c r="E42" s="42">
        <v>605000</v>
      </c>
      <c r="F42" s="43">
        <f t="shared" si="0"/>
        <v>59354</v>
      </c>
      <c r="G42" s="43">
        <f t="shared" si="1"/>
        <v>29677</v>
      </c>
      <c r="H42" s="43">
        <f t="shared" si="2"/>
        <v>19116</v>
      </c>
      <c r="I42" s="43">
        <f t="shared" si="3"/>
        <v>9558</v>
      </c>
      <c r="J42" s="43">
        <f t="shared" si="4"/>
        <v>40238</v>
      </c>
      <c r="K42" s="44">
        <f t="shared" si="5"/>
        <v>20119</v>
      </c>
    </row>
    <row r="43" spans="1:11">
      <c r="A43" s="33">
        <v>34</v>
      </c>
      <c r="B43" s="34">
        <v>620000</v>
      </c>
      <c r="C43" s="35">
        <v>605000</v>
      </c>
      <c r="D43" s="36" t="s">
        <v>238</v>
      </c>
      <c r="E43" s="37">
        <v>635000</v>
      </c>
      <c r="F43" s="38">
        <f t="shared" si="0"/>
        <v>62372</v>
      </c>
      <c r="G43" s="38">
        <f t="shared" si="1"/>
        <v>31186</v>
      </c>
      <c r="H43" s="38">
        <f t="shared" si="2"/>
        <v>20088</v>
      </c>
      <c r="I43" s="38">
        <f t="shared" si="3"/>
        <v>10044</v>
      </c>
      <c r="J43" s="38">
        <f t="shared" si="4"/>
        <v>42284</v>
      </c>
      <c r="K43" s="39">
        <f t="shared" si="5"/>
        <v>21142</v>
      </c>
    </row>
    <row r="44" spans="1:11">
      <c r="A44" s="45">
        <v>35</v>
      </c>
      <c r="B44" s="40">
        <v>650000</v>
      </c>
      <c r="C44" s="41">
        <v>635000</v>
      </c>
      <c r="D44" s="46" t="s">
        <v>238</v>
      </c>
      <c r="E44" s="42">
        <v>665000</v>
      </c>
      <c r="F44" s="43">
        <f t="shared" si="0"/>
        <v>65390</v>
      </c>
      <c r="G44" s="43">
        <f t="shared" si="1"/>
        <v>32695</v>
      </c>
      <c r="H44" s="43">
        <f t="shared" si="2"/>
        <v>21060</v>
      </c>
      <c r="I44" s="43">
        <f t="shared" si="3"/>
        <v>10530</v>
      </c>
      <c r="J44" s="43">
        <f t="shared" si="4"/>
        <v>44330</v>
      </c>
      <c r="K44" s="44">
        <f t="shared" si="5"/>
        <v>22165</v>
      </c>
    </row>
    <row r="45" spans="1:11">
      <c r="A45" s="33">
        <v>36</v>
      </c>
      <c r="B45" s="34">
        <v>680000</v>
      </c>
      <c r="C45" s="35">
        <v>665000</v>
      </c>
      <c r="D45" s="36" t="s">
        <v>238</v>
      </c>
      <c r="E45" s="37">
        <v>695000</v>
      </c>
      <c r="F45" s="38">
        <f t="shared" si="0"/>
        <v>68408</v>
      </c>
      <c r="G45" s="38">
        <f t="shared" si="1"/>
        <v>34204</v>
      </c>
      <c r="H45" s="38">
        <f t="shared" si="2"/>
        <v>22032</v>
      </c>
      <c r="I45" s="38">
        <f t="shared" si="3"/>
        <v>11016</v>
      </c>
      <c r="J45" s="38">
        <f t="shared" si="4"/>
        <v>46376</v>
      </c>
      <c r="K45" s="39">
        <f t="shared" si="5"/>
        <v>23188</v>
      </c>
    </row>
    <row r="46" spans="1:11">
      <c r="A46" s="45">
        <v>37</v>
      </c>
      <c r="B46" s="40">
        <v>710000</v>
      </c>
      <c r="C46" s="41">
        <v>695000</v>
      </c>
      <c r="D46" s="46" t="s">
        <v>238</v>
      </c>
      <c r="E46" s="42">
        <v>730000</v>
      </c>
      <c r="F46" s="43">
        <f t="shared" si="0"/>
        <v>71426</v>
      </c>
      <c r="G46" s="43">
        <f t="shared" si="1"/>
        <v>35713</v>
      </c>
      <c r="H46" s="43">
        <f t="shared" si="2"/>
        <v>23004</v>
      </c>
      <c r="I46" s="43">
        <f t="shared" si="3"/>
        <v>11502</v>
      </c>
      <c r="J46" s="43">
        <f t="shared" si="4"/>
        <v>48422</v>
      </c>
      <c r="K46" s="44">
        <f t="shared" si="5"/>
        <v>24211</v>
      </c>
    </row>
    <row r="47" spans="1:11">
      <c r="A47" s="33">
        <v>38</v>
      </c>
      <c r="B47" s="34">
        <v>750000</v>
      </c>
      <c r="C47" s="35">
        <v>730000</v>
      </c>
      <c r="D47" s="36" t="s">
        <v>238</v>
      </c>
      <c r="E47" s="37">
        <v>770000</v>
      </c>
      <c r="F47" s="38">
        <f t="shared" si="0"/>
        <v>75450</v>
      </c>
      <c r="G47" s="38">
        <f t="shared" si="1"/>
        <v>37725</v>
      </c>
      <c r="H47" s="38">
        <f t="shared" si="2"/>
        <v>24300</v>
      </c>
      <c r="I47" s="38">
        <f t="shared" si="3"/>
        <v>12150</v>
      </c>
      <c r="J47" s="38">
        <f t="shared" si="4"/>
        <v>51150</v>
      </c>
      <c r="K47" s="39">
        <f t="shared" si="5"/>
        <v>25575</v>
      </c>
    </row>
    <row r="48" spans="1:11">
      <c r="A48" s="45">
        <v>39</v>
      </c>
      <c r="B48" s="40">
        <v>790000</v>
      </c>
      <c r="C48" s="41">
        <v>770000</v>
      </c>
      <c r="D48" s="46" t="s">
        <v>238</v>
      </c>
      <c r="E48" s="42">
        <v>810000</v>
      </c>
      <c r="F48" s="43">
        <f t="shared" si="0"/>
        <v>79474</v>
      </c>
      <c r="G48" s="43">
        <f t="shared" si="1"/>
        <v>39737</v>
      </c>
      <c r="H48" s="43">
        <f t="shared" si="2"/>
        <v>25596</v>
      </c>
      <c r="I48" s="43">
        <f t="shared" si="3"/>
        <v>12798</v>
      </c>
      <c r="J48" s="43">
        <f t="shared" si="4"/>
        <v>53878</v>
      </c>
      <c r="K48" s="44">
        <f t="shared" si="5"/>
        <v>26939</v>
      </c>
    </row>
    <row r="49" spans="1:11">
      <c r="A49" s="33">
        <v>40</v>
      </c>
      <c r="B49" s="34">
        <v>830000</v>
      </c>
      <c r="C49" s="35">
        <v>810000</v>
      </c>
      <c r="D49" s="36" t="s">
        <v>238</v>
      </c>
      <c r="E49" s="37">
        <v>855000</v>
      </c>
      <c r="F49" s="38">
        <f t="shared" si="0"/>
        <v>83498</v>
      </c>
      <c r="G49" s="38">
        <f t="shared" si="1"/>
        <v>41749</v>
      </c>
      <c r="H49" s="38">
        <f t="shared" si="2"/>
        <v>26892</v>
      </c>
      <c r="I49" s="38">
        <f t="shared" si="3"/>
        <v>13446</v>
      </c>
      <c r="J49" s="38">
        <f t="shared" si="4"/>
        <v>56606</v>
      </c>
      <c r="K49" s="39">
        <f t="shared" si="5"/>
        <v>28303</v>
      </c>
    </row>
    <row r="50" spans="1:11">
      <c r="A50" s="45">
        <v>41</v>
      </c>
      <c r="B50" s="40">
        <v>880000</v>
      </c>
      <c r="C50" s="41">
        <v>855000</v>
      </c>
      <c r="D50" s="46" t="s">
        <v>238</v>
      </c>
      <c r="E50" s="42">
        <v>905000</v>
      </c>
      <c r="F50" s="43">
        <f t="shared" si="0"/>
        <v>88528</v>
      </c>
      <c r="G50" s="43">
        <f t="shared" si="1"/>
        <v>44264</v>
      </c>
      <c r="H50" s="43">
        <f t="shared" si="2"/>
        <v>28512</v>
      </c>
      <c r="I50" s="43">
        <f t="shared" si="3"/>
        <v>14256</v>
      </c>
      <c r="J50" s="43">
        <f t="shared" si="4"/>
        <v>60016</v>
      </c>
      <c r="K50" s="44">
        <f t="shared" si="5"/>
        <v>30008</v>
      </c>
    </row>
    <row r="51" spans="1:11">
      <c r="A51" s="33">
        <v>42</v>
      </c>
      <c r="B51" s="34">
        <v>930000</v>
      </c>
      <c r="C51" s="35">
        <v>905000</v>
      </c>
      <c r="D51" s="36" t="s">
        <v>238</v>
      </c>
      <c r="E51" s="37">
        <v>955000</v>
      </c>
      <c r="F51" s="38">
        <f t="shared" si="0"/>
        <v>93558</v>
      </c>
      <c r="G51" s="38">
        <f t="shared" si="1"/>
        <v>46779</v>
      </c>
      <c r="H51" s="38">
        <f t="shared" si="2"/>
        <v>30132</v>
      </c>
      <c r="I51" s="38">
        <f t="shared" si="3"/>
        <v>15066</v>
      </c>
      <c r="J51" s="38">
        <f t="shared" si="4"/>
        <v>63426</v>
      </c>
      <c r="K51" s="39">
        <f t="shared" si="5"/>
        <v>31713</v>
      </c>
    </row>
    <row r="52" spans="1:11">
      <c r="A52" s="45">
        <v>43</v>
      </c>
      <c r="B52" s="40">
        <v>980000</v>
      </c>
      <c r="C52" s="41">
        <v>955000</v>
      </c>
      <c r="D52" s="46" t="s">
        <v>238</v>
      </c>
      <c r="E52" s="42">
        <v>1005000</v>
      </c>
      <c r="F52" s="43">
        <f t="shared" si="0"/>
        <v>98588</v>
      </c>
      <c r="G52" s="43">
        <f t="shared" si="1"/>
        <v>49294</v>
      </c>
      <c r="H52" s="43">
        <f t="shared" si="2"/>
        <v>31752</v>
      </c>
      <c r="I52" s="43">
        <f t="shared" si="3"/>
        <v>15876</v>
      </c>
      <c r="J52" s="43">
        <f t="shared" si="4"/>
        <v>66836</v>
      </c>
      <c r="K52" s="44">
        <f t="shared" si="5"/>
        <v>33418</v>
      </c>
    </row>
    <row r="53" spans="1:11">
      <c r="A53" s="33">
        <v>44</v>
      </c>
      <c r="B53" s="34">
        <v>1030000</v>
      </c>
      <c r="C53" s="35">
        <v>1005000</v>
      </c>
      <c r="D53" s="36" t="s">
        <v>238</v>
      </c>
      <c r="E53" s="37">
        <v>1055000</v>
      </c>
      <c r="F53" s="38">
        <f t="shared" si="0"/>
        <v>103618</v>
      </c>
      <c r="G53" s="38">
        <f t="shared" si="1"/>
        <v>51809</v>
      </c>
      <c r="H53" s="38">
        <f t="shared" si="2"/>
        <v>33372</v>
      </c>
      <c r="I53" s="38">
        <f t="shared" si="3"/>
        <v>16686</v>
      </c>
      <c r="J53" s="38">
        <f t="shared" si="4"/>
        <v>70246</v>
      </c>
      <c r="K53" s="39">
        <f t="shared" si="5"/>
        <v>35123</v>
      </c>
    </row>
    <row r="54" spans="1:11">
      <c r="A54" s="45">
        <v>45</v>
      </c>
      <c r="B54" s="40">
        <v>1090000</v>
      </c>
      <c r="C54" s="41">
        <v>1055000</v>
      </c>
      <c r="D54" s="46" t="s">
        <v>238</v>
      </c>
      <c r="E54" s="42">
        <v>1115000</v>
      </c>
      <c r="F54" s="43">
        <f t="shared" si="0"/>
        <v>109654</v>
      </c>
      <c r="G54" s="43">
        <f t="shared" si="1"/>
        <v>54827</v>
      </c>
      <c r="H54" s="43">
        <f t="shared" si="2"/>
        <v>35316</v>
      </c>
      <c r="I54" s="43">
        <f t="shared" si="3"/>
        <v>17658</v>
      </c>
      <c r="J54" s="43">
        <f t="shared" si="4"/>
        <v>74338</v>
      </c>
      <c r="K54" s="44">
        <f t="shared" si="5"/>
        <v>37169</v>
      </c>
    </row>
    <row r="55" spans="1:11">
      <c r="A55" s="33">
        <v>46</v>
      </c>
      <c r="B55" s="34">
        <v>1150000</v>
      </c>
      <c r="C55" s="35">
        <v>1115000</v>
      </c>
      <c r="D55" s="36" t="s">
        <v>238</v>
      </c>
      <c r="E55" s="37">
        <v>1175000</v>
      </c>
      <c r="F55" s="38">
        <f t="shared" si="0"/>
        <v>115690</v>
      </c>
      <c r="G55" s="38">
        <f t="shared" si="1"/>
        <v>57845</v>
      </c>
      <c r="H55" s="38">
        <f t="shared" si="2"/>
        <v>37260</v>
      </c>
      <c r="I55" s="38">
        <f t="shared" si="3"/>
        <v>18630</v>
      </c>
      <c r="J55" s="38">
        <f t="shared" si="4"/>
        <v>78430</v>
      </c>
      <c r="K55" s="39">
        <f t="shared" si="5"/>
        <v>39215</v>
      </c>
    </row>
    <row r="56" spans="1:11">
      <c r="A56" s="45">
        <v>47</v>
      </c>
      <c r="B56" s="40">
        <v>1210000</v>
      </c>
      <c r="C56" s="41">
        <v>1175000</v>
      </c>
      <c r="D56" s="46" t="s">
        <v>238</v>
      </c>
      <c r="E56" s="42">
        <v>1235000</v>
      </c>
      <c r="F56" s="43">
        <f t="shared" si="0"/>
        <v>121726</v>
      </c>
      <c r="G56" s="43">
        <f t="shared" si="1"/>
        <v>60863</v>
      </c>
      <c r="H56" s="43">
        <f t="shared" si="2"/>
        <v>39204</v>
      </c>
      <c r="I56" s="43">
        <f t="shared" si="3"/>
        <v>19602</v>
      </c>
      <c r="J56" s="43">
        <f t="shared" si="4"/>
        <v>82522</v>
      </c>
      <c r="K56" s="44">
        <f t="shared" si="5"/>
        <v>41261</v>
      </c>
    </row>
    <row r="57" spans="1:11">
      <c r="A57" s="33">
        <v>48</v>
      </c>
      <c r="B57" s="34">
        <v>1270000</v>
      </c>
      <c r="C57" s="35">
        <v>1235000</v>
      </c>
      <c r="D57" s="36" t="s">
        <v>238</v>
      </c>
      <c r="E57" s="37">
        <v>1295000</v>
      </c>
      <c r="F57" s="38">
        <f t="shared" si="0"/>
        <v>127762</v>
      </c>
      <c r="G57" s="38">
        <f t="shared" si="1"/>
        <v>63881</v>
      </c>
      <c r="H57" s="38">
        <f t="shared" si="2"/>
        <v>41148</v>
      </c>
      <c r="I57" s="38">
        <f t="shared" si="3"/>
        <v>20574</v>
      </c>
      <c r="J57" s="38">
        <f t="shared" si="4"/>
        <v>86614</v>
      </c>
      <c r="K57" s="39">
        <f t="shared" si="5"/>
        <v>43307</v>
      </c>
    </row>
    <row r="58" spans="1:11">
      <c r="A58" s="45">
        <v>49</v>
      </c>
      <c r="B58" s="40">
        <v>1330000</v>
      </c>
      <c r="C58" s="41">
        <v>1295000</v>
      </c>
      <c r="D58" s="46" t="s">
        <v>238</v>
      </c>
      <c r="E58" s="42">
        <v>1355000</v>
      </c>
      <c r="F58" s="43">
        <f t="shared" si="0"/>
        <v>133798</v>
      </c>
      <c r="G58" s="43">
        <f t="shared" si="1"/>
        <v>66899</v>
      </c>
      <c r="H58" s="43">
        <f t="shared" si="2"/>
        <v>43092</v>
      </c>
      <c r="I58" s="43">
        <f t="shared" si="3"/>
        <v>21546</v>
      </c>
      <c r="J58" s="43">
        <f t="shared" si="4"/>
        <v>90706</v>
      </c>
      <c r="K58" s="44">
        <f t="shared" si="5"/>
        <v>45353</v>
      </c>
    </row>
    <row r="59" spans="1:11" ht="18.600000000000001" thickBot="1">
      <c r="A59" s="47">
        <v>50</v>
      </c>
      <c r="B59" s="48">
        <v>1390000</v>
      </c>
      <c r="C59" s="49">
        <v>1355000</v>
      </c>
      <c r="D59" s="92" t="s">
        <v>238</v>
      </c>
      <c r="E59" s="93"/>
      <c r="F59" s="50">
        <f t="shared" si="0"/>
        <v>139834</v>
      </c>
      <c r="G59" s="50">
        <f t="shared" si="1"/>
        <v>69917</v>
      </c>
      <c r="H59" s="50">
        <f t="shared" si="2"/>
        <v>45036</v>
      </c>
      <c r="I59" s="50">
        <f t="shared" si="3"/>
        <v>22518</v>
      </c>
      <c r="J59" s="50">
        <f t="shared" si="4"/>
        <v>94798</v>
      </c>
      <c r="K59" s="51">
        <f t="shared" si="5"/>
        <v>47399</v>
      </c>
    </row>
    <row r="60" spans="1:11" ht="18.600000000000001" thickTop="1"/>
  </sheetData>
  <mergeCells count="15">
    <mergeCell ref="H7:I7"/>
    <mergeCell ref="J7:K7"/>
    <mergeCell ref="D59:E59"/>
    <mergeCell ref="F2:G2"/>
    <mergeCell ref="B2:C2"/>
    <mergeCell ref="A4:B6"/>
    <mergeCell ref="C4:E8"/>
    <mergeCell ref="F4:K4"/>
    <mergeCell ref="F5:G5"/>
    <mergeCell ref="F6:G6"/>
    <mergeCell ref="H5:I6"/>
    <mergeCell ref="J5:K6"/>
    <mergeCell ref="A7:A8"/>
    <mergeCell ref="B7:B8"/>
    <mergeCell ref="F7:G7"/>
  </mergeCells>
  <phoneticPr fontId="3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6FF6-7192-4E23-8CC6-EB18A577F6C9}">
  <dimension ref="A1:C5"/>
  <sheetViews>
    <sheetView workbookViewId="0">
      <selection activeCell="C5" sqref="C5"/>
    </sheetView>
  </sheetViews>
  <sheetFormatPr defaultColWidth="4.875" defaultRowHeight="18"/>
  <sheetData>
    <row r="1" spans="1:3">
      <c r="A1" t="s">
        <v>239</v>
      </c>
    </row>
    <row r="2" spans="1:3">
      <c r="B2" t="s">
        <v>240</v>
      </c>
    </row>
    <row r="3" spans="1:3">
      <c r="B3" t="s">
        <v>241</v>
      </c>
    </row>
    <row r="4" spans="1:3">
      <c r="B4" t="s">
        <v>242</v>
      </c>
    </row>
    <row r="5" spans="1:3">
      <c r="C5" s="53" t="s">
        <v>243</v>
      </c>
    </row>
  </sheetData>
  <phoneticPr fontId="3"/>
  <hyperlinks>
    <hyperlink ref="C5" r:id="rId1" xr:uid="{51F583C5-0013-4F1C-9A51-6D2FE7CE6FF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608D-003E-46F9-8311-AF876DA2E4DD}">
  <dimension ref="A1:C10"/>
  <sheetViews>
    <sheetView workbookViewId="0">
      <selection activeCell="C7" sqref="C7"/>
    </sheetView>
  </sheetViews>
  <sheetFormatPr defaultColWidth="3.25" defaultRowHeight="18"/>
  <sheetData>
    <row r="1" spans="1:3">
      <c r="A1" t="s">
        <v>244</v>
      </c>
    </row>
    <row r="3" spans="1:3">
      <c r="B3" t="s">
        <v>245</v>
      </c>
    </row>
    <row r="4" spans="1:3">
      <c r="C4" t="s">
        <v>246</v>
      </c>
    </row>
    <row r="6" spans="1:3">
      <c r="B6" t="s">
        <v>247</v>
      </c>
    </row>
    <row r="7" spans="1:3">
      <c r="C7" t="s">
        <v>248</v>
      </c>
    </row>
    <row r="9" spans="1:3">
      <c r="C9" s="53" t="s">
        <v>249</v>
      </c>
    </row>
    <row r="10" spans="1:3">
      <c r="C10" s="53" t="s">
        <v>250</v>
      </c>
    </row>
  </sheetData>
  <phoneticPr fontId="3"/>
  <hyperlinks>
    <hyperlink ref="C10" r:id="rId1" xr:uid="{70096B51-9BD6-4D3B-BA40-26F7B6079CE1}"/>
    <hyperlink ref="C9" r:id="rId2" display="https://colab.research.google.com/?hl=ja" xr:uid="{49E82B47-11FB-418F-A3A0-8221A6B4702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DB2DE1-091C-4C84-A195-FAB7DA35C82C}"/>
</file>

<file path=customXml/itemProps2.xml><?xml version="1.0" encoding="utf-8"?>
<ds:datastoreItem xmlns:ds="http://schemas.openxmlformats.org/officeDocument/2006/customXml" ds:itemID="{EB0C1952-27E7-479F-8229-474C7F5620D3}"/>
</file>

<file path=customXml/itemProps3.xml><?xml version="1.0" encoding="utf-8"?>
<ds:datastoreItem xmlns:ds="http://schemas.openxmlformats.org/officeDocument/2006/customXml" ds:itemID="{3FF1CF79-9920-4FB5-8DF3-97139819B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小場　康剛</cp:lastModifiedBy>
  <cp:revision/>
  <dcterms:created xsi:type="dcterms:W3CDTF">2026-04-15T07:51:32Z</dcterms:created>
  <dcterms:modified xsi:type="dcterms:W3CDTF">2026-04-15T10:26:47Z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