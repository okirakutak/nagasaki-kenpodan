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tadak\OneDrive\デスクトップ\"/>
    </mc:Choice>
  </mc:AlternateContent>
  <xr:revisionPtr revIDLastSave="2" documentId="8_{CD6AE8E7-F0D0-4081-9049-8624911CC09C}" xr6:coauthVersionLast="47" xr6:coauthVersionMax="47" xr10:uidLastSave="{F7B2083E-E689-4EAD-A43F-1EDCA5442AD1}"/>
  <bookViews>
    <workbookView xWindow="27440" yWindow="2430" windowWidth="14270" windowHeight="13850" xr2:uid="{8132C47B-A3AB-4DBD-BC7B-415F29EC5326}"/>
  </bookViews>
  <sheets>
    <sheet name="重回帰分析結果_モデル指標" sheetId="2" r:id="rId1"/>
    <sheet name="重回帰分析_変数の係数と有意性" sheetId="6" r:id="rId2"/>
    <sheet name="結果の見方（モデル指標）" sheetId="3" r:id="rId3"/>
    <sheet name="（不要）GLM正規分布_モデル指標" sheetId="4" r:id="rId4"/>
    <sheet name="（不要）GLM正規分布_変数の係数と有意性" sheetId="5" r:id="rId5"/>
  </sheets>
  <definedNames>
    <definedName name="_xlnm._FilterDatabase" localSheetId="0" hidden="1">重回帰分析結果_モデル指標!$A$3:$AB$3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0" i="6" l="1" a="1"/>
  <c r="H100" i="6" s="1"/>
  <c r="H99" i="6" a="1"/>
  <c r="H99" i="6" s="1"/>
  <c r="H98" i="6" a="1"/>
  <c r="H98" i="6" s="1"/>
  <c r="H97" i="6" a="1"/>
  <c r="H97" i="6" s="1"/>
  <c r="H96" i="6" a="1"/>
  <c r="H96" i="6" s="1"/>
  <c r="H95" i="6" a="1"/>
  <c r="H95" i="6" s="1"/>
  <c r="H90" i="6" a="1"/>
  <c r="H90" i="6" s="1"/>
  <c r="H89" i="6" a="1"/>
  <c r="H89" i="6" s="1"/>
  <c r="H88" i="6" a="1"/>
  <c r="H88" i="6" s="1"/>
  <c r="H87" i="6" a="1"/>
  <c r="H87" i="6" s="1"/>
  <c r="H86" i="6" a="1"/>
  <c r="H86" i="6" s="1"/>
  <c r="H85" i="6" a="1"/>
  <c r="H85" i="6" s="1"/>
  <c r="H80" i="6" a="1"/>
  <c r="H80" i="6" s="1"/>
  <c r="H79" i="6" a="1"/>
  <c r="H79" i="6" s="1"/>
  <c r="H78" i="6" a="1"/>
  <c r="H78" i="6" s="1"/>
  <c r="H77" i="6" a="1"/>
  <c r="H77" i="6" s="1"/>
  <c r="H76" i="6" a="1"/>
  <c r="H76" i="6" s="1"/>
  <c r="H75" i="6" a="1"/>
  <c r="H75" i="6" s="1"/>
  <c r="H70" i="6" a="1"/>
  <c r="H70" i="6" s="1"/>
  <c r="H69" i="6" a="1"/>
  <c r="H69" i="6" s="1"/>
  <c r="H68" i="6" a="1"/>
  <c r="H68" i="6" s="1"/>
  <c r="H67" i="6" a="1"/>
  <c r="H67" i="6" s="1"/>
  <c r="H66" i="6" a="1"/>
  <c r="H66" i="6" s="1"/>
  <c r="H65" i="6" a="1"/>
  <c r="H65" i="6" s="1"/>
  <c r="H64" i="6" a="1"/>
  <c r="H64" i="6" s="1"/>
  <c r="H63" i="6" a="1"/>
  <c r="H63" i="6" s="1"/>
  <c r="H62" i="6" a="1"/>
  <c r="H62" i="6" s="1"/>
  <c r="H57" i="6" a="1"/>
  <c r="H57" i="6" s="1"/>
  <c r="H56" i="6" a="1"/>
  <c r="H56" i="6" s="1"/>
  <c r="H55" i="6" a="1"/>
  <c r="H55" i="6" s="1"/>
  <c r="H54" i="6" a="1"/>
  <c r="H54" i="6" s="1"/>
  <c r="H53" i="6" a="1"/>
  <c r="H53" i="6" s="1"/>
  <c r="H52" i="6" a="1"/>
  <c r="H52" i="6" s="1"/>
  <c r="H51" i="6" a="1"/>
  <c r="H51" i="6" s="1"/>
  <c r="H50" i="6" a="1"/>
  <c r="H50" i="6" s="1"/>
  <c r="H49" i="6" a="1"/>
  <c r="H49" i="6" s="1"/>
  <c r="H42" i="6" a="1"/>
  <c r="H42" i="6" s="1"/>
  <c r="H43" i="6" a="1"/>
  <c r="H43" i="6" s="1"/>
  <c r="H44" i="6" a="1"/>
  <c r="H44" i="6" s="1"/>
  <c r="H41" i="6" a="1"/>
  <c r="H41" i="6" s="1"/>
  <c r="H40" i="6" a="1"/>
  <c r="H40" i="6" s="1"/>
  <c r="H39" i="6" a="1"/>
  <c r="H39" i="6" s="1"/>
  <c r="H38" i="6" a="1"/>
  <c r="H38" i="6" s="1"/>
  <c r="H37" i="6" a="1"/>
  <c r="H37" i="6" s="1"/>
  <c r="H36" i="6" a="1"/>
  <c r="H36" i="6" s="1"/>
  <c r="H27" i="6" a="1"/>
  <c r="H27" i="6" s="1"/>
  <c r="H28" i="6" a="1"/>
  <c r="H28" i="6" s="1"/>
  <c r="H29" i="6" a="1"/>
  <c r="H29" i="6" s="1"/>
  <c r="H30" i="6" a="1"/>
  <c r="H30" i="6" s="1"/>
  <c r="H31" i="6" a="1"/>
  <c r="H31" i="6" s="1"/>
  <c r="H26" i="6" a="1"/>
  <c r="H26" i="6" s="1"/>
  <c r="H21" i="6" a="1"/>
  <c r="H21" i="6" s="1"/>
  <c r="H20" i="6" a="1"/>
  <c r="H20" i="6" s="1"/>
  <c r="H19" i="6" a="1"/>
  <c r="H19" i="6" s="1"/>
  <c r="H18" i="6" a="1"/>
  <c r="H18" i="6" s="1"/>
  <c r="H17" i="6" a="1"/>
  <c r="H17" i="6" s="1"/>
  <c r="H16" i="6" a="1"/>
  <c r="H16" i="6" s="1"/>
  <c r="H7" i="6" a="1"/>
  <c r="H7" i="6" s="1"/>
  <c r="H8" i="6" a="1"/>
  <c r="H8" i="6" s="1"/>
  <c r="H9" i="6" a="1"/>
  <c r="H9" i="6" s="1"/>
  <c r="H10" i="6" a="1"/>
  <c r="H10" i="6" s="1"/>
  <c r="H11" i="6" a="1"/>
  <c r="H11" i="6" s="1"/>
  <c r="H6" i="6" a="1"/>
  <c r="H6" i="6" s="1"/>
  <c r="J73" i="5" a="1"/>
  <c r="J73" i="5"/>
  <c r="J74" i="5" a="1"/>
  <c r="J74" i="5"/>
  <c r="J75" i="5" a="1"/>
  <c r="J75" i="5"/>
  <c r="J76" i="5" a="1"/>
  <c r="J76" i="5"/>
  <c r="J77" i="5" a="1"/>
  <c r="J77" i="5"/>
  <c r="J82" i="5" a="1"/>
  <c r="J82" i="5" s="1"/>
  <c r="J83" i="5" a="1"/>
  <c r="J83" i="5"/>
  <c r="J84" i="5" a="1"/>
  <c r="J84" i="5" s="1"/>
  <c r="J85" i="5" a="1"/>
  <c r="J85" i="5"/>
  <c r="J86" i="5" a="1"/>
  <c r="J86" i="5"/>
  <c r="J81" i="5" a="1"/>
  <c r="J81" i="5" s="1"/>
  <c r="J72" i="5" a="1"/>
  <c r="J72" i="5" s="1"/>
  <c r="J68" i="5"/>
  <c r="J68" i="5" a="1"/>
  <c r="J67" i="5" a="1"/>
  <c r="J67" i="5" s="1"/>
  <c r="J66" i="5"/>
  <c r="J66" i="5" a="1"/>
  <c r="J65" i="5" a="1"/>
  <c r="J65" i="5" s="1"/>
  <c r="J64" i="5"/>
  <c r="J64" i="5" a="1"/>
  <c r="J63" i="5"/>
  <c r="J63" i="5" a="1"/>
  <c r="J59" i="5" a="1"/>
  <c r="J59" i="5" s="1"/>
  <c r="J58" i="5" a="1"/>
  <c r="J58" i="5" s="1"/>
  <c r="J57" i="5" a="1"/>
  <c r="J57" i="5" s="1"/>
  <c r="J56" i="5" a="1"/>
  <c r="J56" i="5" s="1"/>
  <c r="J55" i="5" a="1"/>
  <c r="J55" i="5" s="1"/>
  <c r="J54" i="5" a="1"/>
  <c r="J54" i="5" s="1"/>
  <c r="J53" i="5" a="1"/>
  <c r="J53" i="5" s="1"/>
  <c r="J52" i="5" a="1"/>
  <c r="J52" i="5" s="1"/>
  <c r="J51" i="5" a="1"/>
  <c r="J51" i="5" s="1"/>
  <c r="J48" i="5" a="1"/>
  <c r="J48" i="5" s="1"/>
  <c r="J47" i="5" a="1"/>
  <c r="J47" i="5" s="1"/>
  <c r="J46" i="5" a="1"/>
  <c r="J46" i="5" s="1"/>
  <c r="J45" i="5" a="1"/>
  <c r="J45" i="5" s="1"/>
  <c r="J44" i="5" a="1"/>
  <c r="J44" i="5" s="1"/>
  <c r="J43" i="5" a="1"/>
  <c r="J43" i="5" s="1"/>
  <c r="J42" i="5" a="1"/>
  <c r="J42" i="5" s="1"/>
  <c r="J41" i="5" a="1"/>
  <c r="J41" i="5" s="1"/>
  <c r="J40" i="5" a="1"/>
  <c r="J40" i="5" s="1"/>
  <c r="J35" i="5" a="1"/>
  <c r="J35" i="5" s="1"/>
  <c r="J36" i="5" a="1"/>
  <c r="J36" i="5"/>
  <c r="J37" i="5" a="1"/>
  <c r="J37" i="5"/>
  <c r="J34" i="5" a="1"/>
  <c r="J34" i="5" s="1"/>
  <c r="J33" i="5" a="1"/>
  <c r="J33" i="5" s="1"/>
  <c r="J32" i="5" a="1"/>
  <c r="J32" i="5" s="1"/>
  <c r="J31" i="5" a="1"/>
  <c r="J31" i="5" s="1"/>
  <c r="J30" i="5" a="1"/>
  <c r="J30" i="5" s="1"/>
  <c r="J29" i="5" a="1"/>
  <c r="J29" i="5" s="1"/>
  <c r="J26" i="5" a="1"/>
  <c r="J26" i="5" s="1"/>
  <c r="J25" i="5" a="1"/>
  <c r="J25" i="5" s="1"/>
  <c r="J24" i="5" a="1"/>
  <c r="J24" i="5" s="1"/>
  <c r="J23" i="5" a="1"/>
  <c r="J23" i="5" s="1"/>
  <c r="J22" i="5"/>
  <c r="J22" i="5" a="1"/>
  <c r="J21" i="5" a="1"/>
  <c r="J21" i="5" s="1"/>
  <c r="J18" i="5" a="1"/>
  <c r="J18" i="5" s="1"/>
  <c r="J17" i="5" a="1"/>
  <c r="J17" i="5" s="1"/>
  <c r="J16" i="5"/>
  <c r="J16" i="5" a="1"/>
  <c r="J15" i="5" a="1"/>
  <c r="J15" i="5" s="1"/>
  <c r="J14" i="5" a="1"/>
  <c r="J14" i="5" s="1"/>
  <c r="J13" i="5" a="1"/>
  <c r="J13" i="5" s="1"/>
  <c r="J6" i="5" a="1"/>
  <c r="J6" i="5" s="1"/>
  <c r="J7" i="5" a="1"/>
  <c r="J7" i="5"/>
  <c r="J8" i="5" a="1"/>
  <c r="J8" i="5" s="1"/>
  <c r="J9" i="5" a="1"/>
  <c r="J9" i="5"/>
  <c r="J10" i="5" a="1"/>
  <c r="J10" i="5"/>
  <c r="J5" i="5" a="1"/>
  <c r="J5" i="5" s="1"/>
  <c r="S5" i="4" a="1"/>
  <c r="S5" i="4"/>
  <c r="S6" i="4" a="1"/>
  <c r="S6" i="4"/>
  <c r="S7" i="4" a="1"/>
  <c r="S7" i="4"/>
  <c r="S8" i="4" a="1"/>
  <c r="S8" i="4"/>
  <c r="S9" i="4" a="1"/>
  <c r="S9" i="4"/>
  <c r="S10" i="4" a="1"/>
  <c r="S10" i="4"/>
  <c r="S11" i="4" a="1"/>
  <c r="S11" i="4" s="1"/>
  <c r="S12" i="4" a="1"/>
  <c r="S12" i="4" s="1"/>
  <c r="S4" i="4" a="1"/>
  <c r="S4" i="4" s="1"/>
  <c r="F12" i="4"/>
  <c r="D12" i="4"/>
  <c r="F11" i="4"/>
  <c r="D11" i="4"/>
  <c r="F10" i="4"/>
  <c r="D10" i="4"/>
  <c r="F9" i="4"/>
  <c r="D9" i="4"/>
  <c r="F8" i="4"/>
  <c r="D8" i="4"/>
  <c r="F7" i="4"/>
  <c r="D7" i="4"/>
  <c r="F6" i="4"/>
  <c r="D6" i="4"/>
  <c r="F5" i="4"/>
  <c r="D5" i="4"/>
  <c r="F4" i="4"/>
  <c r="D4" i="4"/>
  <c r="T12" i="2" a="1"/>
  <c r="T12" i="2" s="1"/>
  <c r="T11" i="2" a="1"/>
  <c r="T11" i="2" s="1"/>
  <c r="T10" i="2" a="1"/>
  <c r="T10" i="2" s="1"/>
  <c r="T9" i="2" a="1"/>
  <c r="T9" i="2" s="1"/>
  <c r="T8" i="2" a="1"/>
  <c r="T8" i="2" s="1"/>
  <c r="T7" i="2" a="1"/>
  <c r="T7" i="2" s="1"/>
  <c r="T6" i="2" a="1"/>
  <c r="T6" i="2" s="1"/>
  <c r="T5" i="2" a="1"/>
  <c r="T5" i="2" s="1"/>
  <c r="T4" i="2" a="1"/>
  <c r="T4" i="2"/>
  <c r="F5" i="2"/>
  <c r="F6" i="2"/>
  <c r="F7" i="2"/>
  <c r="F8" i="2"/>
  <c r="F9" i="2"/>
  <c r="F10" i="2"/>
  <c r="F11" i="2"/>
  <c r="F12" i="2"/>
  <c r="F4" i="2"/>
  <c r="D12" i="2"/>
  <c r="D11" i="2"/>
  <c r="D10" i="2"/>
  <c r="D8" i="2"/>
  <c r="D9" i="2"/>
  <c r="D7" i="2"/>
  <c r="D6" i="2"/>
  <c r="D5" i="2"/>
  <c r="D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<sst xmlns="http://schemas.openxmlformats.org/spreadsheetml/2006/main" count="519" uniqueCount="110">
  <si>
    <t>重回帰分析結果（モデル指標）</t>
    <rPh sb="0" eb="5">
      <t>ジュウカイキブンセキ</t>
    </rPh>
    <rPh sb="5" eb="7">
      <t>ケッカ</t>
    </rPh>
    <phoneticPr fontId="2"/>
  </si>
  <si>
    <t xml:space="preserve">（VIFの値が10を超えている説明変数があると、個々の変数の効果を正確に評価することが難しくなります。） </t>
  </si>
  <si>
    <t>NO</t>
    <phoneticPr fontId="2"/>
  </si>
  <si>
    <t>使用データ</t>
    <rPh sb="0" eb="2">
      <t>シヨウ</t>
    </rPh>
    <phoneticPr fontId="2"/>
  </si>
  <si>
    <t>使用年数</t>
    <rPh sb="0" eb="4">
      <t>シヨウネンスウ</t>
    </rPh>
    <phoneticPr fontId="2"/>
  </si>
  <si>
    <t>レコード数</t>
    <rPh sb="4" eb="5">
      <t>スウ</t>
    </rPh>
    <phoneticPr fontId="2"/>
  </si>
  <si>
    <t>目的変数</t>
    <rPh sb="0" eb="4">
      <t>モクテキヘンスウ</t>
    </rPh>
    <phoneticPr fontId="2"/>
  </si>
  <si>
    <t>目的変数数</t>
    <rPh sb="0" eb="4">
      <t>モクテキヘンスウ</t>
    </rPh>
    <rPh sb="4" eb="5">
      <t>スウ</t>
    </rPh>
    <phoneticPr fontId="2"/>
  </si>
  <si>
    <t>説明変数1</t>
    <rPh sb="0" eb="4">
      <t>セツメイヘンスウ</t>
    </rPh>
    <phoneticPr fontId="2"/>
  </si>
  <si>
    <t>説明変数2</t>
    <rPh sb="0" eb="4">
      <t>セツメイヘンスウ</t>
    </rPh>
    <phoneticPr fontId="2"/>
  </si>
  <si>
    <t>説明変数3</t>
    <rPh sb="0" eb="4">
      <t>セツメイヘンスウ</t>
    </rPh>
    <phoneticPr fontId="2"/>
  </si>
  <si>
    <t>説明変数4</t>
    <rPh sb="0" eb="4">
      <t>セツメイヘンスウ</t>
    </rPh>
    <phoneticPr fontId="2"/>
  </si>
  <si>
    <t>説明変数5</t>
    <rPh sb="0" eb="4">
      <t>セツメイヘンスウ</t>
    </rPh>
    <phoneticPr fontId="2"/>
  </si>
  <si>
    <t>説明変数6</t>
    <rPh sb="0" eb="4">
      <t>セツメイヘンスウ</t>
    </rPh>
    <phoneticPr fontId="2"/>
  </si>
  <si>
    <t>説明変数7</t>
    <rPh sb="0" eb="4">
      <t>セツメイヘンスウ</t>
    </rPh>
    <phoneticPr fontId="2"/>
  </si>
  <si>
    <t>説明変数8</t>
    <rPh sb="0" eb="4">
      <t>セツメイヘンスウ</t>
    </rPh>
    <phoneticPr fontId="2"/>
  </si>
  <si>
    <t>R2乗</t>
  </si>
  <si>
    <t>調整済みR2乗</t>
  </si>
  <si>
    <t>RMSE</t>
  </si>
  <si>
    <t>F値</t>
  </si>
  <si>
    <t>P値</t>
  </si>
  <si>
    <t>行数</t>
  </si>
  <si>
    <t>自由度</t>
  </si>
  <si>
    <t>対数尤度</t>
  </si>
  <si>
    <t>AIC</t>
  </si>
  <si>
    <t>BIC</t>
  </si>
  <si>
    <t>残差逸脱度</t>
  </si>
  <si>
    <t>残差の自由度</t>
  </si>
  <si>
    <t>VIF (最大値)</t>
  </si>
  <si>
    <t>インセンティブ実施率</t>
  </si>
  <si>
    <t>保険料</t>
    <rPh sb="0" eb="3">
      <t>ホケンリョウ</t>
    </rPh>
    <phoneticPr fontId="2"/>
  </si>
  <si>
    <t>特定健診等_実施率</t>
    <phoneticPr fontId="2"/>
  </si>
  <si>
    <t>特定保健指導_実施率</t>
    <phoneticPr fontId="2"/>
  </si>
  <si>
    <t>特定保健指導対象者減少率</t>
    <phoneticPr fontId="2"/>
  </si>
  <si>
    <t>医療機関受診率</t>
    <phoneticPr fontId="2"/>
  </si>
  <si>
    <t>後発医薬品の使用割合</t>
    <phoneticPr fontId="2"/>
  </si>
  <si>
    <t>調整前所要保険料_a</t>
    <phoneticPr fontId="2"/>
  </si>
  <si>
    <t>インセティブ増減率</t>
    <rPh sb="6" eb="8">
      <t>ゾウゲン</t>
    </rPh>
    <rPh sb="8" eb="9">
      <t>リツ</t>
    </rPh>
    <phoneticPr fontId="2"/>
  </si>
  <si>
    <t>インセンティブ実施率2年分</t>
    <rPh sb="11" eb="13">
      <t>ネンブン</t>
    </rPh>
    <phoneticPr fontId="2"/>
  </si>
  <si>
    <t>特定健診等_実施率</t>
  </si>
  <si>
    <t>特定保健指導_実施率</t>
  </si>
  <si>
    <t>特定保健指導対象者減少率</t>
  </si>
  <si>
    <t>医療機関受診率</t>
  </si>
  <si>
    <t>後発医薬品の使用割合</t>
  </si>
  <si>
    <t>特定健診等_実施率_前年度</t>
  </si>
  <si>
    <t>特定保健指導_実施率_前年度</t>
  </si>
  <si>
    <t>後発医薬品の使用割合_前年度</t>
  </si>
  <si>
    <t>インセンティブ実施率_R5以降</t>
    <rPh sb="13" eb="15">
      <t>イコウ</t>
    </rPh>
    <phoneticPr fontId="2"/>
  </si>
  <si>
    <t>重回帰分析結果（変数の係数と有意性）</t>
    <rPh sb="0" eb="3">
      <t>ジュウカイキ</t>
    </rPh>
    <rPh sb="3" eb="7">
      <t>ブンセキケッカ</t>
    </rPh>
    <phoneticPr fontId="2"/>
  </si>
  <si>
    <t>https://exploratory.io/note/exploratory/Yla0xCR7</t>
  </si>
  <si>
    <t>分析No01</t>
    <rPh sb="0" eb="2">
      <t>ブンセキ</t>
    </rPh>
    <phoneticPr fontId="2"/>
  </si>
  <si>
    <t>変数</t>
  </si>
  <si>
    <t>係数</t>
  </si>
  <si>
    <t>標準誤差</t>
  </si>
  <si>
    <t>t値</t>
  </si>
  <si>
    <t>信頼区間下限</t>
  </si>
  <si>
    <t>信頼区間上限</t>
  </si>
  <si>
    <t>(Intercept：切片)</t>
    <rPh sb="11" eb="13">
      <t>セッペン</t>
    </rPh>
    <phoneticPr fontId="2"/>
  </si>
  <si>
    <t>分析No02</t>
    <rPh sb="0" eb="2">
      <t>ブンセキ</t>
    </rPh>
    <phoneticPr fontId="2"/>
  </si>
  <si>
    <t>分析No03</t>
    <rPh sb="0" eb="2">
      <t>ブンセキ</t>
    </rPh>
    <phoneticPr fontId="2"/>
  </si>
  <si>
    <t>分析No04</t>
    <rPh sb="0" eb="2">
      <t>ブンセキ</t>
    </rPh>
    <phoneticPr fontId="2"/>
  </si>
  <si>
    <t>分析No05</t>
    <rPh sb="0" eb="2">
      <t>ブンセキ</t>
    </rPh>
    <phoneticPr fontId="2"/>
  </si>
  <si>
    <t>分析No06</t>
    <rPh sb="0" eb="2">
      <t>ブンセキ</t>
    </rPh>
    <phoneticPr fontId="2"/>
  </si>
  <si>
    <t>分析No07</t>
    <rPh sb="0" eb="2">
      <t>ブンセキ</t>
    </rPh>
    <phoneticPr fontId="2"/>
  </si>
  <si>
    <t>分析No08</t>
    <rPh sb="0" eb="2">
      <t>ブンセキ</t>
    </rPh>
    <phoneticPr fontId="2"/>
  </si>
  <si>
    <t>分析No09</t>
    <rPh sb="0" eb="2">
      <t>ブンセキ</t>
    </rPh>
    <phoneticPr fontId="2"/>
  </si>
  <si>
    <t>モデル指標</t>
    <rPh sb="3" eb="5">
      <t>シヒョウ</t>
    </rPh>
    <phoneticPr fontId="2"/>
  </si>
  <si>
    <t>予測精度</t>
  </si>
  <si>
    <t>R2（決定係数）</t>
    <rPh sb="3" eb="7">
      <t>ケッテイケイスウ</t>
    </rPh>
    <phoneticPr fontId="2"/>
  </si>
  <si>
    <t>R2乗の仕組み</t>
  </si>
  <si>
    <t>RMSEの仕組み</t>
  </si>
  <si>
    <t>有意性</t>
  </si>
  <si>
    <t>調整済みR2乗は、R2乗を改良した指標で、モデルに含まれる説明変数の数を考慮して調整されています。</t>
  </si>
  <si>
    <t>R2乗と同じく、値は0から1の間で、1はモデルが完全に目的変数の値を予測できることを意味します。</t>
  </si>
  <si>
    <t>無意味な説明変数を追加すると調整済みR2乗が減少する特性があり、異なるモデル間の比較に適しています。</t>
  </si>
  <si>
    <t>調整済みR2乗について解説したノートはこちらをご覧ください。</t>
  </si>
  <si>
    <t>F値はモデル全体の有意性を検定するための統計量です。</t>
  </si>
  <si>
    <t>「モデルが予測に役立っているか」を評価し、値が大きいほど偶然ではなく統計的に意味があると判断されます。</t>
  </si>
  <si>
    <t>1以上の値を取り、値が大きいほどモデルの有意性が高いことを示します。</t>
  </si>
  <si>
    <t>P値はモデルやパラメータの統計的有意性を示す確率値です。</t>
  </si>
  <si>
    <t>一般的に5%（0.05）未満であれば、統計的に有意であると判断されます。</t>
  </si>
  <si>
    <t>値は0から1の間で、P値が小さいほど統計的有意性が高いことを示します。</t>
  </si>
  <si>
    <t>行数は分析に使用したデータの総数（サンプルサイズ）を示します。</t>
  </si>
  <si>
    <t>サンプルサイズが大きいほど、統計的検定の検出力が高まり、結果の信頼性が向上します。</t>
  </si>
  <si>
    <t>説明変数にある数値型の列で欠損値が含まれている場合、その行が取り除かれて実行されます。</t>
  </si>
  <si>
    <t>自由度はモデルにおいて自由に変化できるパラメータ（係数）の数を表します。</t>
  </si>
  <si>
    <t>係数の表で確認できる変数の数（切片を除く）となります。</t>
  </si>
  <si>
    <t>対数尤度はデータがモデルにどれだけ適合しているかを数値化したものです。</t>
  </si>
  <si>
    <t>通常は負の値を取り、0に近いほどモデルの適合度が高いことを示します。</t>
  </si>
  <si>
    <t>主にAICやBICなどの情報量基準の計算に使用されます。</t>
  </si>
  <si>
    <t>AIC（赤池情報量基準）はモデルの複雑さと適合度のバランスを評価する指標です。</t>
  </si>
  <si>
    <t>値が小さいほど優れたモデルとされ、過学習を防ぎながら最適なモデルを選択するのに役立ちます。</t>
  </si>
  <si>
    <t>値は通常正ですが、対数尤度が大きい場合は負の値になることもあります。</t>
  </si>
  <si>
    <t>BIC（ベイズ情報量基準）はAICと同様にモデル選択のための指標ですが、サンプルサイズによる補正がより厳しくなっています。</t>
  </si>
  <si>
    <t>AICよりも単純なモデルを選ぶ傾向があり、値が小さいほど良いモデルと判断されます。</t>
  </si>
  <si>
    <t>残差逸脱度は実測値とモデルによる予測値との差（残差）の二乗和を表します。</t>
  </si>
  <si>
    <t>値が小さいほどモデルの適合度が高く、モデル診断や比較に使用されます。</t>
  </si>
  <si>
    <t>0以上の値を取り、完璧なモデルでは0になります。</t>
  </si>
  <si>
    <t>残差の自由度は残差に関連する自由度で、「データ量（行数） - モデルのパラメータ数」で計算されます。</t>
  </si>
  <si>
    <t>係数の表で確認できる全ての行の数をデータの行数から引いたものです。</t>
  </si>
  <si>
    <t>残差の評価や分散の推定に使用され、検定統計量の算出に必要です。</t>
  </si>
  <si>
    <t>VIF（最大値）</t>
  </si>
  <si>
    <t>VIF（分散拡大要因）は説明変数間の多重共線性の程度を示す指標です。</t>
  </si>
  <si>
    <t>一般的にVIFが10以上の変数は多重共線性の問題があると判断されます。</t>
  </si>
  <si>
    <t>値は1から無限大の間で、1に近いほど多重共線性が少ないことを示します。</t>
  </si>
  <si>
    <t>GLM正規分布分析結果</t>
    <rPh sb="7" eb="11">
      <t>ブンセキケッカ</t>
    </rPh>
    <phoneticPr fontId="2"/>
  </si>
  <si>
    <t>Nullモデルの逸脱度</t>
  </si>
  <si>
    <t>Nullモデルの自由度</t>
  </si>
  <si>
    <t>GLM正規分布分析結果（変数の係数と有意性）</t>
    <rPh sb="7" eb="11">
      <t>ブンセキケッカ</t>
    </rPh>
    <phoneticPr fontId="2"/>
  </si>
  <si>
    <t>https://exploratory.io/note/exploratory/rIW4IQB9/note_content/note.html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</si>
</sst>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;[Red]\-#,##0.000"/>
  </numFmts>
  <fonts count="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8"/>
      <color rgb="FF333333"/>
      <name val="Arial"/>
      <family val="2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0" fontId="0" fillId="0" borderId="1" xfId="0" applyBorder="1">
      <alignment vertical="center"/>
    </xf>
    <xf numFmtId="176" fontId="0" fillId="0" borderId="1" xfId="1" applyNumberFormat="1" applyFont="1" applyBorder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 applyAlignment="1">
      <alignment vertical="center" wrapText="1"/>
    </xf>
    <xf numFmtId="176" fontId="5" fillId="0" borderId="1" xfId="1" applyNumberFormat="1" applyFont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6" fillId="0" borderId="0" xfId="2">
      <alignment vertical="center"/>
    </xf>
    <xf numFmtId="0" fontId="0" fillId="2" borderId="3" xfId="0" applyFill="1" applyBorder="1" applyAlignment="1">
      <alignment vertical="center" wrapText="1"/>
    </xf>
    <xf numFmtId="176" fontId="0" fillId="0" borderId="3" xfId="1" applyNumberFormat="1" applyFont="1" applyBorder="1">
      <alignment vertical="center"/>
    </xf>
    <xf numFmtId="0" fontId="0" fillId="2" borderId="2" xfId="0" applyFill="1" applyBorder="1" applyAlignment="1">
      <alignment vertical="center" wrapText="1"/>
    </xf>
    <xf numFmtId="176" fontId="0" fillId="0" borderId="2" xfId="1" applyNumberFormat="1" applyFont="1" applyBorder="1">
      <alignment vertical="center"/>
    </xf>
    <xf numFmtId="176" fontId="0" fillId="0" borderId="2" xfId="1" applyNumberFormat="1" applyFont="1" applyBorder="1" applyAlignment="1">
      <alignment horizontal="center" vertical="center"/>
    </xf>
    <xf numFmtId="176" fontId="7" fillId="0" borderId="1" xfId="1" applyNumberFormat="1" applyFont="1" applyBorder="1">
      <alignment vertical="center"/>
    </xf>
    <xf numFmtId="176" fontId="0" fillId="0" borderId="0" xfId="1" applyNumberFormat="1" applyFont="1" applyBorder="1" applyAlignment="1">
      <alignment horizontal="center" vertical="center"/>
    </xf>
    <xf numFmtId="176" fontId="0" fillId="0" borderId="0" xfId="1" applyNumberFormat="1" applyFont="1" applyBorder="1">
      <alignment vertical="center"/>
    </xf>
    <xf numFmtId="176" fontId="0" fillId="0" borderId="0" xfId="0" applyNumberFormat="1">
      <alignment vertical="center"/>
    </xf>
  </cellXfs>
  <cellStyles count="3">
    <cellStyle name="ハイパーリンク" xfId="2" builtinId="8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400050</xdr:colOff>
      <xdr:row>4</xdr:row>
      <xdr:rowOff>82550</xdr:rowOff>
    </xdr:from>
    <xdr:to>
      <xdr:col>18</xdr:col>
      <xdr:colOff>101600</xdr:colOff>
      <xdr:row>13</xdr:row>
      <xdr:rowOff>133350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F586EF9-E55A-4E01-A7C7-B5BA0B1CFF83}"/>
            </a:ext>
          </a:extLst>
        </xdr:cNvPr>
        <xdr:cNvSpPr/>
      </xdr:nvSpPr>
      <xdr:spPr>
        <a:xfrm>
          <a:off x="8712200" y="1054100"/>
          <a:ext cx="3663950" cy="2108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P値を使った有意性の判断</a:t>
          </a:r>
        </a:p>
        <a:p>
          <a:r>
            <a:rPr lang="ja-JP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有意水準が5% (0.05)の元では、P値が5% (0.05)よりも大きい説明変数はインセンティブ分_cとの関係が統計的に有意だとは言えません。逆に、P値が5% (0.05)よりも小さい説明変数はインセンティブ分_cとの関係が統計的に有意だと言えます。</a:t>
          </a:r>
        </a:p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241300</xdr:colOff>
      <xdr:row>4</xdr:row>
      <xdr:rowOff>215900</xdr:rowOff>
    </xdr:from>
    <xdr:to>
      <xdr:col>12</xdr:col>
      <xdr:colOff>568302</xdr:colOff>
      <xdr:row>38</xdr:row>
      <xdr:rowOff>197372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4C30282-3719-E24E-54EC-FB5DA2F5D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600" y="1130300"/>
          <a:ext cx="6581752" cy="775387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13</xdr:col>
      <xdr:colOff>260703</xdr:colOff>
      <xdr:row>54</xdr:row>
      <xdr:rowOff>44605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F2F6576-714D-C495-D4C7-D3DC826DE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3450" y="9372600"/>
          <a:ext cx="6864703" cy="30164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177800</xdr:colOff>
      <xdr:row>6</xdr:row>
      <xdr:rowOff>38100</xdr:rowOff>
    </xdr:from>
    <xdr:to>
      <xdr:col>18</xdr:col>
      <xdr:colOff>539750</xdr:colOff>
      <xdr:row>13</xdr:row>
      <xdr:rowOff>88900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392F430-5372-F758-FEA1-1401521C94F7}"/>
            </a:ext>
          </a:extLst>
        </xdr:cNvPr>
        <xdr:cNvSpPr/>
      </xdr:nvSpPr>
      <xdr:spPr>
        <a:xfrm>
          <a:off x="8763000" y="1409700"/>
          <a:ext cx="3663950" cy="1651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P値を使った有意性の判断</a:t>
          </a:r>
        </a:p>
        <a:p>
          <a:r>
            <a:rPr lang="ja-JP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有意水準が5% (0.05)の元では、P値が5% (0.05)よりも大きい説明変数はインセンティブ分_cとの関係が統計的に有意だとは言えません。逆に、P値が5% (0.05)よりも小さい説明変数はインセンティブ分_cとの関係が統計的に有意だと言えます。</a:t>
          </a:r>
        </a:p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ploratory.io/note/exploratory/RMSE-DjQ0KQd5" TargetMode="External"/><Relationship Id="rId1" Type="http://schemas.openxmlformats.org/officeDocument/2006/relationships/hyperlink" Target="https://exploratory.io/note/exploratory/R2-zVj7AqB3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exploratory.io/note/exploratory/rIW4IQB9/note_content/no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0B00-FC3B-45F2-A003-80A29633F610}">
  <dimension ref="A1:AB13"/>
  <sheetViews>
    <sheetView tabSelected="1" workbookViewId="0">
      <pane ySplit="3" topLeftCell="B4" activePane="bottomLeft" state="frozen"/>
      <selection pane="bottomLeft" activeCell="O13" sqref="O13"/>
    </sheetView>
  </sheetViews>
  <sheetFormatPr defaultRowHeight="18"/>
  <cols>
    <col min="1" max="1" width="3.625" customWidth="1"/>
    <col min="2" max="2" width="27.375" bestFit="1" customWidth="1"/>
    <col min="4" max="4" width="10.375" customWidth="1"/>
    <col min="5" max="5" width="18.375" bestFit="1" customWidth="1"/>
    <col min="6" max="6" width="10.375" bestFit="1" customWidth="1"/>
    <col min="20" max="20" width="3.375" customWidth="1"/>
    <col min="23" max="23" width="8.875" bestFit="1" customWidth="1"/>
    <col min="24" max="25" width="10" bestFit="1" customWidth="1"/>
    <col min="26" max="26" width="8.875" bestFit="1" customWidth="1"/>
  </cols>
  <sheetData>
    <row r="1" spans="1:28" ht="22.5">
      <c r="A1" s="6" t="s">
        <v>0</v>
      </c>
    </row>
    <row r="2" spans="1:28">
      <c r="AB2" s="7" t="s">
        <v>1</v>
      </c>
    </row>
    <row r="3" spans="1:28" s="5" customFormat="1" ht="36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  <c r="O3" s="10" t="s">
        <v>16</v>
      </c>
      <c r="P3" s="11" t="s">
        <v>17</v>
      </c>
      <c r="Q3" s="11" t="s">
        <v>18</v>
      </c>
      <c r="R3" s="10" t="s">
        <v>19</v>
      </c>
      <c r="S3" s="13" t="s">
        <v>20</v>
      </c>
      <c r="T3" s="15"/>
      <c r="U3" s="11" t="s">
        <v>21</v>
      </c>
      <c r="V3" s="11" t="s">
        <v>22</v>
      </c>
      <c r="W3" s="11" t="s">
        <v>23</v>
      </c>
      <c r="X3" s="11" t="s">
        <v>24</v>
      </c>
      <c r="Y3" s="11" t="s">
        <v>25</v>
      </c>
      <c r="Z3" s="11" t="s">
        <v>26</v>
      </c>
      <c r="AA3" s="11" t="s">
        <v>27</v>
      </c>
      <c r="AB3" s="10" t="s">
        <v>28</v>
      </c>
    </row>
    <row r="4" spans="1:28" ht="54">
      <c r="A4" s="3">
        <v>1</v>
      </c>
      <c r="B4" s="3" t="s">
        <v>29</v>
      </c>
      <c r="C4" s="3">
        <v>7</v>
      </c>
      <c r="D4" s="3">
        <f>C4*47</f>
        <v>329</v>
      </c>
      <c r="E4" s="3" t="s">
        <v>30</v>
      </c>
      <c r="F4" s="3">
        <f>COUNTA(G4:N4)</f>
        <v>5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/>
      <c r="M4" s="8"/>
      <c r="N4" s="8"/>
      <c r="O4" s="4">
        <v>0.136106537418868</v>
      </c>
      <c r="P4" s="4">
        <v>0.12273357360182301</v>
      </c>
      <c r="Q4" s="4">
        <v>0.24470084386944499</v>
      </c>
      <c r="R4" s="4">
        <v>10.177739151988501</v>
      </c>
      <c r="S4" s="14">
        <v>4.5495466075954301E-9</v>
      </c>
      <c r="T4" s="17" t="str" cm="1">
        <f t="array" ref="T4">_xlfn.IFS(S4&lt;0.01,"**",S4&lt;0.05,"*",TRUE,"")</f>
        <v>**</v>
      </c>
      <c r="U4" s="3">
        <v>329</v>
      </c>
      <c r="V4" s="3">
        <v>5</v>
      </c>
      <c r="W4" s="4">
        <v>-3.6912725002554398</v>
      </c>
      <c r="X4" s="4">
        <v>21.382545000510898</v>
      </c>
      <c r="Y4" s="4">
        <v>47.954949255868499</v>
      </c>
      <c r="Z4" s="4">
        <v>19.700027483847599</v>
      </c>
      <c r="AA4" s="3">
        <v>323</v>
      </c>
      <c r="AB4" s="4">
        <v>1.7812163387536399</v>
      </c>
    </row>
    <row r="5" spans="1:28" ht="54">
      <c r="A5" s="3">
        <v>2</v>
      </c>
      <c r="B5" s="3" t="s">
        <v>29</v>
      </c>
      <c r="C5" s="3">
        <v>7</v>
      </c>
      <c r="D5" s="3">
        <f>C5*47</f>
        <v>329</v>
      </c>
      <c r="E5" s="3" t="s">
        <v>36</v>
      </c>
      <c r="F5" s="3">
        <f t="shared" ref="F5:F12" si="0">COUNTA(G5:N5)</f>
        <v>5</v>
      </c>
      <c r="G5" s="8" t="s">
        <v>31</v>
      </c>
      <c r="H5" s="8" t="s">
        <v>32</v>
      </c>
      <c r="I5" s="8" t="s">
        <v>33</v>
      </c>
      <c r="J5" s="8" t="s">
        <v>34</v>
      </c>
      <c r="K5" s="8" t="s">
        <v>35</v>
      </c>
      <c r="L5" s="8"/>
      <c r="M5" s="8"/>
      <c r="N5" s="8"/>
      <c r="O5" s="4">
        <v>0.25070020226218398</v>
      </c>
      <c r="P5" s="4">
        <v>0.23910113418574799</v>
      </c>
      <c r="Q5" s="4">
        <v>0.51560416161932299</v>
      </c>
      <c r="R5" s="4">
        <v>21.613822818358599</v>
      </c>
      <c r="S5" s="14">
        <v>1.1512855835693601E-18</v>
      </c>
      <c r="T5" s="17" t="str" cm="1">
        <f t="array" ref="T5">_xlfn.IFS(S5&lt;0.01,"**",S5&lt;0.05,"*",TRUE,"")</f>
        <v>**</v>
      </c>
      <c r="U5" s="3">
        <v>329</v>
      </c>
      <c r="V5" s="3">
        <v>5</v>
      </c>
      <c r="W5" s="4">
        <v>-248.895934302992</v>
      </c>
      <c r="X5" s="4">
        <v>511.79186860598401</v>
      </c>
      <c r="Y5" s="4">
        <v>538.36427286134096</v>
      </c>
      <c r="Z5" s="4">
        <v>87.463877336645396</v>
      </c>
      <c r="AA5" s="3">
        <v>323</v>
      </c>
      <c r="AB5" s="4">
        <v>1.7812163387536399</v>
      </c>
    </row>
    <row r="6" spans="1:28" ht="54">
      <c r="A6" s="3">
        <v>3</v>
      </c>
      <c r="B6" s="3" t="s">
        <v>29</v>
      </c>
      <c r="C6" s="3">
        <v>7</v>
      </c>
      <c r="D6" s="3">
        <f>C6*47</f>
        <v>329</v>
      </c>
      <c r="E6" s="3" t="s">
        <v>37</v>
      </c>
      <c r="F6" s="3">
        <f t="shared" si="0"/>
        <v>5</v>
      </c>
      <c r="G6" s="8" t="s">
        <v>31</v>
      </c>
      <c r="H6" s="8" t="s">
        <v>32</v>
      </c>
      <c r="I6" s="8" t="s">
        <v>33</v>
      </c>
      <c r="J6" s="8" t="s">
        <v>34</v>
      </c>
      <c r="K6" s="8" t="s">
        <v>35</v>
      </c>
      <c r="L6" s="8"/>
      <c r="M6" s="8"/>
      <c r="N6" s="8"/>
      <c r="O6" s="4">
        <v>0.25056810491068798</v>
      </c>
      <c r="P6" s="4">
        <v>0.23896699198360899</v>
      </c>
      <c r="Q6" s="4">
        <v>2.51232948888593E-2</v>
      </c>
      <c r="R6" s="4">
        <v>21.598626484000199</v>
      </c>
      <c r="S6" s="14">
        <v>1.1836192422366099E-18</v>
      </c>
      <c r="T6" s="17" t="str" cm="1">
        <f t="array" ref="T6">_xlfn.IFS(S6&lt;0.01,"**",S6&lt;0.05,"*",TRUE,"")</f>
        <v>**</v>
      </c>
      <c r="U6" s="3">
        <v>329</v>
      </c>
      <c r="V6" s="3">
        <v>5</v>
      </c>
      <c r="W6" s="4">
        <v>745.19199020417295</v>
      </c>
      <c r="X6" s="4">
        <v>-1476.38398040835</v>
      </c>
      <c r="Y6" s="4">
        <v>-1449.81157615299</v>
      </c>
      <c r="Z6" s="4">
        <v>0.20765820225788001</v>
      </c>
      <c r="AA6" s="3">
        <v>323</v>
      </c>
      <c r="AB6" s="4">
        <v>1.7812163387536399</v>
      </c>
    </row>
    <row r="7" spans="1:28" ht="72">
      <c r="A7" s="3">
        <v>4</v>
      </c>
      <c r="B7" s="3" t="s">
        <v>38</v>
      </c>
      <c r="C7" s="3">
        <v>6</v>
      </c>
      <c r="D7" s="3">
        <f>C7*47</f>
        <v>282</v>
      </c>
      <c r="E7" s="3" t="s">
        <v>30</v>
      </c>
      <c r="F7" s="3">
        <f t="shared" si="0"/>
        <v>8</v>
      </c>
      <c r="G7" s="8" t="s">
        <v>39</v>
      </c>
      <c r="H7" s="8" t="s">
        <v>40</v>
      </c>
      <c r="I7" s="8" t="s">
        <v>41</v>
      </c>
      <c r="J7" s="8" t="s">
        <v>42</v>
      </c>
      <c r="K7" s="8" t="s">
        <v>43</v>
      </c>
      <c r="L7" s="8" t="s">
        <v>44</v>
      </c>
      <c r="M7" s="8" t="s">
        <v>45</v>
      </c>
      <c r="N7" s="8" t="s">
        <v>46</v>
      </c>
      <c r="O7" s="4">
        <v>0.16422770933459299</v>
      </c>
      <c r="P7" s="4">
        <v>0.13973621363743799</v>
      </c>
      <c r="Q7" s="4">
        <v>0.243909983716076</v>
      </c>
      <c r="R7" s="4">
        <v>6.7054993849833204</v>
      </c>
      <c r="S7" s="14">
        <v>5.0879593689184899E-8</v>
      </c>
      <c r="T7" s="17" t="str" cm="1">
        <f t="array" ref="T7">_xlfn.IFS(S7&lt;0.01,"**",S7&lt;0.05,"*",TRUE,"")</f>
        <v>**</v>
      </c>
      <c r="U7" s="3">
        <v>282</v>
      </c>
      <c r="V7" s="3">
        <v>8</v>
      </c>
      <c r="W7" s="4">
        <v>-2.2510628150355698</v>
      </c>
      <c r="X7" s="4">
        <v>24.502125630071099</v>
      </c>
      <c r="Y7" s="4">
        <v>60.921196339452301</v>
      </c>
      <c r="Z7" s="4">
        <v>16.776766604098199</v>
      </c>
      <c r="AA7" s="3">
        <v>273</v>
      </c>
      <c r="AB7" s="9">
        <v>15.9705151275619</v>
      </c>
    </row>
    <row r="8" spans="1:28" ht="72">
      <c r="A8" s="3">
        <v>5</v>
      </c>
      <c r="B8" s="3" t="s">
        <v>38</v>
      </c>
      <c r="C8" s="3">
        <v>6</v>
      </c>
      <c r="D8" s="3">
        <f t="shared" ref="D8:D9" si="1">C8*47</f>
        <v>282</v>
      </c>
      <c r="E8" s="3" t="s">
        <v>36</v>
      </c>
      <c r="F8" s="3">
        <f t="shared" si="0"/>
        <v>8</v>
      </c>
      <c r="G8" s="8" t="s">
        <v>39</v>
      </c>
      <c r="H8" s="8" t="s">
        <v>40</v>
      </c>
      <c r="I8" s="8" t="s">
        <v>41</v>
      </c>
      <c r="J8" s="8" t="s">
        <v>42</v>
      </c>
      <c r="K8" s="8" t="s">
        <v>43</v>
      </c>
      <c r="L8" s="8" t="s">
        <v>44</v>
      </c>
      <c r="M8" s="8" t="s">
        <v>45</v>
      </c>
      <c r="N8" s="8" t="s">
        <v>46</v>
      </c>
      <c r="O8" s="4">
        <v>0.270407777831217</v>
      </c>
      <c r="P8" s="4">
        <v>0.24902778597279199</v>
      </c>
      <c r="Q8" s="4">
        <v>0.50594209966328196</v>
      </c>
      <c r="R8" s="4">
        <v>12.6477025633033</v>
      </c>
      <c r="S8" s="14">
        <v>1.89880060657739E-15</v>
      </c>
      <c r="T8" s="17" t="str" cm="1">
        <f t="array" ref="T8">_xlfn.IFS(S8&lt;0.01,"**",S8&lt;0.05,"*",TRUE,"")</f>
        <v>**</v>
      </c>
      <c r="U8" s="3">
        <v>282</v>
      </c>
      <c r="V8" s="3">
        <v>8</v>
      </c>
      <c r="W8" s="4">
        <v>-208.00474801636901</v>
      </c>
      <c r="X8" s="4">
        <v>436.00949603273801</v>
      </c>
      <c r="Y8" s="4">
        <v>472.42856674211902</v>
      </c>
      <c r="Z8" s="4">
        <v>72.185629115696599</v>
      </c>
      <c r="AA8" s="3">
        <v>273</v>
      </c>
      <c r="AB8" s="9">
        <v>15.9705151275621</v>
      </c>
    </row>
    <row r="9" spans="1:28" ht="72">
      <c r="A9" s="3">
        <v>6</v>
      </c>
      <c r="B9" s="3" t="s">
        <v>38</v>
      </c>
      <c r="C9" s="3">
        <v>6</v>
      </c>
      <c r="D9" s="3">
        <f t="shared" si="1"/>
        <v>282</v>
      </c>
      <c r="E9" s="3" t="s">
        <v>37</v>
      </c>
      <c r="F9" s="3">
        <f t="shared" si="0"/>
        <v>8</v>
      </c>
      <c r="G9" s="8" t="s">
        <v>39</v>
      </c>
      <c r="H9" s="8" t="s">
        <v>40</v>
      </c>
      <c r="I9" s="8" t="s">
        <v>41</v>
      </c>
      <c r="J9" s="8" t="s">
        <v>42</v>
      </c>
      <c r="K9" s="8" t="s">
        <v>43</v>
      </c>
      <c r="L9" s="8" t="s">
        <v>44</v>
      </c>
      <c r="M9" s="8" t="s">
        <v>45</v>
      </c>
      <c r="N9" s="8" t="s">
        <v>46</v>
      </c>
      <c r="O9" s="4">
        <v>0.28656036228857601</v>
      </c>
      <c r="P9" s="4">
        <v>0.26565370623842399</v>
      </c>
      <c r="Q9" s="4">
        <v>2.6215674788391902E-2</v>
      </c>
      <c r="R9" s="4">
        <v>13.7066569422276</v>
      </c>
      <c r="S9" s="14">
        <v>1.05895316191528E-16</v>
      </c>
      <c r="T9" s="17" t="str" cm="1">
        <f t="array" ref="T9">_xlfn.IFS(S9&lt;0.01,"**",S9&lt;0.05,"*",TRUE,"")</f>
        <v>**</v>
      </c>
      <c r="U9" s="3">
        <v>282</v>
      </c>
      <c r="V9" s="3">
        <v>8</v>
      </c>
      <c r="W9" s="4">
        <v>626.73350555001696</v>
      </c>
      <c r="X9" s="4">
        <v>-1233.46701110003</v>
      </c>
      <c r="Y9" s="4">
        <v>-1197.04794039065</v>
      </c>
      <c r="Z9" s="4">
        <v>0.19380777250022599</v>
      </c>
      <c r="AA9" s="3">
        <v>273</v>
      </c>
      <c r="AB9" s="9">
        <v>15.9705151275619</v>
      </c>
    </row>
    <row r="10" spans="1:28" ht="54">
      <c r="A10" s="3">
        <v>7</v>
      </c>
      <c r="B10" s="3" t="s">
        <v>47</v>
      </c>
      <c r="C10" s="3">
        <v>4</v>
      </c>
      <c r="D10" s="3">
        <f>C10*47</f>
        <v>188</v>
      </c>
      <c r="E10" s="3" t="s">
        <v>30</v>
      </c>
      <c r="F10" s="3">
        <f t="shared" si="0"/>
        <v>5</v>
      </c>
      <c r="G10" s="8" t="s">
        <v>31</v>
      </c>
      <c r="H10" s="8" t="s">
        <v>32</v>
      </c>
      <c r="I10" s="8" t="s">
        <v>33</v>
      </c>
      <c r="J10" s="8" t="s">
        <v>34</v>
      </c>
      <c r="K10" s="8" t="s">
        <v>35</v>
      </c>
      <c r="L10" s="8"/>
      <c r="M10" s="8"/>
      <c r="N10" s="8"/>
      <c r="O10" s="4">
        <v>0.18626683302671901</v>
      </c>
      <c r="P10" s="4">
        <v>0.16391152624173899</v>
      </c>
      <c r="Q10" s="4">
        <v>0.23126164192937201</v>
      </c>
      <c r="R10" s="4">
        <v>8.3321081127755097</v>
      </c>
      <c r="S10" s="14">
        <v>4.1060204361764799E-7</v>
      </c>
      <c r="T10" s="17" t="str" cm="1">
        <f t="array" ref="T10">_xlfn.IFS(S10&lt;0.01,"**",S10&lt;0.05,"*",TRUE,"")</f>
        <v>**</v>
      </c>
      <c r="U10" s="3">
        <v>188</v>
      </c>
      <c r="V10" s="3">
        <v>5</v>
      </c>
      <c r="W10" s="4">
        <v>8.5102011086661804</v>
      </c>
      <c r="X10" s="4">
        <v>-3.0204022173323701</v>
      </c>
      <c r="Y10" s="4">
        <v>19.634691522477301</v>
      </c>
      <c r="Z10" s="4">
        <v>10.054606041239399</v>
      </c>
      <c r="AA10" s="3">
        <v>182</v>
      </c>
      <c r="AB10" s="4">
        <v>1.61510514735364</v>
      </c>
    </row>
    <row r="11" spans="1:28" ht="54">
      <c r="A11" s="3">
        <v>8</v>
      </c>
      <c r="B11" s="3" t="s">
        <v>47</v>
      </c>
      <c r="C11" s="3">
        <v>4</v>
      </c>
      <c r="D11" s="3">
        <f>C11*47</f>
        <v>188</v>
      </c>
      <c r="E11" s="3" t="s">
        <v>36</v>
      </c>
      <c r="F11" s="3">
        <f t="shared" si="0"/>
        <v>5</v>
      </c>
      <c r="G11" s="8" t="s">
        <v>31</v>
      </c>
      <c r="H11" s="8" t="s">
        <v>32</v>
      </c>
      <c r="I11" s="8" t="s">
        <v>33</v>
      </c>
      <c r="J11" s="8" t="s">
        <v>34</v>
      </c>
      <c r="K11" s="8" t="s">
        <v>35</v>
      </c>
      <c r="L11" s="8"/>
      <c r="M11" s="8"/>
      <c r="N11" s="8"/>
      <c r="O11" s="4">
        <v>0.23972465312556801</v>
      </c>
      <c r="P11" s="4">
        <v>0.218837967771875</v>
      </c>
      <c r="Q11" s="4">
        <v>0.49922654009579398</v>
      </c>
      <c r="R11" s="4">
        <v>11.4773909342767</v>
      </c>
      <c r="S11" s="14">
        <v>1.21334554114751E-9</v>
      </c>
      <c r="T11" s="17" t="str" cm="1">
        <f t="array" ref="T11">_xlfn.IFS(S11&lt;0.01,"**",S11&lt;0.05,"*",TRUE,"")</f>
        <v>**</v>
      </c>
      <c r="U11" s="3">
        <v>188</v>
      </c>
      <c r="V11" s="3">
        <v>5</v>
      </c>
      <c r="W11" s="4">
        <v>-136.15772820266</v>
      </c>
      <c r="X11" s="4">
        <v>286.31545640531903</v>
      </c>
      <c r="Y11" s="4">
        <v>308.97055014512898</v>
      </c>
      <c r="Z11" s="4">
        <v>46.854702007171298</v>
      </c>
      <c r="AA11" s="3">
        <v>182</v>
      </c>
      <c r="AB11" s="4">
        <v>1.61510514735364</v>
      </c>
    </row>
    <row r="12" spans="1:28" ht="54">
      <c r="A12" s="3">
        <v>9</v>
      </c>
      <c r="B12" s="3" t="s">
        <v>47</v>
      </c>
      <c r="C12" s="3">
        <v>4</v>
      </c>
      <c r="D12" s="3">
        <f>C12*47</f>
        <v>188</v>
      </c>
      <c r="E12" s="3" t="s">
        <v>37</v>
      </c>
      <c r="F12" s="3">
        <f t="shared" si="0"/>
        <v>5</v>
      </c>
      <c r="G12" s="8" t="s">
        <v>31</v>
      </c>
      <c r="H12" s="8" t="s">
        <v>32</v>
      </c>
      <c r="I12" s="8" t="s">
        <v>33</v>
      </c>
      <c r="J12" s="8" t="s">
        <v>34</v>
      </c>
      <c r="K12" s="8" t="s">
        <v>35</v>
      </c>
      <c r="L12" s="8"/>
      <c r="M12" s="8"/>
      <c r="N12" s="8"/>
      <c r="O12" s="4">
        <v>0.38734562601752498</v>
      </c>
      <c r="P12" s="4">
        <v>0.370514461897128</v>
      </c>
      <c r="Q12" s="4">
        <v>2.8119715288112E-2</v>
      </c>
      <c r="R12" s="4">
        <v>23.0135968758158</v>
      </c>
      <c r="S12" s="14">
        <v>7.1403764967240695E-18</v>
      </c>
      <c r="T12" s="17" t="str" cm="1">
        <f t="array" ref="T12">_xlfn.IFS(S12&lt;0.01,"**",S12&lt;0.05,"*",TRUE,"")</f>
        <v>**</v>
      </c>
      <c r="U12" s="3">
        <v>188</v>
      </c>
      <c r="V12" s="3">
        <v>5</v>
      </c>
      <c r="W12" s="4">
        <v>404.64101110981102</v>
      </c>
      <c r="X12" s="4">
        <v>-795.28202221962101</v>
      </c>
      <c r="Y12" s="4">
        <v>-772.62692847981202</v>
      </c>
      <c r="Z12" s="4">
        <v>0.14865505692228201</v>
      </c>
      <c r="AA12" s="3">
        <v>182</v>
      </c>
      <c r="AB12" s="4">
        <v>1.61510514735364</v>
      </c>
    </row>
    <row r="13" spans="1:28">
      <c r="O13" s="21"/>
    </row>
  </sheetData>
  <autoFilter ref="A3:AB3" xr:uid="{6A8E0B00-FC3B-45F2-A003-80A29633F610}"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88556-1EA5-4635-9ECA-5AD5837E5DE7}">
  <dimension ref="A1:J100"/>
  <sheetViews>
    <sheetView workbookViewId="0">
      <selection activeCell="N21" sqref="N21"/>
    </sheetView>
  </sheetViews>
  <sheetFormatPr defaultRowHeight="18"/>
  <cols>
    <col min="1" max="2" width="4.875" customWidth="1"/>
    <col min="3" max="3" width="27.125" bestFit="1" customWidth="1"/>
    <col min="4" max="7" width="8.625" style="2"/>
    <col min="8" max="8" width="2.875" style="20" bestFit="1" customWidth="1"/>
    <col min="9" max="10" width="8.625" style="2"/>
  </cols>
  <sheetData>
    <row r="1" spans="1:10" ht="22.5">
      <c r="A1" s="6" t="s">
        <v>48</v>
      </c>
    </row>
    <row r="2" spans="1:10">
      <c r="A2" s="12" t="s">
        <v>49</v>
      </c>
    </row>
    <row r="4" spans="1:10">
      <c r="B4" t="s">
        <v>50</v>
      </c>
    </row>
    <row r="5" spans="1:10">
      <c r="C5" s="3" t="s">
        <v>51</v>
      </c>
      <c r="D5" s="4" t="s">
        <v>52</v>
      </c>
      <c r="E5" s="4" t="s">
        <v>53</v>
      </c>
      <c r="F5" s="4" t="s">
        <v>54</v>
      </c>
      <c r="G5" s="14" t="s">
        <v>20</v>
      </c>
      <c r="H5" s="16"/>
      <c r="I5" s="4" t="s">
        <v>55</v>
      </c>
      <c r="J5" s="4" t="s">
        <v>56</v>
      </c>
    </row>
    <row r="6" spans="1:10">
      <c r="C6" s="3" t="s">
        <v>57</v>
      </c>
      <c r="D6" s="4">
        <v>11.061988783861899</v>
      </c>
      <c r="E6" s="4">
        <v>0.49244808812114599</v>
      </c>
      <c r="F6" s="4">
        <v>22.463258667664</v>
      </c>
      <c r="G6" s="14">
        <v>5.7804046554258603E-68</v>
      </c>
      <c r="H6" s="17" t="str" cm="1">
        <f t="array" ref="H6">_xlfn.IFS(G6&lt;0.01,"**",G6&lt;0.05,"*",TRUE,"")</f>
        <v>**</v>
      </c>
      <c r="I6" s="4">
        <v>10.0967905311444</v>
      </c>
      <c r="J6" s="4">
        <v>12.027187036579299</v>
      </c>
    </row>
    <row r="7" spans="1:10">
      <c r="C7" s="3" t="s">
        <v>31</v>
      </c>
      <c r="D7" s="4">
        <v>-1.4066580806783E-2</v>
      </c>
      <c r="E7" s="4">
        <v>2.5670251786290201E-3</v>
      </c>
      <c r="F7" s="4">
        <v>-5.4797206213207597</v>
      </c>
      <c r="G7" s="14">
        <v>8.5893389331815994E-8</v>
      </c>
      <c r="H7" s="17" t="str" cm="1">
        <f t="array" ref="H7">_xlfn.IFS(G7&lt;0.01,"**",G7&lt;0.05,"*",TRUE,"")</f>
        <v>**</v>
      </c>
      <c r="I7" s="4">
        <v>-1.9097950156895901E-2</v>
      </c>
      <c r="J7" s="4">
        <v>-9.0352114566701596E-3</v>
      </c>
    </row>
    <row r="8" spans="1:10">
      <c r="C8" s="3" t="s">
        <v>32</v>
      </c>
      <c r="D8" s="4">
        <v>9.6148372222626607E-3</v>
      </c>
      <c r="E8" s="4">
        <v>2.46001606029693E-3</v>
      </c>
      <c r="F8" s="4">
        <v>3.9084448989744001</v>
      </c>
      <c r="G8" s="14">
        <v>1.13200015844071E-4</v>
      </c>
      <c r="H8" s="17" t="str" cm="1">
        <f t="array" ref="H8">_xlfn.IFS(G8&lt;0.01,"**",G8&lt;0.05,"*",TRUE,"")</f>
        <v>**</v>
      </c>
      <c r="I8" s="4">
        <v>4.7932057440806704E-3</v>
      </c>
      <c r="J8" s="4">
        <v>1.44364687004447E-2</v>
      </c>
    </row>
    <row r="9" spans="1:10">
      <c r="C9" s="3" t="s">
        <v>33</v>
      </c>
      <c r="D9" s="4">
        <v>8.3774942866369599E-3</v>
      </c>
      <c r="E9" s="4">
        <v>1.1629537936827999E-2</v>
      </c>
      <c r="F9" s="4">
        <v>0.72036346862135003</v>
      </c>
      <c r="G9" s="14">
        <v>0.47182221676543101</v>
      </c>
      <c r="H9" s="17" t="str" cm="1">
        <f t="array" ref="H9">_xlfn.IFS(G9&lt;0.01,"**",G9&lt;0.05,"*",TRUE,"")</f>
        <v/>
      </c>
      <c r="I9" s="4">
        <v>-1.4416400069545801E-2</v>
      </c>
      <c r="J9" s="4">
        <v>3.1171388642819799E-2</v>
      </c>
    </row>
    <row r="10" spans="1:10">
      <c r="C10" s="3" t="s">
        <v>34</v>
      </c>
      <c r="D10" s="4">
        <v>1.5791431489055501E-3</v>
      </c>
      <c r="E10" s="4">
        <v>1.5033402232315801E-3</v>
      </c>
      <c r="F10" s="4">
        <v>1.0504230010629501</v>
      </c>
      <c r="G10" s="14">
        <v>0.29430894102560601</v>
      </c>
      <c r="H10" s="17" t="str" cm="1">
        <f t="array" ref="H10">_xlfn.IFS(G10&lt;0.01,"**",G10&lt;0.05,"*",TRUE,"")</f>
        <v/>
      </c>
      <c r="I10" s="4">
        <v>-1.36740368862834E-3</v>
      </c>
      <c r="J10" s="4">
        <v>4.52568998643944E-3</v>
      </c>
    </row>
    <row r="11" spans="1:10">
      <c r="C11" s="3" t="s">
        <v>35</v>
      </c>
      <c r="D11" s="4">
        <v>-9.7061827901118395E-3</v>
      </c>
      <c r="E11" s="4">
        <v>3.7857330876257499E-3</v>
      </c>
      <c r="F11" s="4">
        <v>-2.5638846071420001</v>
      </c>
      <c r="G11" s="14">
        <v>1.08028755560153E-2</v>
      </c>
      <c r="H11" s="17" t="str" cm="1">
        <f t="array" ref="H11">_xlfn.IFS(G11&lt;0.01,"**",G11&lt;0.05,"*",TRUE,"")</f>
        <v>*</v>
      </c>
      <c r="I11" s="4">
        <v>-1.7126219641858301E-2</v>
      </c>
      <c r="J11" s="4">
        <v>-2.2861459383653601E-3</v>
      </c>
    </row>
    <row r="12" spans="1:10">
      <c r="H12" s="19"/>
    </row>
    <row r="13" spans="1:10">
      <c r="H13" s="19"/>
    </row>
    <row r="14" spans="1:10">
      <c r="B14" t="s">
        <v>58</v>
      </c>
    </row>
    <row r="15" spans="1:10">
      <c r="C15" s="3" t="s">
        <v>51</v>
      </c>
      <c r="D15" s="4" t="s">
        <v>52</v>
      </c>
      <c r="E15" s="4" t="s">
        <v>53</v>
      </c>
      <c r="F15" s="4" t="s">
        <v>54</v>
      </c>
      <c r="G15" s="14" t="s">
        <v>20</v>
      </c>
      <c r="H15" s="16"/>
      <c r="I15" s="4" t="s">
        <v>55</v>
      </c>
      <c r="J15" s="4" t="s">
        <v>56</v>
      </c>
    </row>
    <row r="16" spans="1:10">
      <c r="C16" s="3" t="s">
        <v>57</v>
      </c>
      <c r="D16" s="4">
        <v>2.6728570366953299</v>
      </c>
      <c r="E16" s="4">
        <v>1.0376273314047499</v>
      </c>
      <c r="F16" s="4">
        <v>2.5759316045355001</v>
      </c>
      <c r="G16" s="14">
        <v>1.0441104655277899E-2</v>
      </c>
      <c r="H16" s="17" t="str" cm="1">
        <f t="array" ref="H16">_xlfn.IFS(G16&lt;0.01,"**",G16&lt;0.05,"*",TRUE,"")</f>
        <v>*</v>
      </c>
      <c r="I16" s="4">
        <v>0.63910746714201905</v>
      </c>
      <c r="J16" s="4">
        <v>4.7066066062486396</v>
      </c>
    </row>
    <row r="17" spans="2:10">
      <c r="C17" s="3" t="s">
        <v>31</v>
      </c>
      <c r="D17" s="4">
        <v>-1.6491289170749001E-2</v>
      </c>
      <c r="E17" s="4">
        <v>5.408926443216E-3</v>
      </c>
      <c r="F17" s="4">
        <v>-3.04890246592884</v>
      </c>
      <c r="G17" s="14">
        <v>2.4866210446199302E-3</v>
      </c>
      <c r="H17" s="17" t="str" cm="1">
        <f t="array" ref="H17">_xlfn.IFS(G17&lt;0.01,"**",G17&lt;0.05,"*",TRUE,"")</f>
        <v>**</v>
      </c>
      <c r="I17" s="4">
        <v>-2.70927849994523E-2</v>
      </c>
      <c r="J17" s="4">
        <v>-5.8897933420455897E-3</v>
      </c>
    </row>
    <row r="18" spans="2:10">
      <c r="C18" s="3" t="s">
        <v>32</v>
      </c>
      <c r="D18" s="4">
        <v>4.4949729346224397E-2</v>
      </c>
      <c r="E18" s="4">
        <v>5.1834497106033597E-3</v>
      </c>
      <c r="F18" s="4">
        <v>8.6717788067422195</v>
      </c>
      <c r="G18" s="14">
        <v>2.10514220310081E-16</v>
      </c>
      <c r="H18" s="17" t="str" cm="1">
        <f t="array" ref="H18">_xlfn.IFS(G18&lt;0.01,"**",G18&lt;0.05,"*",TRUE,"")</f>
        <v>**</v>
      </c>
      <c r="I18" s="4">
        <v>3.4790167913441798E-2</v>
      </c>
      <c r="J18" s="4">
        <v>5.5109290779007003E-2</v>
      </c>
    </row>
    <row r="19" spans="2:10">
      <c r="C19" s="3" t="s">
        <v>33</v>
      </c>
      <c r="D19" s="4">
        <v>1.6231496939724199E-2</v>
      </c>
      <c r="E19" s="4">
        <v>2.45043624007176E-2</v>
      </c>
      <c r="F19" s="4">
        <v>0.662392135501918</v>
      </c>
      <c r="G19" s="14">
        <v>0.50819228885019896</v>
      </c>
      <c r="H19" s="17" t="str" cm="1">
        <f t="array" ref="H19">_xlfn.IFS(G19&lt;0.01,"**",G19&lt;0.05,"*",TRUE,"")</f>
        <v/>
      </c>
      <c r="I19" s="4">
        <v>-3.1797053365682303E-2</v>
      </c>
      <c r="J19" s="4">
        <v>6.4260047245130805E-2</v>
      </c>
    </row>
    <row r="20" spans="2:10">
      <c r="C20" s="3" t="s">
        <v>34</v>
      </c>
      <c r="D20" s="4">
        <v>-6.9469461905561697E-3</v>
      </c>
      <c r="E20" s="4">
        <v>3.1676575494013299E-3</v>
      </c>
      <c r="F20" s="4">
        <v>-2.19308624187267</v>
      </c>
      <c r="G20" s="14">
        <v>2.9013799474264999E-2</v>
      </c>
      <c r="H20" s="17" t="str" cm="1">
        <f t="array" ref="H20">_xlfn.IFS(G20&lt;0.01,"**",G20&lt;0.05,"*",TRUE,"")</f>
        <v>*</v>
      </c>
      <c r="I20" s="4">
        <v>-1.31555549873828E-2</v>
      </c>
      <c r="J20" s="4">
        <v>-7.3833739372955399E-4</v>
      </c>
    </row>
    <row r="21" spans="2:10">
      <c r="C21" s="3" t="s">
        <v>35</v>
      </c>
      <c r="D21" s="4">
        <v>3.2772474822115399E-2</v>
      </c>
      <c r="E21" s="4">
        <v>7.9768410435119997E-3</v>
      </c>
      <c r="F21" s="4">
        <v>4.1084527876822898</v>
      </c>
      <c r="G21" s="14">
        <v>5.05389090901172E-5</v>
      </c>
      <c r="H21" s="17" t="str" cm="1">
        <f t="array" ref="H21">_xlfn.IFS(G21&lt;0.01,"**",G21&lt;0.05,"*",TRUE,"")</f>
        <v>**</v>
      </c>
      <c r="I21" s="4">
        <v>1.7137866376831901E-2</v>
      </c>
      <c r="J21" s="4">
        <v>4.8407083267398898E-2</v>
      </c>
    </row>
    <row r="22" spans="2:10">
      <c r="H22" s="19"/>
    </row>
    <row r="24" spans="2:10">
      <c r="B24" t="s">
        <v>59</v>
      </c>
    </row>
    <row r="25" spans="2:10">
      <c r="C25" s="3" t="s">
        <v>51</v>
      </c>
      <c r="D25" s="4" t="s">
        <v>52</v>
      </c>
      <c r="E25" s="4" t="s">
        <v>53</v>
      </c>
      <c r="F25" s="4" t="s">
        <v>54</v>
      </c>
      <c r="G25" s="14" t="s">
        <v>20</v>
      </c>
      <c r="H25" s="16"/>
      <c r="I25" s="4" t="s">
        <v>55</v>
      </c>
      <c r="J25" s="4" t="s">
        <v>56</v>
      </c>
    </row>
    <row r="26" spans="2:10">
      <c r="C26" s="3" t="s">
        <v>57</v>
      </c>
      <c r="D26" s="4">
        <v>0.33400051671087</v>
      </c>
      <c r="E26" s="4">
        <v>5.0559361952684199E-2</v>
      </c>
      <c r="F26" s="4">
        <v>6.60610624444673</v>
      </c>
      <c r="G26" s="14">
        <v>1.6260820026723899E-10</v>
      </c>
      <c r="H26" s="17" t="str" cm="1">
        <f t="array" ref="H26">_xlfn.IFS(G26&lt;0.01,"**",G26&lt;0.05,"*",TRUE,"")</f>
        <v>**</v>
      </c>
      <c r="I26" s="4">
        <v>0.23490416728360899</v>
      </c>
      <c r="J26" s="4">
        <v>0.43309686613813098</v>
      </c>
    </row>
    <row r="27" spans="2:10">
      <c r="C27" s="3" t="s">
        <v>31</v>
      </c>
      <c r="D27" s="4">
        <v>-1.2698255415374499E-3</v>
      </c>
      <c r="E27" s="4">
        <v>2.6355499854439403E-4</v>
      </c>
      <c r="F27" s="4">
        <v>-4.8180666219599599</v>
      </c>
      <c r="G27" s="14">
        <v>2.2333708575375802E-6</v>
      </c>
      <c r="H27" s="17" t="str" cm="1">
        <f t="array" ref="H27">_xlfn.IFS(G27&lt;0.01,"**",G27&lt;0.05,"*",TRUE,"")</f>
        <v>**</v>
      </c>
      <c r="I27" s="4">
        <v>-1.7863933386844701E-3</v>
      </c>
      <c r="J27" s="4">
        <v>-7.5325774439043895E-4</v>
      </c>
    </row>
    <row r="28" spans="2:10">
      <c r="C28" s="3" t="s">
        <v>32</v>
      </c>
      <c r="D28" s="4">
        <v>-7.2913229357940998E-4</v>
      </c>
      <c r="E28" s="4">
        <v>2.52568433916574E-4</v>
      </c>
      <c r="F28" s="4">
        <v>-2.8868702326445499</v>
      </c>
      <c r="G28" s="14">
        <v>4.1531395175148401E-3</v>
      </c>
      <c r="H28" s="17" t="str" cm="1">
        <f t="array" ref="H28">_xlfn.IFS(G28&lt;0.01,"**",G28&lt;0.05,"*",TRUE,"")</f>
        <v>**</v>
      </c>
      <c r="I28" s="4">
        <v>-1.2241664240559E-3</v>
      </c>
      <c r="J28" s="4">
        <v>-2.3409816310292501E-4</v>
      </c>
    </row>
    <row r="29" spans="2:10">
      <c r="C29" s="3" t="s">
        <v>33</v>
      </c>
      <c r="D29" s="4">
        <v>-6.43907023234237E-3</v>
      </c>
      <c r="E29" s="4">
        <v>1.19399797069759E-3</v>
      </c>
      <c r="F29" s="4">
        <v>-5.3928653066138397</v>
      </c>
      <c r="G29" s="14">
        <v>1.3420978809997599E-7</v>
      </c>
      <c r="H29" s="17" t="str" cm="1">
        <f t="array" ref="H29">_xlfn.IFS(G29&lt;0.01,"**",G29&lt;0.05,"*",TRUE,"")</f>
        <v>**</v>
      </c>
      <c r="I29" s="4">
        <v>-8.7793062549096496E-3</v>
      </c>
      <c r="J29" s="4">
        <v>-4.0988342097750896E-3</v>
      </c>
    </row>
    <row r="30" spans="2:10">
      <c r="C30" s="3" t="s">
        <v>34</v>
      </c>
      <c r="D30" s="4">
        <v>4.1051415315290399E-4</v>
      </c>
      <c r="E30" s="4">
        <v>1.5434707600224401E-4</v>
      </c>
      <c r="F30" s="4">
        <v>2.6596820865394002</v>
      </c>
      <c r="G30" s="14">
        <v>8.2115060215445894E-3</v>
      </c>
      <c r="H30" s="17" t="str" cm="1">
        <f t="array" ref="H30">_xlfn.IFS(G30&lt;0.01,"**",G30&lt;0.05,"*",TRUE,"")</f>
        <v>**</v>
      </c>
      <c r="I30" s="4">
        <v>1.07993884188505E-4</v>
      </c>
      <c r="J30" s="4">
        <v>7.1303442211730203E-4</v>
      </c>
    </row>
    <row r="31" spans="2:10">
      <c r="C31" s="3" t="s">
        <v>35</v>
      </c>
      <c r="D31" s="4">
        <v>-5.5836615790916797E-4</v>
      </c>
      <c r="E31" s="4">
        <v>3.8867903856382998E-4</v>
      </c>
      <c r="F31" s="4">
        <v>-1.4365738887600701</v>
      </c>
      <c r="G31" s="14">
        <v>0.15180697173493199</v>
      </c>
      <c r="H31" s="17" t="str" cm="1">
        <f t="array" ref="H31">_xlfn.IFS(G31&lt;0.01,"**",G31&lt;0.05,"*",TRUE,"")</f>
        <v/>
      </c>
      <c r="I31" s="4">
        <v>-1.32017707349428E-3</v>
      </c>
      <c r="J31" s="4">
        <v>2.03444757675939E-4</v>
      </c>
    </row>
    <row r="34" spans="2:10">
      <c r="B34" t="s">
        <v>60</v>
      </c>
    </row>
    <row r="35" spans="2:10">
      <c r="C35" s="3" t="s">
        <v>51</v>
      </c>
      <c r="D35" s="4" t="s">
        <v>52</v>
      </c>
      <c r="E35" s="4" t="s">
        <v>55</v>
      </c>
      <c r="F35" s="4" t="s">
        <v>56</v>
      </c>
      <c r="G35" s="14" t="s">
        <v>53</v>
      </c>
      <c r="H35" s="16"/>
      <c r="I35" s="4" t="s">
        <v>54</v>
      </c>
      <c r="J35" s="4" t="s">
        <v>20</v>
      </c>
    </row>
    <row r="36" spans="2:10">
      <c r="C36" s="3" t="s">
        <v>57</v>
      </c>
      <c r="D36" s="4">
        <v>10.988139541233499</v>
      </c>
      <c r="E36" s="4">
        <v>9.7147349543027399</v>
      </c>
      <c r="F36" s="4">
        <v>12.2615441281642</v>
      </c>
      <c r="G36" s="14">
        <v>0.64969621782180498</v>
      </c>
      <c r="H36" s="17" t="str" cm="1">
        <f t="array" ref="H36">_xlfn.IFS(G36&lt;0.01,"**",G36&lt;0.05,"*",TRUE,"")</f>
        <v/>
      </c>
      <c r="I36" s="4">
        <v>16.912734351560001</v>
      </c>
      <c r="J36" s="4">
        <v>2.1760069225136499E-44</v>
      </c>
    </row>
    <row r="37" spans="2:10">
      <c r="C37" s="3" t="s">
        <v>42</v>
      </c>
      <c r="D37" s="4">
        <v>1.4619921823176101E-3</v>
      </c>
      <c r="E37" s="4">
        <v>-1.58969463278104E-3</v>
      </c>
      <c r="F37" s="4">
        <v>4.51367899741626E-3</v>
      </c>
      <c r="G37" s="14">
        <v>1.55698306892788E-3</v>
      </c>
      <c r="H37" s="17" t="str" cm="1">
        <f t="array" ref="H37">_xlfn.IFS(G37&lt;0.01,"**",G37&lt;0.05,"*",TRUE,"")</f>
        <v>**</v>
      </c>
      <c r="I37" s="4">
        <v>0.93899041774700498</v>
      </c>
      <c r="J37" s="4">
        <v>0.34856568609682897</v>
      </c>
    </row>
    <row r="38" spans="2:10">
      <c r="C38" s="3" t="s">
        <v>43</v>
      </c>
      <c r="D38" s="4">
        <v>-8.4555095822660391E-3</v>
      </c>
      <c r="E38" s="4">
        <v>-3.7051204287905502E-2</v>
      </c>
      <c r="F38" s="4">
        <v>2.01401851233734E-2</v>
      </c>
      <c r="G38" s="14">
        <v>1.4589640155938499E-2</v>
      </c>
      <c r="H38" s="17" t="str" cm="1">
        <f t="array" ref="H38">_xlfn.IFS(G38&lt;0.01,"**",G38&lt;0.05,"*",TRUE,"")</f>
        <v>*</v>
      </c>
      <c r="I38" s="4">
        <v>-0.57955573214219203</v>
      </c>
      <c r="J38" s="4">
        <v>0.56269219866349596</v>
      </c>
    </row>
    <row r="39" spans="2:10">
      <c r="C39" s="3" t="s">
        <v>46</v>
      </c>
      <c r="D39" s="4">
        <v>-4.6547393457903596E-3</v>
      </c>
      <c r="E39" s="4">
        <v>-3.1919565548313003E-2</v>
      </c>
      <c r="F39" s="4">
        <v>2.2610086856732301E-2</v>
      </c>
      <c r="G39" s="14">
        <v>1.3910625613532001E-2</v>
      </c>
      <c r="H39" s="17" t="str" cm="1">
        <f t="array" ref="H39">_xlfn.IFS(G39&lt;0.01,"**",G39&lt;0.05,"*",TRUE,"")</f>
        <v>*</v>
      </c>
      <c r="I39" s="4">
        <v>-0.33461754166270802</v>
      </c>
      <c r="J39" s="4">
        <v>0.73817054787603598</v>
      </c>
    </row>
    <row r="40" spans="2:10">
      <c r="C40" s="3" t="s">
        <v>40</v>
      </c>
      <c r="D40" s="4">
        <v>1.6434332277354401E-4</v>
      </c>
      <c r="E40" s="4">
        <v>-1.01765732925453E-2</v>
      </c>
      <c r="F40" s="4">
        <v>1.05052599380924E-2</v>
      </c>
      <c r="G40" s="14">
        <v>5.2759778649585799E-3</v>
      </c>
      <c r="H40" s="17" t="str" cm="1">
        <f t="array" ref="H40">_xlfn.IFS(G40&lt;0.01,"**",G40&lt;0.05,"*",TRUE,"")</f>
        <v>**</v>
      </c>
      <c r="I40" s="4">
        <v>3.1149357897246301E-2</v>
      </c>
      <c r="J40" s="4">
        <v>0.97517318708994505</v>
      </c>
    </row>
    <row r="41" spans="2:10">
      <c r="C41" s="3" t="s">
        <v>45</v>
      </c>
      <c r="D41" s="4">
        <v>1.03574876730873E-2</v>
      </c>
      <c r="E41" s="4">
        <v>1.72322843234735E-4</v>
      </c>
      <c r="F41" s="4">
        <v>2.05426525029399E-2</v>
      </c>
      <c r="G41" s="14">
        <v>5.1965126682921303E-3</v>
      </c>
      <c r="H41" s="17" t="str" cm="1">
        <f t="array" ref="H41">_xlfn.IFS(G41&lt;0.01,"**",G41&lt;0.05,"*",TRUE,"")</f>
        <v>**</v>
      </c>
      <c r="I41" s="4">
        <v>1.9931612475971101</v>
      </c>
      <c r="J41" s="4">
        <v>4.7238996456224598E-2</v>
      </c>
    </row>
    <row r="42" spans="2:10">
      <c r="C42" s="3" t="s">
        <v>41</v>
      </c>
      <c r="D42" s="4">
        <v>1.91997891388581E-2</v>
      </c>
      <c r="E42" s="4">
        <v>-9.7145648142562303E-3</v>
      </c>
      <c r="F42" s="4">
        <v>4.8114143091972497E-2</v>
      </c>
      <c r="G42" s="14">
        <v>1.47522214046502E-2</v>
      </c>
      <c r="H42" s="17" t="str" cm="1">
        <f t="array" ref="H42">_xlfn.IFS(G42&lt;0.01,"**",G42&lt;0.05,"*",TRUE,"")</f>
        <v>*</v>
      </c>
      <c r="I42" s="4">
        <v>1.3014846111790299</v>
      </c>
      <c r="J42" s="4">
        <v>0.19418985496178001</v>
      </c>
    </row>
    <row r="43" spans="2:10">
      <c r="C43" s="3" t="s">
        <v>39</v>
      </c>
      <c r="D43" s="4">
        <v>-2.14101090234761E-2</v>
      </c>
      <c r="E43" s="4">
        <v>-3.7569928951777E-2</v>
      </c>
      <c r="F43" s="4">
        <v>-5.2502890951753303E-3</v>
      </c>
      <c r="G43" s="14">
        <v>8.2448060858677594E-3</v>
      </c>
      <c r="H43" s="17" t="str" cm="1">
        <f t="array" ref="H43">_xlfn.IFS(G43&lt;0.01,"**",G43&lt;0.05,"*",TRUE,"")</f>
        <v>**</v>
      </c>
      <c r="I43" s="4">
        <v>-2.5967995851563699</v>
      </c>
      <c r="J43" s="4">
        <v>9.9196663704217095E-3</v>
      </c>
    </row>
    <row r="44" spans="2:10">
      <c r="C44" s="3" t="s">
        <v>44</v>
      </c>
      <c r="D44" s="4">
        <v>7.1383838842393396E-3</v>
      </c>
      <c r="E44" s="4">
        <v>-9.3450033970858808E-3</v>
      </c>
      <c r="F44" s="4">
        <v>2.36217711655646E-2</v>
      </c>
      <c r="G44" s="14">
        <v>8.4098914700638898E-3</v>
      </c>
      <c r="H44" s="17" t="str" cm="1">
        <f t="array" ref="H44">_xlfn.IFS(G44&lt;0.01,"**",G44&lt;0.05,"*",TRUE,"")</f>
        <v>**</v>
      </c>
      <c r="I44" s="4">
        <v>0.848808086245744</v>
      </c>
      <c r="J44" s="4">
        <v>0.39673174997173499</v>
      </c>
    </row>
    <row r="47" spans="2:10">
      <c r="B47" t="s">
        <v>61</v>
      </c>
    </row>
    <row r="48" spans="2:10">
      <c r="C48" s="3" t="s">
        <v>51</v>
      </c>
      <c r="D48" s="4" t="s">
        <v>52</v>
      </c>
      <c r="E48" s="4" t="s">
        <v>55</v>
      </c>
      <c r="F48" s="4" t="s">
        <v>56</v>
      </c>
      <c r="G48" s="14" t="s">
        <v>53</v>
      </c>
      <c r="H48" s="16"/>
      <c r="I48" s="4" t="s">
        <v>54</v>
      </c>
      <c r="J48" s="4" t="s">
        <v>20</v>
      </c>
    </row>
    <row r="49" spans="2:10">
      <c r="C49" s="3" t="s">
        <v>57</v>
      </c>
      <c r="D49" s="4">
        <v>2.1571541035458299</v>
      </c>
      <c r="E49" s="4">
        <v>-0.48426704952411997</v>
      </c>
      <c r="F49" s="4">
        <v>4.7985752566157798</v>
      </c>
      <c r="G49" s="14">
        <v>1.3476638536071199</v>
      </c>
      <c r="H49" s="17" t="str" cm="1">
        <f t="array" ref="H49">_xlfn.IFS(G49&lt;0.01,"**",G49&lt;0.05,"*",TRUE,"")</f>
        <v/>
      </c>
      <c r="I49" s="4">
        <v>1.6006618399477399</v>
      </c>
      <c r="J49" s="4">
        <v>0.110608365373791</v>
      </c>
    </row>
    <row r="50" spans="2:10">
      <c r="C50" s="3" t="s">
        <v>42</v>
      </c>
      <c r="D50" s="4">
        <v>-6.9754434059981904E-3</v>
      </c>
      <c r="E50" s="4">
        <v>-1.33055526176942E-2</v>
      </c>
      <c r="F50" s="4">
        <v>-6.4533419430215001E-4</v>
      </c>
      <c r="G50" s="14">
        <v>3.2296475569877801E-3</v>
      </c>
      <c r="H50" s="17" t="str" cm="1">
        <f t="array" ref="H50">_xlfn.IFS(G50&lt;0.01,"**",G50&lt;0.05,"*",TRUE,"")</f>
        <v>**</v>
      </c>
      <c r="I50" s="4">
        <v>-2.1598156711885999</v>
      </c>
      <c r="J50" s="4">
        <v>3.1657553599976997E-2</v>
      </c>
    </row>
    <row r="51" spans="2:10">
      <c r="C51" s="3" t="s">
        <v>43</v>
      </c>
      <c r="D51" s="4">
        <v>-1.8224200204825201E-2</v>
      </c>
      <c r="E51" s="4">
        <v>-7.7540205233723902E-2</v>
      </c>
      <c r="F51" s="4">
        <v>4.1091804824073597E-2</v>
      </c>
      <c r="G51" s="14">
        <v>3.0263267871887101E-2</v>
      </c>
      <c r="H51" s="17" t="str" cm="1">
        <f t="array" ref="H51">_xlfn.IFS(G51&lt;0.01,"**",G51&lt;0.05,"*",TRUE,"")</f>
        <v>*</v>
      </c>
      <c r="I51" s="4">
        <v>-0.60218877491926204</v>
      </c>
      <c r="J51" s="4">
        <v>0.54754830415910805</v>
      </c>
    </row>
    <row r="52" spans="2:10">
      <c r="C52" s="3" t="s">
        <v>46</v>
      </c>
      <c r="D52" s="4">
        <v>5.6049994588305202E-2</v>
      </c>
      <c r="E52" s="4">
        <v>-5.0539197560103095E-4</v>
      </c>
      <c r="F52" s="4">
        <v>0.112605381152211</v>
      </c>
      <c r="G52" s="14">
        <v>2.8854789063217499E-2</v>
      </c>
      <c r="H52" s="17" t="str" cm="1">
        <f t="array" ref="H52">_xlfn.IFS(G52&lt;0.01,"**",G52&lt;0.05,"*",TRUE,"")</f>
        <v>*</v>
      </c>
      <c r="I52" s="4">
        <v>1.9424849880380799</v>
      </c>
      <c r="J52" s="4">
        <v>5.31066224619006E-2</v>
      </c>
    </row>
    <row r="53" spans="2:10">
      <c r="C53" s="3" t="s">
        <v>40</v>
      </c>
      <c r="D53" s="4">
        <v>1.5507432103514501E-2</v>
      </c>
      <c r="E53" s="4">
        <v>-5.9427151396894704E-3</v>
      </c>
      <c r="F53" s="4">
        <v>3.6957579346718498E-2</v>
      </c>
      <c r="G53" s="14">
        <v>1.0943952675104099E-2</v>
      </c>
      <c r="H53" s="17" t="str" cm="1">
        <f t="array" ref="H53">_xlfn.IFS(G53&lt;0.01,"**",G53&lt;0.05,"*",TRUE,"")</f>
        <v>*</v>
      </c>
      <c r="I53" s="4">
        <v>1.41698640005925</v>
      </c>
      <c r="J53" s="4">
        <v>0.15762706242112301</v>
      </c>
    </row>
    <row r="54" spans="2:10">
      <c r="C54" s="3" t="s">
        <v>45</v>
      </c>
      <c r="D54" s="4">
        <v>3.1905491158497501E-2</v>
      </c>
      <c r="E54" s="4">
        <v>1.0778419601513999E-2</v>
      </c>
      <c r="F54" s="4">
        <v>5.3032562715480999E-2</v>
      </c>
      <c r="G54" s="14">
        <v>1.07791181413181E-2</v>
      </c>
      <c r="H54" s="17" t="str" cm="1">
        <f t="array" ref="H54">_xlfn.IFS(G54&lt;0.01,"**",G54&lt;0.05,"*",TRUE,"")</f>
        <v>*</v>
      </c>
      <c r="I54" s="4">
        <v>2.9599351950878598</v>
      </c>
      <c r="J54" s="4">
        <v>3.3472059538674302E-3</v>
      </c>
    </row>
    <row r="55" spans="2:10">
      <c r="C55" s="3" t="s">
        <v>41</v>
      </c>
      <c r="D55" s="4">
        <v>2.19663872526886E-2</v>
      </c>
      <c r="E55" s="4">
        <v>-3.8010612157367799E-2</v>
      </c>
      <c r="F55" s="4">
        <v>8.1943386662745005E-2</v>
      </c>
      <c r="G55" s="14">
        <v>3.060050990309E-2</v>
      </c>
      <c r="H55" s="17" t="str" cm="1">
        <f t="array" ref="H55">_xlfn.IFS(G55&lt;0.01,"**",G55&lt;0.05,"*",TRUE,"")</f>
        <v>*</v>
      </c>
      <c r="I55" s="4">
        <v>0.71784383078108405</v>
      </c>
      <c r="J55" s="4">
        <v>0.47346740584612002</v>
      </c>
    </row>
    <row r="56" spans="2:10">
      <c r="C56" s="3" t="s">
        <v>39</v>
      </c>
      <c r="D56" s="4">
        <v>-8.7607437874640901E-3</v>
      </c>
      <c r="E56" s="4">
        <v>-4.22810331177371E-2</v>
      </c>
      <c r="F56" s="4">
        <v>2.4759545542808899E-2</v>
      </c>
      <c r="G56" s="14">
        <v>1.7102188433812799E-2</v>
      </c>
      <c r="H56" s="17" t="str" cm="1">
        <f t="array" ref="H56">_xlfn.IFS(G56&lt;0.01,"**",G56&lt;0.05,"*",TRUE,"")</f>
        <v>*</v>
      </c>
      <c r="I56" s="4">
        <v>-0.51225863996114196</v>
      </c>
      <c r="J56" s="4">
        <v>0.60888417490983204</v>
      </c>
    </row>
    <row r="57" spans="2:10">
      <c r="C57" s="3" t="s">
        <v>44</v>
      </c>
      <c r="D57" s="4">
        <v>-8.1073460712023197E-3</v>
      </c>
      <c r="E57" s="4">
        <v>-4.22988106583366E-2</v>
      </c>
      <c r="F57" s="4">
        <v>2.6084118515931998E-2</v>
      </c>
      <c r="G57" s="14">
        <v>1.7444624789354199E-2</v>
      </c>
      <c r="H57" s="17" t="str" cm="1">
        <f t="array" ref="H57">_xlfn.IFS(G57&lt;0.01,"**",G57&lt;0.05,"*",TRUE,"")</f>
        <v>*</v>
      </c>
      <c r="I57" s="4">
        <v>-0.46474751788011598</v>
      </c>
      <c r="J57" s="4">
        <v>0.64248272018890096</v>
      </c>
    </row>
    <row r="60" spans="2:10">
      <c r="B60" t="s">
        <v>62</v>
      </c>
    </row>
    <row r="61" spans="2:10">
      <c r="C61" s="3" t="s">
        <v>51</v>
      </c>
      <c r="D61" s="4" t="s">
        <v>52</v>
      </c>
      <c r="E61" s="4" t="s">
        <v>55</v>
      </c>
      <c r="F61" s="4" t="s">
        <v>56</v>
      </c>
      <c r="G61" s="14" t="s">
        <v>53</v>
      </c>
      <c r="H61" s="16"/>
      <c r="I61" s="4" t="s">
        <v>54</v>
      </c>
      <c r="J61" s="4" t="s">
        <v>20</v>
      </c>
    </row>
    <row r="62" spans="2:10">
      <c r="C62" s="3" t="s">
        <v>57</v>
      </c>
      <c r="D62" s="4">
        <v>0.43967527919456001</v>
      </c>
      <c r="E62" s="4">
        <v>0.30280855477264101</v>
      </c>
      <c r="F62" s="4">
        <v>0.576542003616478</v>
      </c>
      <c r="G62" s="14">
        <v>6.9829961439754396E-2</v>
      </c>
      <c r="H62" s="17" t="str" cm="1">
        <f t="array" ref="H62">_xlfn.IFS(G62&lt;0.01,"**",G62&lt;0.05,"*",TRUE,"")</f>
        <v/>
      </c>
      <c r="I62" s="4">
        <v>6.2963700699432401</v>
      </c>
      <c r="J62" s="4">
        <v>1.2118144126302501E-9</v>
      </c>
    </row>
    <row r="63" spans="2:10">
      <c r="C63" s="3" t="s">
        <v>42</v>
      </c>
      <c r="D63" s="4">
        <v>4.6380604740712698E-4</v>
      </c>
      <c r="E63" s="4">
        <v>1.3580787413933399E-4</v>
      </c>
      <c r="F63" s="4">
        <v>7.91804220674919E-4</v>
      </c>
      <c r="G63" s="14">
        <v>1.6734600676928199E-4</v>
      </c>
      <c r="H63" s="17" t="str" cm="1">
        <f t="array" ref="H63">_xlfn.IFS(G63&lt;0.01,"**",G63&lt;0.05,"*",TRUE,"")</f>
        <v>**</v>
      </c>
      <c r="I63" s="4">
        <v>2.7715393773726</v>
      </c>
      <c r="J63" s="4">
        <v>5.9627688817906399E-3</v>
      </c>
    </row>
    <row r="64" spans="2:10">
      <c r="C64" s="3" t="s">
        <v>43</v>
      </c>
      <c r="D64" s="4">
        <v>-3.2754678915150799E-3</v>
      </c>
      <c r="E64" s="4">
        <v>-6.3489600927356098E-3</v>
      </c>
      <c r="F64" s="4">
        <v>-2.01975690294561E-4</v>
      </c>
      <c r="G64" s="14">
        <v>1.5681082659288401E-3</v>
      </c>
      <c r="H64" s="17" t="str" cm="1">
        <f t="array" ref="H64">_xlfn.IFS(G64&lt;0.01,"**",G64&lt;0.05,"*",TRUE,"")</f>
        <v>**</v>
      </c>
      <c r="I64" s="4">
        <v>-2.0888021335535298</v>
      </c>
      <c r="J64" s="4">
        <v>3.7651744782838503E-2</v>
      </c>
    </row>
    <row r="65" spans="2:10">
      <c r="C65" s="3" t="s">
        <v>46</v>
      </c>
      <c r="D65" s="4">
        <v>2.4128137091198698E-3</v>
      </c>
      <c r="E65" s="4">
        <v>-5.1763549184184895E-4</v>
      </c>
      <c r="F65" s="4">
        <v>5.3432629100816E-3</v>
      </c>
      <c r="G65" s="14">
        <v>1.4951271433478199E-3</v>
      </c>
      <c r="H65" s="17" t="str" cm="1">
        <f t="array" ref="H65">_xlfn.IFS(G65&lt;0.01,"**",G65&lt;0.05,"*",TRUE,"")</f>
        <v>**</v>
      </c>
      <c r="I65" s="4">
        <v>1.6137849679574501</v>
      </c>
      <c r="J65" s="4">
        <v>0.107729315518137</v>
      </c>
    </row>
    <row r="66" spans="2:10">
      <c r="C66" s="3" t="s">
        <v>40</v>
      </c>
      <c r="D66" s="4">
        <v>-1.570786057013E-3</v>
      </c>
      <c r="E66" s="4">
        <v>-2.6822375149272702E-3</v>
      </c>
      <c r="F66" s="4">
        <v>-4.5933459909873898E-4</v>
      </c>
      <c r="G66" s="14">
        <v>5.6706707036442E-4</v>
      </c>
      <c r="H66" s="17" t="str" cm="1">
        <f t="array" ref="H66">_xlfn.IFS(G66&lt;0.01,"**",G66&lt;0.05,"*",TRUE,"")</f>
        <v>**</v>
      </c>
      <c r="I66" s="4">
        <v>-2.7700181144420002</v>
      </c>
      <c r="J66" s="4">
        <v>5.9899113195508603E-3</v>
      </c>
    </row>
    <row r="67" spans="2:10">
      <c r="C67" s="3" t="s">
        <v>45</v>
      </c>
      <c r="D67" s="4">
        <v>1.0793186804713599E-3</v>
      </c>
      <c r="E67" s="4">
        <v>-1.53924288385332E-5</v>
      </c>
      <c r="F67" s="4">
        <v>2.17402978978125E-3</v>
      </c>
      <c r="G67" s="14">
        <v>5.5852607617851505E-4</v>
      </c>
      <c r="H67" s="17" t="str" cm="1">
        <f t="array" ref="H67">_xlfn.IFS(G67&lt;0.01,"**",G67&lt;0.05,"*",TRUE,"")</f>
        <v>**</v>
      </c>
      <c r="I67" s="4">
        <v>1.9324409844140999</v>
      </c>
      <c r="J67" s="4">
        <v>5.4339507579765203E-2</v>
      </c>
    </row>
    <row r="68" spans="2:10">
      <c r="C68" s="3" t="s">
        <v>41</v>
      </c>
      <c r="D68" s="4">
        <v>-8.4092147631348296E-3</v>
      </c>
      <c r="E68" s="4">
        <v>-1.1516956760418799E-2</v>
      </c>
      <c r="F68" s="4">
        <v>-5.3014727658508504E-3</v>
      </c>
      <c r="G68" s="14">
        <v>1.5855826516754999E-3</v>
      </c>
      <c r="H68" s="17" t="str" cm="1">
        <f t="array" ref="H68">_xlfn.IFS(G68&lt;0.01,"**",G68&lt;0.05,"*",TRUE,"")</f>
        <v>**</v>
      </c>
      <c r="I68" s="4">
        <v>-5.3035486697894498</v>
      </c>
      <c r="J68" s="4">
        <v>2.34876926293581E-7</v>
      </c>
    </row>
    <row r="69" spans="2:10">
      <c r="C69" s="3" t="s">
        <v>39</v>
      </c>
      <c r="D69" s="4">
        <v>-3.8504951762743998E-4</v>
      </c>
      <c r="E69" s="4">
        <v>-2.1219221844406598E-3</v>
      </c>
      <c r="F69" s="4">
        <v>1.3518231491857801E-3</v>
      </c>
      <c r="G69" s="14">
        <v>8.8615952388429496E-4</v>
      </c>
      <c r="H69" s="17" t="str" cm="1">
        <f t="array" ref="H69">_xlfn.IFS(G69&lt;0.01,"**",G69&lt;0.05,"*",TRUE,"")</f>
        <v>**</v>
      </c>
      <c r="I69" s="4">
        <v>-0.43451490081566302</v>
      </c>
      <c r="J69" s="4">
        <v>0.66425781866049705</v>
      </c>
    </row>
    <row r="70" spans="2:10">
      <c r="C70" s="3" t="s">
        <v>44</v>
      </c>
      <c r="D70" s="4">
        <v>-1.15513181721129E-3</v>
      </c>
      <c r="E70" s="4">
        <v>-2.9267818078953598E-3</v>
      </c>
      <c r="F70" s="4">
        <v>6.1651817347278196E-4</v>
      </c>
      <c r="G70" s="14">
        <v>9.0390305647146602E-4</v>
      </c>
      <c r="H70" s="17" t="str" cm="1">
        <f t="array" ref="H70">_xlfn.IFS(G70&lt;0.01,"**",G70&lt;0.05,"*",TRUE,"")</f>
        <v>**</v>
      </c>
      <c r="I70" s="4">
        <v>-1.2779377267740799</v>
      </c>
      <c r="J70" s="4">
        <v>0.20235692852481699</v>
      </c>
    </row>
    <row r="73" spans="2:10">
      <c r="B73" t="s">
        <v>63</v>
      </c>
    </row>
    <row r="74" spans="2:10">
      <c r="C74" s="3" t="s">
        <v>51</v>
      </c>
      <c r="D74" s="4" t="s">
        <v>52</v>
      </c>
      <c r="E74" s="4" t="s">
        <v>53</v>
      </c>
      <c r="F74" s="4" t="s">
        <v>54</v>
      </c>
      <c r="G74" s="14" t="s">
        <v>20</v>
      </c>
      <c r="H74" s="16"/>
      <c r="I74" s="4" t="s">
        <v>55</v>
      </c>
      <c r="J74" s="4" t="s">
        <v>56</v>
      </c>
    </row>
    <row r="75" spans="2:10">
      <c r="C75" s="3" t="s">
        <v>57</v>
      </c>
      <c r="D75" s="4">
        <v>11.7500799265763</v>
      </c>
      <c r="E75" s="4">
        <v>0.91376508313583804</v>
      </c>
      <c r="F75" s="4">
        <v>12.858972337017599</v>
      </c>
      <c r="G75" s="14">
        <v>2.4335352610402399E-27</v>
      </c>
      <c r="H75" s="17" t="str" cm="1">
        <f t="array" ref="H75">_xlfn.IFS(G75&lt;0.01,"**",G75&lt;0.05,"*",TRUE,"")</f>
        <v>**</v>
      </c>
      <c r="I75" s="4">
        <v>9.9591003636300908</v>
      </c>
      <c r="J75" s="4">
        <v>13.541059489522601</v>
      </c>
    </row>
    <row r="76" spans="2:10">
      <c r="C76" s="3" t="s">
        <v>31</v>
      </c>
      <c r="D76" s="4">
        <v>-1.5591668436954699E-2</v>
      </c>
      <c r="E76" s="4">
        <v>3.34439428366073E-3</v>
      </c>
      <c r="F76" s="4">
        <v>-4.6620305844705001</v>
      </c>
      <c r="G76" s="14">
        <v>6.0389091582304602E-6</v>
      </c>
      <c r="H76" s="17" t="str" cm="1">
        <f t="array" ref="H76">_xlfn.IFS(G76&lt;0.01,"**",G76&lt;0.05,"*",TRUE,"")</f>
        <v>**</v>
      </c>
      <c r="I76" s="4">
        <v>-2.2146681232929701E-2</v>
      </c>
      <c r="J76" s="4">
        <v>-9.0366556409796194E-3</v>
      </c>
    </row>
    <row r="77" spans="2:10">
      <c r="C77" s="3" t="s">
        <v>32</v>
      </c>
      <c r="D77" s="4">
        <v>8.56230838036043E-3</v>
      </c>
      <c r="E77" s="4">
        <v>3.0742376410288802E-3</v>
      </c>
      <c r="F77" s="4">
        <v>2.78518103678375</v>
      </c>
      <c r="G77" s="14">
        <v>5.91603196681774E-3</v>
      </c>
      <c r="H77" s="17" t="str" cm="1">
        <f t="array" ref="H77">_xlfn.IFS(G77&lt;0.01,"**",G77&lt;0.05,"*",TRUE,"")</f>
        <v>**</v>
      </c>
      <c r="I77" s="4">
        <v>2.5368026039438302E-3</v>
      </c>
      <c r="J77" s="4">
        <v>1.4587814156777E-2</v>
      </c>
    </row>
    <row r="78" spans="2:10">
      <c r="C78" s="3" t="s">
        <v>33</v>
      </c>
      <c r="D78" s="4">
        <v>1.1088608358359E-2</v>
      </c>
      <c r="E78" s="4">
        <v>1.8357432718451701E-2</v>
      </c>
      <c r="F78" s="4">
        <v>0.604039166501394</v>
      </c>
      <c r="G78" s="14">
        <v>0.54656978575271697</v>
      </c>
      <c r="H78" s="17" t="str" cm="1">
        <f t="array" ref="H78">_xlfn.IFS(G78&lt;0.01,"**",G78&lt;0.05,"*",TRUE,"")</f>
        <v/>
      </c>
      <c r="I78" s="4">
        <v>-2.4891959769806401E-2</v>
      </c>
      <c r="J78" s="4">
        <v>4.7069176486524401E-2</v>
      </c>
    </row>
    <row r="79" spans="2:10">
      <c r="C79" s="3" t="s">
        <v>34</v>
      </c>
      <c r="D79" s="4">
        <v>4.1906155459153398E-3</v>
      </c>
      <c r="E79" s="4">
        <v>1.85223389374257E-3</v>
      </c>
      <c r="F79" s="4">
        <v>2.2624656422023999</v>
      </c>
      <c r="G79" s="14">
        <v>2.48505156602415E-2</v>
      </c>
      <c r="H79" s="17" t="str" cm="1">
        <f t="array" ref="H79">_xlfn.IFS(G79&lt;0.01,"**",G79&lt;0.05,"*",TRUE,"")</f>
        <v>*</v>
      </c>
      <c r="I79" s="4">
        <v>5.6023711417990099E-4</v>
      </c>
      <c r="J79" s="4">
        <v>7.8209939776507694E-3</v>
      </c>
    </row>
    <row r="80" spans="2:10">
      <c r="C80" s="3" t="s">
        <v>35</v>
      </c>
      <c r="D80" s="4">
        <v>-1.86492475457932E-2</v>
      </c>
      <c r="E80" s="4">
        <v>5.7978472321598097E-3</v>
      </c>
      <c r="F80" s="4">
        <v>-3.21658139634114</v>
      </c>
      <c r="G80" s="14">
        <v>1.5355026970981099E-3</v>
      </c>
      <c r="H80" s="17" t="str" cm="1">
        <f t="array" ref="H80">_xlfn.IFS(G80&lt;0.01,"**",G80&lt;0.05,"*",TRUE,"")</f>
        <v>**</v>
      </c>
      <c r="I80" s="4">
        <v>-3.0013028120826499E-2</v>
      </c>
      <c r="J80" s="4">
        <v>-7.2854669707599897E-3</v>
      </c>
    </row>
    <row r="83" spans="2:10">
      <c r="B83" t="s">
        <v>64</v>
      </c>
    </row>
    <row r="84" spans="2:10">
      <c r="C84" s="3" t="s">
        <v>51</v>
      </c>
      <c r="D84" s="4" t="s">
        <v>52</v>
      </c>
      <c r="E84" s="4" t="s">
        <v>53</v>
      </c>
      <c r="F84" s="4" t="s">
        <v>54</v>
      </c>
      <c r="G84" s="14" t="s">
        <v>20</v>
      </c>
      <c r="H84" s="16"/>
      <c r="I84" s="4" t="s">
        <v>55</v>
      </c>
      <c r="J84" s="4" t="s">
        <v>56</v>
      </c>
    </row>
    <row r="85" spans="2:10">
      <c r="C85" s="3" t="s">
        <v>57</v>
      </c>
      <c r="D85" s="4">
        <v>1.76855085563676</v>
      </c>
      <c r="E85" s="4">
        <v>1.97255272040994</v>
      </c>
      <c r="F85" s="4">
        <v>0.89657976556855501</v>
      </c>
      <c r="G85" s="14">
        <v>0.37112758424609799</v>
      </c>
      <c r="H85" s="17" t="str" cm="1">
        <f t="array" ref="H85">_xlfn.IFS(G85&lt;0.01,"**",G85&lt;0.05,"*",TRUE,"")</f>
        <v/>
      </c>
      <c r="I85" s="4">
        <v>-2.0976524763667199</v>
      </c>
      <c r="J85" s="4">
        <v>5.6347541876402296</v>
      </c>
    </row>
    <row r="86" spans="2:10">
      <c r="C86" s="3" t="s">
        <v>31</v>
      </c>
      <c r="D86" s="4">
        <v>-1.82979177351804E-2</v>
      </c>
      <c r="E86" s="4">
        <v>7.2195733499894697E-3</v>
      </c>
      <c r="F86" s="4">
        <v>-2.5344874064070702</v>
      </c>
      <c r="G86" s="14">
        <v>1.2103829717496101E-2</v>
      </c>
      <c r="H86" s="17" t="str" cm="1">
        <f t="array" ref="H86">_xlfn.IFS(G86&lt;0.01,"**",G86&lt;0.05,"*",TRUE,"")</f>
        <v>*</v>
      </c>
      <c r="I86" s="4">
        <v>-3.2448281501159797E-2</v>
      </c>
      <c r="J86" s="4">
        <v>-4.1475539692010796E-3</v>
      </c>
    </row>
    <row r="87" spans="2:10">
      <c r="C87" s="3" t="s">
        <v>32</v>
      </c>
      <c r="D87" s="4">
        <v>4.1966781717840899E-2</v>
      </c>
      <c r="E87" s="4">
        <v>6.6363838298433399E-3</v>
      </c>
      <c r="F87" s="4">
        <v>6.3237423864965896</v>
      </c>
      <c r="G87" s="14">
        <v>1.9211120030781E-9</v>
      </c>
      <c r="H87" s="17" t="str" cm="1">
        <f t="array" ref="H87">_xlfn.IFS(G87&lt;0.01,"**",G87&lt;0.05,"*",TRUE,"")</f>
        <v>**</v>
      </c>
      <c r="I87" s="4">
        <v>2.8959469411347999E-2</v>
      </c>
      <c r="J87" s="4">
        <v>5.4974094024333897E-2</v>
      </c>
    </row>
    <row r="88" spans="2:10">
      <c r="C88" s="3" t="s">
        <v>33</v>
      </c>
      <c r="D88" s="4">
        <v>4.1353826766107597E-2</v>
      </c>
      <c r="E88" s="4">
        <v>3.9628351440455803E-2</v>
      </c>
      <c r="F88" s="4">
        <v>1.0435414359399799</v>
      </c>
      <c r="G88" s="14">
        <v>0.29808170890747199</v>
      </c>
      <c r="H88" s="17" t="str" cm="1">
        <f t="array" ref="H88">_xlfn.IFS(G88&lt;0.01,"**",G88&lt;0.05,"*",TRUE,"")</f>
        <v/>
      </c>
      <c r="I88" s="4">
        <v>-3.6317742057185798E-2</v>
      </c>
      <c r="J88" s="4">
        <v>0.11902539558940101</v>
      </c>
    </row>
    <row r="89" spans="2:10">
      <c r="C89" s="3" t="s">
        <v>34</v>
      </c>
      <c r="D89" s="4">
        <v>-1.15941662366456E-3</v>
      </c>
      <c r="E89" s="4">
        <v>3.99843359455031E-3</v>
      </c>
      <c r="F89" s="4">
        <v>-0.28996770766551999</v>
      </c>
      <c r="G89" s="14">
        <v>0.77217103964302003</v>
      </c>
      <c r="H89" s="17" t="str" cm="1">
        <f t="array" ref="H89">_xlfn.IFS(G89&lt;0.01,"**",G89&lt;0.05,"*",TRUE,"")</f>
        <v/>
      </c>
      <c r="I89" s="4">
        <v>-8.9963464689831601E-3</v>
      </c>
      <c r="J89" s="4">
        <v>6.6775132216540497E-3</v>
      </c>
    </row>
    <row r="90" spans="2:10">
      <c r="C90" s="3" t="s">
        <v>35</v>
      </c>
      <c r="D90" s="4">
        <v>3.3219973167500597E-2</v>
      </c>
      <c r="E90" s="4">
        <v>1.25158638050278E-2</v>
      </c>
      <c r="F90" s="4">
        <v>2.65422935923573</v>
      </c>
      <c r="G90" s="14">
        <v>8.6529029728721601E-3</v>
      </c>
      <c r="H90" s="17" t="str" cm="1">
        <f t="array" ref="H90">_xlfn.IFS(G90&lt;0.01,"**",G90&lt;0.05,"*",TRUE,"")</f>
        <v>**</v>
      </c>
      <c r="I90" s="4">
        <v>8.6888801096461406E-3</v>
      </c>
      <c r="J90" s="4">
        <v>5.7751066225355099E-2</v>
      </c>
    </row>
    <row r="93" spans="2:10">
      <c r="B93" t="s">
        <v>65</v>
      </c>
    </row>
    <row r="94" spans="2:10">
      <c r="C94" s="3" t="s">
        <v>51</v>
      </c>
      <c r="D94" s="4" t="s">
        <v>52</v>
      </c>
      <c r="E94" s="4" t="s">
        <v>53</v>
      </c>
      <c r="F94" s="4" t="s">
        <v>54</v>
      </c>
      <c r="G94" s="14" t="s">
        <v>20</v>
      </c>
      <c r="H94" s="16"/>
      <c r="I94" s="4" t="s">
        <v>55</v>
      </c>
      <c r="J94" s="4" t="s">
        <v>56</v>
      </c>
    </row>
    <row r="95" spans="2:10">
      <c r="C95" s="3" t="s">
        <v>57</v>
      </c>
      <c r="D95" s="4">
        <v>0.91796080092816501</v>
      </c>
      <c r="E95" s="4">
        <v>0.111107115575375</v>
      </c>
      <c r="F95" s="4">
        <v>8.2619443063969999</v>
      </c>
      <c r="G95" s="14">
        <v>2.88574139209392E-14</v>
      </c>
      <c r="H95" s="17" t="str" cm="1">
        <f t="array" ref="H95">_xlfn.IFS(G95&lt;0.01,"**",G95&lt;0.05,"*",TRUE,"")</f>
        <v>**</v>
      </c>
      <c r="I95" s="4">
        <v>0.70019085440043005</v>
      </c>
      <c r="J95" s="4">
        <v>1.1357307474559</v>
      </c>
    </row>
    <row r="96" spans="2:10">
      <c r="C96" s="3" t="s">
        <v>31</v>
      </c>
      <c r="D96" s="4">
        <v>-2.0716670566803702E-3</v>
      </c>
      <c r="E96" s="4">
        <v>4.06653754955395E-4</v>
      </c>
      <c r="F96" s="4">
        <v>-5.0944250026846802</v>
      </c>
      <c r="G96" s="14">
        <v>8.7016960174738005E-7</v>
      </c>
      <c r="H96" s="17" t="str" cm="1">
        <f t="array" ref="H96">_xlfn.IFS(G96&lt;0.01,"**",G96&lt;0.05,"*",TRUE,"")</f>
        <v>**</v>
      </c>
      <c r="I96" s="4">
        <v>-2.8687084163929498E-3</v>
      </c>
      <c r="J96" s="4">
        <v>-1.2746256969678E-3</v>
      </c>
    </row>
    <row r="97" spans="3:10">
      <c r="C97" s="3" t="s">
        <v>32</v>
      </c>
      <c r="D97" s="4">
        <v>-4.4498377853657199E-4</v>
      </c>
      <c r="E97" s="4">
        <v>3.7380469356059599E-4</v>
      </c>
      <c r="F97" s="4">
        <v>-1.19041784707938</v>
      </c>
      <c r="G97" s="14">
        <v>0.235432591422263</v>
      </c>
      <c r="H97" s="17" t="str" cm="1">
        <f t="array" ref="H97">_xlfn.IFS(G97&lt;0.01,"**",G97&lt;0.05,"*",TRUE,"")</f>
        <v/>
      </c>
      <c r="I97" s="4">
        <v>-1.17764097791534E-3</v>
      </c>
      <c r="J97" s="4">
        <v>2.8767342084219601E-4</v>
      </c>
    </row>
    <row r="98" spans="3:10">
      <c r="C98" s="3" t="s">
        <v>33</v>
      </c>
      <c r="D98" s="4">
        <v>-1.7835052180919499E-2</v>
      </c>
      <c r="E98" s="4">
        <v>2.2321288440094499E-3</v>
      </c>
      <c r="F98" s="4">
        <v>-7.9901535383071201</v>
      </c>
      <c r="G98" s="14">
        <v>1.4938137273439201E-13</v>
      </c>
      <c r="H98" s="17" t="str" cm="1">
        <f t="array" ref="H98">_xlfn.IFS(G98&lt;0.01,"**",G98&lt;0.05,"*",TRUE,"")</f>
        <v>**</v>
      </c>
      <c r="I98" s="4">
        <v>-2.2210024715177999E-2</v>
      </c>
      <c r="J98" s="4">
        <v>-1.34600796466609E-2</v>
      </c>
    </row>
    <row r="99" spans="3:10">
      <c r="C99" s="3" t="s">
        <v>34</v>
      </c>
      <c r="D99" s="4">
        <v>-2.8733879796691498E-4</v>
      </c>
      <c r="E99" s="4">
        <v>2.2521802277499601E-4</v>
      </c>
      <c r="F99" s="4">
        <v>-1.27582506242843</v>
      </c>
      <c r="G99" s="14">
        <v>0.20364324740836101</v>
      </c>
      <c r="H99" s="17" t="str" cm="1">
        <f t="array" ref="H99">_xlfn.IFS(G99&lt;0.01,"**",G99&lt;0.05,"*",TRUE,"")</f>
        <v/>
      </c>
      <c r="I99" s="4">
        <v>-7.2876612260590703E-4</v>
      </c>
      <c r="J99" s="4">
        <v>1.5408852667207599E-4</v>
      </c>
    </row>
    <row r="100" spans="3:10">
      <c r="C100" s="3" t="s">
        <v>35</v>
      </c>
      <c r="D100" s="4">
        <v>-2.13503963594047E-3</v>
      </c>
      <c r="E100" s="4">
        <v>7.0497559427556695E-4</v>
      </c>
      <c r="F100" s="4">
        <v>-3.02852985731292</v>
      </c>
      <c r="G100" s="14">
        <v>2.8146082686142599E-3</v>
      </c>
      <c r="H100" s="17" t="str" cm="1">
        <f t="array" ref="H100">_xlfn.IFS(G100&lt;0.01,"**",G100&lt;0.05,"*",TRUE,"")</f>
        <v>**</v>
      </c>
      <c r="I100" s="4">
        <v>-3.5167918007205801E-3</v>
      </c>
      <c r="J100" s="4">
        <v>-7.5328747116036002E-4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5DBAF-A7A0-4D2D-BD35-9FA03D85B1F9}">
  <dimension ref="A2:E111"/>
  <sheetViews>
    <sheetView topLeftCell="A94" workbookViewId="0">
      <selection activeCell="D113" sqref="D113"/>
    </sheetView>
  </sheetViews>
  <sheetFormatPr defaultRowHeight="18"/>
  <cols>
    <col min="1" max="3" width="4.125" customWidth="1"/>
  </cols>
  <sheetData>
    <row r="2" spans="1:5">
      <c r="A2" t="s">
        <v>66</v>
      </c>
    </row>
    <row r="3" spans="1:5">
      <c r="B3" t="s">
        <v>67</v>
      </c>
    </row>
    <row r="4" spans="1:5">
      <c r="C4" t="s">
        <v>68</v>
      </c>
      <c r="E4" s="12" t="s">
        <v>69</v>
      </c>
    </row>
    <row r="41" spans="3:5">
      <c r="C41" t="s">
        <v>18</v>
      </c>
      <c r="E41" s="12" t="s">
        <v>70</v>
      </c>
    </row>
    <row r="57" spans="2:4">
      <c r="B57" t="s">
        <v>71</v>
      </c>
    </row>
    <row r="58" spans="2:4">
      <c r="C58" t="s">
        <v>17</v>
      </c>
    </row>
    <row r="59" spans="2:4">
      <c r="D59" t="s">
        <v>72</v>
      </c>
    </row>
    <row r="60" spans="2:4">
      <c r="D60" t="s">
        <v>73</v>
      </c>
    </row>
    <row r="61" spans="2:4">
      <c r="D61" t="s">
        <v>74</v>
      </c>
    </row>
    <row r="62" spans="2:4">
      <c r="D62" t="s">
        <v>75</v>
      </c>
    </row>
    <row r="64" spans="2:4">
      <c r="C64" t="s">
        <v>19</v>
      </c>
    </row>
    <row r="65" spans="3:4">
      <c r="D65" t="s">
        <v>76</v>
      </c>
    </row>
    <row r="66" spans="3:4">
      <c r="D66" t="s">
        <v>77</v>
      </c>
    </row>
    <row r="67" spans="3:4">
      <c r="D67" t="s">
        <v>78</v>
      </c>
    </row>
    <row r="69" spans="3:4">
      <c r="C69" t="s">
        <v>20</v>
      </c>
    </row>
    <row r="70" spans="3:4">
      <c r="D70" t="s">
        <v>79</v>
      </c>
    </row>
    <row r="71" spans="3:4">
      <c r="D71" t="s">
        <v>80</v>
      </c>
    </row>
    <row r="72" spans="3:4">
      <c r="D72" t="s">
        <v>81</v>
      </c>
    </row>
    <row r="74" spans="3:4">
      <c r="C74" t="s">
        <v>21</v>
      </c>
    </row>
    <row r="75" spans="3:4">
      <c r="D75" t="s">
        <v>82</v>
      </c>
    </row>
    <row r="76" spans="3:4">
      <c r="D76" t="s">
        <v>83</v>
      </c>
    </row>
    <row r="77" spans="3:4">
      <c r="D77" t="s">
        <v>84</v>
      </c>
    </row>
    <row r="79" spans="3:4">
      <c r="C79" t="s">
        <v>22</v>
      </c>
    </row>
    <row r="80" spans="3:4">
      <c r="D80" t="s">
        <v>85</v>
      </c>
    </row>
    <row r="81" spans="3:4">
      <c r="D81" t="s">
        <v>86</v>
      </c>
    </row>
    <row r="83" spans="3:4">
      <c r="C83" t="s">
        <v>23</v>
      </c>
    </row>
    <row r="84" spans="3:4">
      <c r="D84" t="s">
        <v>87</v>
      </c>
    </row>
    <row r="85" spans="3:4">
      <c r="D85" t="s">
        <v>88</v>
      </c>
    </row>
    <row r="86" spans="3:4">
      <c r="D86" t="s">
        <v>89</v>
      </c>
    </row>
    <row r="88" spans="3:4">
      <c r="C88" t="s">
        <v>24</v>
      </c>
    </row>
    <row r="89" spans="3:4">
      <c r="D89" t="s">
        <v>90</v>
      </c>
    </row>
    <row r="90" spans="3:4">
      <c r="D90" t="s">
        <v>91</v>
      </c>
    </row>
    <row r="91" spans="3:4">
      <c r="D91" t="s">
        <v>92</v>
      </c>
    </row>
    <row r="93" spans="3:4">
      <c r="C93" t="s">
        <v>25</v>
      </c>
    </row>
    <row r="94" spans="3:4">
      <c r="D94" t="s">
        <v>93</v>
      </c>
    </row>
    <row r="95" spans="3:4">
      <c r="D95" t="s">
        <v>94</v>
      </c>
    </row>
    <row r="96" spans="3:4">
      <c r="D96" t="s">
        <v>92</v>
      </c>
    </row>
    <row r="98" spans="3:4">
      <c r="C98" t="s">
        <v>26</v>
      </c>
    </row>
    <row r="99" spans="3:4">
      <c r="D99" t="s">
        <v>95</v>
      </c>
    </row>
    <row r="100" spans="3:4">
      <c r="D100" t="s">
        <v>96</v>
      </c>
    </row>
    <row r="101" spans="3:4">
      <c r="D101" t="s">
        <v>97</v>
      </c>
    </row>
    <row r="103" spans="3:4">
      <c r="C103" t="s">
        <v>27</v>
      </c>
    </row>
    <row r="104" spans="3:4">
      <c r="D104" t="s">
        <v>98</v>
      </c>
    </row>
    <row r="105" spans="3:4">
      <c r="D105" t="s">
        <v>99</v>
      </c>
    </row>
    <row r="106" spans="3:4">
      <c r="D106" t="s">
        <v>100</v>
      </c>
    </row>
    <row r="108" spans="3:4">
      <c r="C108" t="s">
        <v>101</v>
      </c>
    </row>
    <row r="109" spans="3:4">
      <c r="D109" t="s">
        <v>102</v>
      </c>
    </row>
    <row r="110" spans="3:4">
      <c r="D110" t="s">
        <v>103</v>
      </c>
    </row>
    <row r="111" spans="3:4">
      <c r="D111" t="s">
        <v>104</v>
      </c>
    </row>
  </sheetData>
  <phoneticPr fontId="2"/>
  <hyperlinks>
    <hyperlink ref="E4" r:id="rId1" display="https://exploratory.io/note/exploratory/R2-zVj7AqB3" xr:uid="{71FBBCDF-38CB-4614-8824-87359164AA93}"/>
    <hyperlink ref="E41" r:id="rId2" display="https://exploratory.io/note/exploratory/RMSE-DjQ0KQd5" xr:uid="{41662ADD-36FA-4B07-B99D-1727473C74AB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8707C-D7FA-4C5C-800B-946A36B543BA}">
  <sheetPr>
    <tabColor theme="0" tint="-0.34998626667073579"/>
  </sheetPr>
  <dimension ref="A1:AB13"/>
  <sheetViews>
    <sheetView workbookViewId="0">
      <selection activeCell="L20" sqref="L20"/>
    </sheetView>
  </sheetViews>
  <sheetFormatPr defaultRowHeight="18"/>
  <cols>
    <col min="1" max="1" width="3.625" customWidth="1"/>
    <col min="2" max="2" width="27.375" bestFit="1" customWidth="1"/>
    <col min="4" max="4" width="10.375" customWidth="1"/>
    <col min="5" max="5" width="18.375" bestFit="1" customWidth="1"/>
    <col min="6" max="6" width="10.375" bestFit="1" customWidth="1"/>
    <col min="19" max="19" width="2.875" bestFit="1" customWidth="1"/>
    <col min="22" max="22" width="9.625" customWidth="1"/>
    <col min="23" max="24" width="10" bestFit="1" customWidth="1"/>
    <col min="25" max="25" width="8.875" bestFit="1" customWidth="1"/>
  </cols>
  <sheetData>
    <row r="1" spans="1:28" ht="22.5">
      <c r="A1" s="6" t="s">
        <v>105</v>
      </c>
    </row>
    <row r="2" spans="1:28">
      <c r="A2" t="s">
        <v>66</v>
      </c>
      <c r="AB2" s="7" t="s">
        <v>1</v>
      </c>
    </row>
    <row r="3" spans="1:28" s="5" customFormat="1" ht="54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  <c r="O3" s="10" t="s">
        <v>16</v>
      </c>
      <c r="P3" s="11" t="s">
        <v>17</v>
      </c>
      <c r="Q3" s="11" t="s">
        <v>18</v>
      </c>
      <c r="R3" s="13" t="s">
        <v>20</v>
      </c>
      <c r="S3" s="15"/>
      <c r="T3" s="11" t="s">
        <v>21</v>
      </c>
      <c r="U3" s="11" t="s">
        <v>23</v>
      </c>
      <c r="V3" s="11" t="s">
        <v>24</v>
      </c>
      <c r="W3" s="11" t="s">
        <v>25</v>
      </c>
      <c r="X3" s="11" t="s">
        <v>26</v>
      </c>
      <c r="Y3" s="11" t="s">
        <v>27</v>
      </c>
      <c r="Z3" s="11" t="s">
        <v>106</v>
      </c>
      <c r="AA3" s="11" t="s">
        <v>107</v>
      </c>
      <c r="AB3" s="10" t="s">
        <v>28</v>
      </c>
    </row>
    <row r="4" spans="1:28" ht="54">
      <c r="A4" s="3">
        <v>1</v>
      </c>
      <c r="B4" s="3" t="s">
        <v>29</v>
      </c>
      <c r="C4" s="3">
        <v>7</v>
      </c>
      <c r="D4" s="3">
        <f>C4*47</f>
        <v>329</v>
      </c>
      <c r="E4" s="3" t="s">
        <v>30</v>
      </c>
      <c r="F4" s="3">
        <f>COUNTA(G4:N4)</f>
        <v>5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/>
      <c r="M4" s="8"/>
      <c r="N4" s="8"/>
      <c r="O4" s="4">
        <v>0.13610653741886899</v>
      </c>
      <c r="P4" s="4">
        <v>0.12273357360182401</v>
      </c>
      <c r="Q4" s="4">
        <v>0.24470084386944499</v>
      </c>
      <c r="R4" s="14">
        <v>0.68399554100997095</v>
      </c>
      <c r="S4" s="17" t="str" cm="1">
        <f t="array" ref="S4">_xlfn.IFS(R4&lt;0.01,"**",R4&lt;0.05,"*",TRUE,"")</f>
        <v/>
      </c>
      <c r="T4" s="3">
        <v>329</v>
      </c>
      <c r="U4" s="3">
        <v>-3.6912725002556401</v>
      </c>
      <c r="V4" s="4">
        <v>21.3825450005113</v>
      </c>
      <c r="W4" s="4">
        <v>47.954949255868897</v>
      </c>
      <c r="X4" s="4">
        <v>19.700027483847698</v>
      </c>
      <c r="Y4" s="4">
        <v>323</v>
      </c>
      <c r="Z4" s="3">
        <v>22.803769604863199</v>
      </c>
      <c r="AA4" s="4">
        <v>328</v>
      </c>
      <c r="AB4" s="4">
        <v>1.7812163387536399</v>
      </c>
    </row>
    <row r="5" spans="1:28" ht="54">
      <c r="A5" s="3">
        <v>2</v>
      </c>
      <c r="B5" s="3" t="s">
        <v>29</v>
      </c>
      <c r="C5" s="3">
        <v>7</v>
      </c>
      <c r="D5" s="3">
        <f>C5*47</f>
        <v>329</v>
      </c>
      <c r="E5" s="3" t="s">
        <v>36</v>
      </c>
      <c r="F5" s="3">
        <f t="shared" ref="F5:F12" si="0">COUNTA(G5:N5)</f>
        <v>5</v>
      </c>
      <c r="G5" s="8" t="s">
        <v>31</v>
      </c>
      <c r="H5" s="8" t="s">
        <v>32</v>
      </c>
      <c r="I5" s="8" t="s">
        <v>33</v>
      </c>
      <c r="J5" s="8" t="s">
        <v>34</v>
      </c>
      <c r="K5" s="8" t="s">
        <v>35</v>
      </c>
      <c r="L5" s="8"/>
      <c r="M5" s="8"/>
      <c r="N5" s="8"/>
      <c r="O5" s="4">
        <v>0.25070020226218498</v>
      </c>
      <c r="P5" s="4">
        <v>0.23910113418574799</v>
      </c>
      <c r="Q5" s="4">
        <v>0.51560416161932299</v>
      </c>
      <c r="R5" s="14">
        <v>2.0583529350354301E-5</v>
      </c>
      <c r="S5" s="17" t="str" cm="1">
        <f t="array" ref="S5">_xlfn.IFS(R5&lt;0.01,"**",R5&lt;0.05,"*",TRUE,"")</f>
        <v>**</v>
      </c>
      <c r="T5" s="3">
        <v>329</v>
      </c>
      <c r="U5" s="3">
        <v>-248.895934302992</v>
      </c>
      <c r="V5" s="4">
        <v>511.79186860598401</v>
      </c>
      <c r="W5" s="4">
        <v>538.36427286134199</v>
      </c>
      <c r="X5" s="4">
        <v>87.463877336645396</v>
      </c>
      <c r="Y5" s="4">
        <v>323</v>
      </c>
      <c r="Z5" s="3">
        <v>116.727480243161</v>
      </c>
      <c r="AA5" s="4">
        <v>328</v>
      </c>
      <c r="AB5" s="4">
        <v>1.7812163387536399</v>
      </c>
    </row>
    <row r="6" spans="1:28" ht="54">
      <c r="A6" s="3">
        <v>3</v>
      </c>
      <c r="B6" s="3" t="s">
        <v>29</v>
      </c>
      <c r="C6" s="3">
        <v>7</v>
      </c>
      <c r="D6" s="3">
        <f>C6*47</f>
        <v>329</v>
      </c>
      <c r="E6" s="3" t="s">
        <v>37</v>
      </c>
      <c r="F6" s="3">
        <f t="shared" si="0"/>
        <v>5</v>
      </c>
      <c r="G6" s="8" t="s">
        <v>31</v>
      </c>
      <c r="H6" s="8" t="s">
        <v>32</v>
      </c>
      <c r="I6" s="8" t="s">
        <v>33</v>
      </c>
      <c r="J6" s="8" t="s">
        <v>34</v>
      </c>
      <c r="K6" s="8" t="s">
        <v>35</v>
      </c>
      <c r="L6" s="8"/>
      <c r="M6" s="8"/>
      <c r="N6" s="8"/>
      <c r="O6" s="4">
        <v>0.25056810491068698</v>
      </c>
      <c r="P6" s="4">
        <v>0.23896699198360799</v>
      </c>
      <c r="Q6" s="4">
        <v>2.51232948888593E-2</v>
      </c>
      <c r="R6" s="14">
        <v>0.99993409040924497</v>
      </c>
      <c r="S6" s="17" t="str" cm="1">
        <f t="array" ref="S6">_xlfn.IFS(R6&lt;0.01,"**",R6&lt;0.05,"*",TRUE,"")</f>
        <v/>
      </c>
      <c r="T6" s="3">
        <v>329</v>
      </c>
      <c r="U6" s="3">
        <v>745.19199020417295</v>
      </c>
      <c r="V6" s="4">
        <v>-1476.38398040835</v>
      </c>
      <c r="W6" s="4">
        <v>-1449.81157615299</v>
      </c>
      <c r="X6" s="4">
        <v>0.20765820225788001</v>
      </c>
      <c r="Y6" s="4">
        <v>323</v>
      </c>
      <c r="Z6" s="3">
        <v>0.27708748936170202</v>
      </c>
      <c r="AA6" s="18">
        <v>328</v>
      </c>
      <c r="AB6" s="18">
        <v>1.7812163387536399</v>
      </c>
    </row>
    <row r="7" spans="1:28" ht="72">
      <c r="A7" s="3">
        <v>4</v>
      </c>
      <c r="B7" s="3" t="s">
        <v>38</v>
      </c>
      <c r="C7" s="3">
        <v>6</v>
      </c>
      <c r="D7" s="3">
        <f>C7*47</f>
        <v>282</v>
      </c>
      <c r="E7" s="3" t="s">
        <v>30</v>
      </c>
      <c r="F7" s="3">
        <f t="shared" si="0"/>
        <v>8</v>
      </c>
      <c r="G7" s="8" t="s">
        <v>39</v>
      </c>
      <c r="H7" s="8" t="s">
        <v>40</v>
      </c>
      <c r="I7" s="8" t="s">
        <v>41</v>
      </c>
      <c r="J7" s="8" t="s">
        <v>42</v>
      </c>
      <c r="K7" s="8" t="s">
        <v>43</v>
      </c>
      <c r="L7" s="8" t="s">
        <v>44</v>
      </c>
      <c r="M7" s="8" t="s">
        <v>45</v>
      </c>
      <c r="N7" s="8" t="s">
        <v>46</v>
      </c>
      <c r="O7" s="4">
        <v>0.16422770933459299</v>
      </c>
      <c r="P7" s="4">
        <v>0.13973621363743799</v>
      </c>
      <c r="Q7" s="4">
        <v>0.243909983716076</v>
      </c>
      <c r="R7" s="14">
        <v>0.91438956791724901</v>
      </c>
      <c r="S7" s="17" t="str" cm="1">
        <f t="array" ref="S7">_xlfn.IFS(R7&lt;0.01,"**",R7&lt;0.05,"*",TRUE,"")</f>
        <v/>
      </c>
      <c r="T7" s="3">
        <v>282</v>
      </c>
      <c r="U7" s="3">
        <v>-2.25106281503568</v>
      </c>
      <c r="V7" s="4">
        <v>24.502125630071401</v>
      </c>
      <c r="W7" s="4">
        <v>60.9211963394525</v>
      </c>
      <c r="X7" s="4">
        <v>16.776766604098199</v>
      </c>
      <c r="Y7" s="4">
        <v>273</v>
      </c>
      <c r="Z7" s="3">
        <v>20.073370212766001</v>
      </c>
      <c r="AA7" s="18">
        <v>281</v>
      </c>
      <c r="AB7" s="18">
        <v>15.9705151275621</v>
      </c>
    </row>
    <row r="8" spans="1:28" ht="72">
      <c r="A8" s="3">
        <v>5</v>
      </c>
      <c r="B8" s="3" t="s">
        <v>38</v>
      </c>
      <c r="C8" s="3">
        <v>6</v>
      </c>
      <c r="D8" s="3">
        <f t="shared" ref="D8:D9" si="1">C8*47</f>
        <v>282</v>
      </c>
      <c r="E8" s="3" t="s">
        <v>36</v>
      </c>
      <c r="F8" s="3">
        <f t="shared" si="0"/>
        <v>8</v>
      </c>
      <c r="G8" s="8" t="s">
        <v>39</v>
      </c>
      <c r="H8" s="8" t="s">
        <v>40</v>
      </c>
      <c r="I8" s="8" t="s">
        <v>41</v>
      </c>
      <c r="J8" s="8" t="s">
        <v>42</v>
      </c>
      <c r="K8" s="8" t="s">
        <v>43</v>
      </c>
      <c r="L8" s="8" t="s">
        <v>44</v>
      </c>
      <c r="M8" s="8" t="s">
        <v>45</v>
      </c>
      <c r="N8" s="8" t="s">
        <v>46</v>
      </c>
      <c r="O8" s="4">
        <v>0.270407777831219</v>
      </c>
      <c r="P8" s="4">
        <v>0.24902778597279299</v>
      </c>
      <c r="Q8" s="4">
        <v>0.50594209966328096</v>
      </c>
      <c r="R8" s="14">
        <v>7.7952781758589896E-4</v>
      </c>
      <c r="S8" s="17" t="str" cm="1">
        <f t="array" ref="S8">_xlfn.IFS(R8&lt;0.01,"**",R8&lt;0.05,"*",TRUE,"")</f>
        <v>**</v>
      </c>
      <c r="T8" s="3">
        <v>282</v>
      </c>
      <c r="U8" s="3">
        <v>-208.00474801636901</v>
      </c>
      <c r="V8" s="4">
        <v>436.00949603273801</v>
      </c>
      <c r="W8" s="4">
        <v>472.42856674211902</v>
      </c>
      <c r="X8" s="4">
        <v>72.185629115696401</v>
      </c>
      <c r="Y8" s="4">
        <v>273</v>
      </c>
      <c r="Z8" s="3">
        <v>98.939691134751797</v>
      </c>
      <c r="AA8" s="18">
        <v>281</v>
      </c>
      <c r="AB8" s="18">
        <v>15.9705151275621</v>
      </c>
    </row>
    <row r="9" spans="1:28" ht="72">
      <c r="A9" s="3">
        <v>6</v>
      </c>
      <c r="B9" s="3" t="s">
        <v>38</v>
      </c>
      <c r="C9" s="3">
        <v>6</v>
      </c>
      <c r="D9" s="3">
        <f t="shared" si="1"/>
        <v>282</v>
      </c>
      <c r="E9" s="3" t="s">
        <v>37</v>
      </c>
      <c r="F9" s="3">
        <f t="shared" si="0"/>
        <v>8</v>
      </c>
      <c r="G9" s="8" t="s">
        <v>39</v>
      </c>
      <c r="H9" s="8" t="s">
        <v>40</v>
      </c>
      <c r="I9" s="8" t="s">
        <v>41</v>
      </c>
      <c r="J9" s="8" t="s">
        <v>42</v>
      </c>
      <c r="K9" s="8" t="s">
        <v>43</v>
      </c>
      <c r="L9" s="8" t="s">
        <v>44</v>
      </c>
      <c r="M9" s="8" t="s">
        <v>45</v>
      </c>
      <c r="N9" s="8" t="s">
        <v>46</v>
      </c>
      <c r="O9" s="4">
        <v>0.28656036228857601</v>
      </c>
      <c r="P9" s="4">
        <v>0.26565370623842499</v>
      </c>
      <c r="Q9" s="4">
        <v>2.6215674788391999E-2</v>
      </c>
      <c r="R9" s="14">
        <v>0.99999990730104904</v>
      </c>
      <c r="S9" s="17" t="str" cm="1">
        <f t="array" ref="S9">_xlfn.IFS(R9&lt;0.01,"**",R9&lt;0.05,"*",TRUE,"")</f>
        <v/>
      </c>
      <c r="T9" s="3">
        <v>282</v>
      </c>
      <c r="U9" s="3">
        <v>626.73350555001696</v>
      </c>
      <c r="V9" s="4">
        <v>-1233.46701110003</v>
      </c>
      <c r="W9" s="4">
        <v>-1197.04794039065</v>
      </c>
      <c r="X9" s="4">
        <v>0.19380777250022599</v>
      </c>
      <c r="Y9" s="4">
        <v>273</v>
      </c>
      <c r="Z9" s="3">
        <v>0.27165265602836902</v>
      </c>
      <c r="AA9" s="4">
        <v>281</v>
      </c>
      <c r="AB9" s="4">
        <v>15.9705151275619</v>
      </c>
    </row>
    <row r="10" spans="1:28" ht="54">
      <c r="A10" s="3">
        <v>7</v>
      </c>
      <c r="B10" s="3" t="s">
        <v>47</v>
      </c>
      <c r="C10" s="3">
        <v>4</v>
      </c>
      <c r="D10" s="3">
        <f>C10*47</f>
        <v>188</v>
      </c>
      <c r="E10" s="3" t="s">
        <v>30</v>
      </c>
      <c r="F10" s="3">
        <f t="shared" si="0"/>
        <v>5</v>
      </c>
      <c r="G10" s="8" t="s">
        <v>31</v>
      </c>
      <c r="H10" s="8" t="s">
        <v>32</v>
      </c>
      <c r="I10" s="8" t="s">
        <v>33</v>
      </c>
      <c r="J10" s="8" t="s">
        <v>34</v>
      </c>
      <c r="K10" s="8" t="s">
        <v>35</v>
      </c>
      <c r="L10" s="8"/>
      <c r="M10" s="8"/>
      <c r="N10" s="8"/>
      <c r="O10" s="4">
        <v>0.18626683302671901</v>
      </c>
      <c r="P10" s="4">
        <v>0.16391152624173899</v>
      </c>
      <c r="Q10" s="4">
        <v>0.23126164192937201</v>
      </c>
      <c r="R10" s="14">
        <v>0.80604062443847202</v>
      </c>
      <c r="S10" s="17" t="str" cm="1">
        <f t="array" ref="S10">_xlfn.IFS(R10&lt;0.01,"**",R10&lt;0.05,"*",TRUE,"")</f>
        <v/>
      </c>
      <c r="T10" s="3">
        <v>188</v>
      </c>
      <c r="U10" s="3">
        <v>8.5102011086660401</v>
      </c>
      <c r="V10" s="4">
        <v>-3.0204022173320801</v>
      </c>
      <c r="W10" s="4">
        <v>19.634691522477599</v>
      </c>
      <c r="X10" s="4">
        <v>10.054606041239399</v>
      </c>
      <c r="Y10" s="4">
        <v>182</v>
      </c>
      <c r="Z10" s="3">
        <v>12.3561462765957</v>
      </c>
      <c r="AA10" s="4">
        <v>187</v>
      </c>
      <c r="AB10" s="4">
        <v>1.61510514735364</v>
      </c>
    </row>
    <row r="11" spans="1:28" ht="54">
      <c r="A11" s="3">
        <v>8</v>
      </c>
      <c r="B11" s="3" t="s">
        <v>47</v>
      </c>
      <c r="C11" s="3">
        <v>4</v>
      </c>
      <c r="D11" s="3">
        <f>C11*47</f>
        <v>188</v>
      </c>
      <c r="E11" s="3" t="s">
        <v>36</v>
      </c>
      <c r="F11" s="3">
        <f t="shared" si="0"/>
        <v>5</v>
      </c>
      <c r="G11" s="8" t="s">
        <v>31</v>
      </c>
      <c r="H11" s="8" t="s">
        <v>32</v>
      </c>
      <c r="I11" s="8" t="s">
        <v>33</v>
      </c>
      <c r="J11" s="8" t="s">
        <v>34</v>
      </c>
      <c r="K11" s="8" t="s">
        <v>35</v>
      </c>
      <c r="L11" s="8"/>
      <c r="M11" s="8"/>
      <c r="N11" s="8"/>
      <c r="O11" s="4">
        <v>0.23972465312556701</v>
      </c>
      <c r="P11" s="4">
        <v>0.218837967771874</v>
      </c>
      <c r="Q11" s="4">
        <v>0.49922654009579498</v>
      </c>
      <c r="R11" s="14">
        <v>1.13734320823484E-2</v>
      </c>
      <c r="S11" s="17" t="str" cm="1">
        <f t="array" ref="S11">_xlfn.IFS(R11&lt;0.01,"**",R11&lt;0.05,"*",TRUE,"")</f>
        <v>*</v>
      </c>
      <c r="T11" s="3">
        <v>188</v>
      </c>
      <c r="U11" s="3">
        <v>-136.15772820266</v>
      </c>
      <c r="V11" s="4">
        <v>286.31545640531903</v>
      </c>
      <c r="W11" s="4">
        <v>308.97055014512898</v>
      </c>
      <c r="X11" s="4">
        <v>46.854702007171397</v>
      </c>
      <c r="Y11" s="4">
        <v>182</v>
      </c>
      <c r="Z11" s="3">
        <v>61.628595744680901</v>
      </c>
      <c r="AA11" s="4">
        <v>187</v>
      </c>
      <c r="AB11" s="4">
        <v>1.61510514735364</v>
      </c>
    </row>
    <row r="12" spans="1:28" ht="54">
      <c r="A12" s="3">
        <v>9</v>
      </c>
      <c r="B12" s="3" t="s">
        <v>47</v>
      </c>
      <c r="C12" s="3">
        <v>4</v>
      </c>
      <c r="D12" s="3">
        <f>C12*47</f>
        <v>188</v>
      </c>
      <c r="E12" s="3" t="s">
        <v>37</v>
      </c>
      <c r="F12" s="3">
        <f t="shared" si="0"/>
        <v>5</v>
      </c>
      <c r="G12" s="8" t="s">
        <v>31</v>
      </c>
      <c r="H12" s="8" t="s">
        <v>32</v>
      </c>
      <c r="I12" s="8" t="s">
        <v>33</v>
      </c>
      <c r="J12" s="8" t="s">
        <v>34</v>
      </c>
      <c r="K12" s="8" t="s">
        <v>35</v>
      </c>
      <c r="L12" s="8"/>
      <c r="M12" s="8"/>
      <c r="N12" s="8"/>
      <c r="O12" s="4">
        <v>0.38734562601752498</v>
      </c>
      <c r="P12" s="4">
        <v>0.370514461897127</v>
      </c>
      <c r="Q12" s="4">
        <v>2.8119715288112E-2</v>
      </c>
      <c r="R12" s="14">
        <v>0.99986070038577302</v>
      </c>
      <c r="S12" s="17" t="str" cm="1">
        <f t="array" ref="S12">_xlfn.IFS(R12&lt;0.01,"**",R12&lt;0.05,"*",TRUE,"")</f>
        <v/>
      </c>
      <c r="T12" s="3">
        <v>188</v>
      </c>
      <c r="U12" s="3">
        <v>404.64101110981102</v>
      </c>
      <c r="V12" s="4">
        <v>-795.28202221962101</v>
      </c>
      <c r="W12" s="4">
        <v>-772.62692847981202</v>
      </c>
      <c r="X12" s="4">
        <v>0.14865505692228201</v>
      </c>
      <c r="Y12" s="4">
        <v>182</v>
      </c>
      <c r="Z12" s="3">
        <v>0.24264097872340401</v>
      </c>
      <c r="AA12" s="4">
        <v>187</v>
      </c>
      <c r="AB12" s="4">
        <v>1.61510514735364</v>
      </c>
    </row>
    <row r="13" spans="1:28">
      <c r="T13" s="1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60B02-5C9B-4143-B811-2AC25D1CEFB5}">
  <sheetPr>
    <tabColor theme="0" tint="-0.34998626667073579"/>
  </sheetPr>
  <dimension ref="A1:J86"/>
  <sheetViews>
    <sheetView workbookViewId="0">
      <selection activeCell="L20" sqref="L20"/>
    </sheetView>
  </sheetViews>
  <sheetFormatPr defaultRowHeight="18"/>
  <cols>
    <col min="3" max="3" width="27.125" bestFit="1" customWidth="1"/>
    <col min="4" max="9" width="8.625" style="2"/>
    <col min="10" max="10" width="2.875" bestFit="1" customWidth="1"/>
  </cols>
  <sheetData>
    <row r="1" spans="1:10" ht="22.5">
      <c r="A1" s="6" t="s">
        <v>108</v>
      </c>
    </row>
    <row r="2" spans="1:10">
      <c r="A2" s="12" t="s">
        <v>109</v>
      </c>
    </row>
    <row r="4" spans="1:10">
      <c r="C4" t="s">
        <v>51</v>
      </c>
      <c r="D4" s="2" t="s">
        <v>52</v>
      </c>
      <c r="E4" s="2" t="s">
        <v>55</v>
      </c>
      <c r="F4" s="2" t="s">
        <v>56</v>
      </c>
      <c r="G4" s="2" t="s">
        <v>53</v>
      </c>
      <c r="H4" s="2" t="s">
        <v>54</v>
      </c>
      <c r="I4" s="2" t="s">
        <v>20</v>
      </c>
    </row>
    <row r="5" spans="1:10">
      <c r="C5" t="s">
        <v>57</v>
      </c>
      <c r="D5" s="2">
        <v>11.061988783861899</v>
      </c>
      <c r="E5" s="2">
        <v>10.0967905311444</v>
      </c>
      <c r="F5" s="2">
        <v>12.027187036579299</v>
      </c>
      <c r="G5" s="2">
        <v>0.49244808812114699</v>
      </c>
      <c r="H5" s="2">
        <v>22.463258667663901</v>
      </c>
      <c r="I5" s="2">
        <v>5.78040465542652E-68</v>
      </c>
      <c r="J5" s="17" t="str" cm="1">
        <f t="array" ref="J5">_xlfn.IFS(I5&lt;0.01,"**",I5&lt;0.05,"*",TRUE,"")</f>
        <v>**</v>
      </c>
    </row>
    <row r="6" spans="1:10">
      <c r="C6" t="s">
        <v>31</v>
      </c>
      <c r="D6" s="2">
        <v>-1.4066580806783E-2</v>
      </c>
      <c r="E6" s="2">
        <v>-1.9097950156895901E-2</v>
      </c>
      <c r="F6" s="2">
        <v>-9.0352114566701596E-3</v>
      </c>
      <c r="G6" s="2">
        <v>2.5670251786290201E-3</v>
      </c>
      <c r="H6" s="2">
        <v>-5.4797206213207499</v>
      </c>
      <c r="I6" s="2">
        <v>8.5893389331817397E-8</v>
      </c>
      <c r="J6" s="17" t="str" cm="1">
        <f t="array" ref="J6">_xlfn.IFS(I6&lt;0.01,"**",I6&lt;0.05,"*",TRUE,"")</f>
        <v>**</v>
      </c>
    </row>
    <row r="7" spans="1:10">
      <c r="C7" t="s">
        <v>32</v>
      </c>
      <c r="D7" s="2">
        <v>9.6148372222626607E-3</v>
      </c>
      <c r="E7" s="2">
        <v>4.7932057440806704E-3</v>
      </c>
      <c r="F7" s="2">
        <v>1.44364687004447E-2</v>
      </c>
      <c r="G7" s="2">
        <v>2.4600160602969399E-3</v>
      </c>
      <c r="H7" s="2">
        <v>3.9084448989744001</v>
      </c>
      <c r="I7" s="2">
        <v>1.13200015844072E-4</v>
      </c>
      <c r="J7" s="17" t="str" cm="1">
        <f t="array" ref="J7">_xlfn.IFS(I7&lt;0.01,"**",I7&lt;0.05,"*",TRUE,"")</f>
        <v>**</v>
      </c>
    </row>
    <row r="8" spans="1:10">
      <c r="C8" t="s">
        <v>33</v>
      </c>
      <c r="D8" s="2">
        <v>8.3774942866369599E-3</v>
      </c>
      <c r="E8" s="2">
        <v>-1.4416400069545801E-2</v>
      </c>
      <c r="F8" s="2">
        <v>3.1171388642819799E-2</v>
      </c>
      <c r="G8" s="2">
        <v>1.1629537936827999E-2</v>
      </c>
      <c r="H8" s="2">
        <v>0.72036346862134903</v>
      </c>
      <c r="I8" s="2">
        <v>0.47182221676543201</v>
      </c>
      <c r="J8" s="17" t="str" cm="1">
        <f t="array" ref="J8">_xlfn.IFS(I8&lt;0.01,"**",I8&lt;0.05,"*",TRUE,"")</f>
        <v/>
      </c>
    </row>
    <row r="9" spans="1:10">
      <c r="C9" t="s">
        <v>34</v>
      </c>
      <c r="D9" s="2">
        <v>1.5791431489055501E-3</v>
      </c>
      <c r="E9" s="2">
        <v>-1.36740368862834E-3</v>
      </c>
      <c r="F9" s="2">
        <v>4.52568998643944E-3</v>
      </c>
      <c r="G9" s="2">
        <v>1.5033402232315801E-3</v>
      </c>
      <c r="H9" s="2">
        <v>1.0504230010629501</v>
      </c>
      <c r="I9" s="2">
        <v>0.29430894102560601</v>
      </c>
      <c r="J9" s="17" t="str" cm="1">
        <f t="array" ref="J9">_xlfn.IFS(I9&lt;0.01,"**",I9&lt;0.05,"*",TRUE,"")</f>
        <v/>
      </c>
    </row>
    <row r="10" spans="1:10">
      <c r="C10" t="s">
        <v>35</v>
      </c>
      <c r="D10" s="2">
        <v>-9.7061827901118395E-3</v>
      </c>
      <c r="E10" s="2">
        <v>-1.7126219641858301E-2</v>
      </c>
      <c r="F10" s="2">
        <v>-2.2861459383653601E-3</v>
      </c>
      <c r="G10" s="2">
        <v>3.7857330876257598E-3</v>
      </c>
      <c r="H10" s="2">
        <v>-2.5638846071420001</v>
      </c>
      <c r="I10" s="2">
        <v>1.08028755560153E-2</v>
      </c>
      <c r="J10" s="17" t="str" cm="1">
        <f t="array" ref="J10">_xlfn.IFS(I10&lt;0.01,"**",I10&lt;0.05,"*",TRUE,"")</f>
        <v>*</v>
      </c>
    </row>
    <row r="12" spans="1:10">
      <c r="C12" t="s">
        <v>51</v>
      </c>
      <c r="D12" s="2" t="s">
        <v>52</v>
      </c>
      <c r="E12" s="2" t="s">
        <v>55</v>
      </c>
      <c r="F12" s="2" t="s">
        <v>56</v>
      </c>
      <c r="G12" s="2" t="s">
        <v>53</v>
      </c>
      <c r="H12" s="2" t="s">
        <v>54</v>
      </c>
      <c r="I12" s="2" t="s">
        <v>20</v>
      </c>
    </row>
    <row r="13" spans="1:10">
      <c r="C13" t="s">
        <v>57</v>
      </c>
      <c r="D13" s="2">
        <v>2.6728570366953299</v>
      </c>
      <c r="E13" s="2">
        <v>0.63910746714201805</v>
      </c>
      <c r="F13" s="2">
        <v>4.7066066062486396</v>
      </c>
      <c r="G13" s="2">
        <v>1.0376273314047499</v>
      </c>
      <c r="H13" s="2">
        <v>2.5759316045355001</v>
      </c>
      <c r="I13" s="2">
        <v>1.0441104655277899E-2</v>
      </c>
      <c r="J13" s="17" t="str" cm="1">
        <f t="array" ref="J13">_xlfn.IFS(I13&lt;0.01,"**",I13&lt;0.05,"*",TRUE,"")</f>
        <v>*</v>
      </c>
    </row>
    <row r="14" spans="1:10">
      <c r="C14" t="s">
        <v>31</v>
      </c>
      <c r="D14" s="2">
        <v>-1.6491289170749001E-2</v>
      </c>
      <c r="E14" s="2">
        <v>-2.70927849994523E-2</v>
      </c>
      <c r="F14" s="2">
        <v>-5.8897933420455897E-3</v>
      </c>
      <c r="G14" s="2">
        <v>5.408926443216E-3</v>
      </c>
      <c r="H14" s="2">
        <v>-3.0489024659288302</v>
      </c>
      <c r="I14" s="2">
        <v>2.4866210446199402E-3</v>
      </c>
      <c r="J14" s="17" t="str" cm="1">
        <f t="array" ref="J14">_xlfn.IFS(I14&lt;0.01,"**",I14&lt;0.05,"*",TRUE,"")</f>
        <v>**</v>
      </c>
    </row>
    <row r="15" spans="1:10">
      <c r="C15" t="s">
        <v>32</v>
      </c>
      <c r="D15" s="2">
        <v>4.4949729346224397E-2</v>
      </c>
      <c r="E15" s="2">
        <v>3.4790167913441798E-2</v>
      </c>
      <c r="F15" s="2">
        <v>5.5109290779007003E-2</v>
      </c>
      <c r="G15" s="2">
        <v>5.1834497106033701E-3</v>
      </c>
      <c r="H15" s="2">
        <v>8.6717788067422195</v>
      </c>
      <c r="I15" s="2">
        <v>2.10514220310085E-16</v>
      </c>
      <c r="J15" s="17" t="str" cm="1">
        <f t="array" ref="J15">_xlfn.IFS(I15&lt;0.01,"**",I15&lt;0.05,"*",TRUE,"")</f>
        <v>**</v>
      </c>
    </row>
    <row r="16" spans="1:10">
      <c r="C16" t="s">
        <v>33</v>
      </c>
      <c r="D16" s="2">
        <v>1.6231496939724199E-2</v>
      </c>
      <c r="E16" s="2">
        <v>-3.1797053365682303E-2</v>
      </c>
      <c r="F16" s="2">
        <v>6.4260047245130805E-2</v>
      </c>
      <c r="G16" s="2">
        <v>2.45043624007176E-2</v>
      </c>
      <c r="H16" s="2">
        <v>0.662392135501917</v>
      </c>
      <c r="I16" s="2">
        <v>0.50819228885019896</v>
      </c>
      <c r="J16" s="17" t="str" cm="1">
        <f t="array" ref="J16">_xlfn.IFS(I16&lt;0.01,"**",I16&lt;0.05,"*",TRUE,"")</f>
        <v/>
      </c>
    </row>
    <row r="17" spans="3:10">
      <c r="C17" t="s">
        <v>34</v>
      </c>
      <c r="D17" s="2">
        <v>-6.9469461905561697E-3</v>
      </c>
      <c r="E17" s="2">
        <v>-1.31555549873828E-2</v>
      </c>
      <c r="F17" s="2">
        <v>-7.3833739372955096E-4</v>
      </c>
      <c r="G17" s="2">
        <v>3.1676575494013299E-3</v>
      </c>
      <c r="H17" s="2">
        <v>-2.19308624187267</v>
      </c>
      <c r="I17" s="2">
        <v>2.9013799474265099E-2</v>
      </c>
      <c r="J17" s="17" t="str" cm="1">
        <f t="array" ref="J17">_xlfn.IFS(I17&lt;0.01,"**",I17&lt;0.05,"*",TRUE,"")</f>
        <v>*</v>
      </c>
    </row>
    <row r="18" spans="3:10">
      <c r="C18" t="s">
        <v>35</v>
      </c>
      <c r="D18" s="2">
        <v>3.2772474822115399E-2</v>
      </c>
      <c r="E18" s="2">
        <v>1.7137866376831901E-2</v>
      </c>
      <c r="F18" s="2">
        <v>4.8407083267399002E-2</v>
      </c>
      <c r="G18" s="2">
        <v>7.9768410435120101E-3</v>
      </c>
      <c r="H18" s="2">
        <v>4.1084527876822898</v>
      </c>
      <c r="I18" s="2">
        <v>5.0538909090117498E-5</v>
      </c>
      <c r="J18" s="17" t="str" cm="1">
        <f t="array" ref="J18">_xlfn.IFS(I18&lt;0.01,"**",I18&lt;0.05,"*",TRUE,"")</f>
        <v>**</v>
      </c>
    </row>
    <row r="20" spans="3:10">
      <c r="C20" t="s">
        <v>51</v>
      </c>
      <c r="D20" s="2" t="s">
        <v>52</v>
      </c>
      <c r="E20" s="2" t="s">
        <v>55</v>
      </c>
      <c r="F20" s="2" t="s">
        <v>56</v>
      </c>
      <c r="G20" s="2" t="s">
        <v>53</v>
      </c>
      <c r="H20" s="2" t="s">
        <v>54</v>
      </c>
      <c r="I20" s="2" t="s">
        <v>20</v>
      </c>
    </row>
    <row r="21" spans="3:10">
      <c r="C21" t="s">
        <v>57</v>
      </c>
      <c r="D21" s="2">
        <v>0.33400051671087</v>
      </c>
      <c r="E21" s="2">
        <v>0.23490416728360899</v>
      </c>
      <c r="F21" s="2">
        <v>0.43309686613813098</v>
      </c>
      <c r="G21" s="2">
        <v>5.0559361952684199E-2</v>
      </c>
      <c r="H21" s="2">
        <v>6.60610624444673</v>
      </c>
      <c r="I21" s="2">
        <v>1.6260820026724201E-10</v>
      </c>
      <c r="J21" s="17" t="str" cm="1">
        <f t="array" ref="J21">_xlfn.IFS(I21&lt;0.01,"**",I21&lt;0.05,"*",TRUE,"")</f>
        <v>**</v>
      </c>
    </row>
    <row r="22" spans="3:10">
      <c r="C22" t="s">
        <v>31</v>
      </c>
      <c r="D22" s="2">
        <v>-1.2698255415374499E-3</v>
      </c>
      <c r="E22" s="2">
        <v>-1.7863933386844701E-3</v>
      </c>
      <c r="F22" s="2">
        <v>-7.5325774439043895E-4</v>
      </c>
      <c r="G22" s="2">
        <v>2.6355499854439403E-4</v>
      </c>
      <c r="H22" s="2">
        <v>-4.8180666219599599</v>
      </c>
      <c r="I22" s="2">
        <v>2.23337085753757E-6</v>
      </c>
      <c r="J22" s="17" t="str" cm="1">
        <f t="array" ref="J22">_xlfn.IFS(I22&lt;0.01,"**",I22&lt;0.05,"*",TRUE,"")</f>
        <v>**</v>
      </c>
    </row>
    <row r="23" spans="3:10">
      <c r="C23" t="s">
        <v>32</v>
      </c>
      <c r="D23" s="2">
        <v>-7.2913229357940998E-4</v>
      </c>
      <c r="E23" s="2">
        <v>-1.2241664240559E-3</v>
      </c>
      <c r="F23" s="2">
        <v>-2.3409816310292501E-4</v>
      </c>
      <c r="G23" s="2">
        <v>2.52568433916574E-4</v>
      </c>
      <c r="H23" s="2">
        <v>-2.8868702326445499</v>
      </c>
      <c r="I23" s="2">
        <v>4.1531395175148401E-3</v>
      </c>
      <c r="J23" s="17" t="str" cm="1">
        <f t="array" ref="J23">_xlfn.IFS(I23&lt;0.01,"**",I23&lt;0.05,"*",TRUE,"")</f>
        <v>**</v>
      </c>
    </row>
    <row r="24" spans="3:10">
      <c r="C24" t="s">
        <v>33</v>
      </c>
      <c r="D24" s="2">
        <v>-6.4390702323423596E-3</v>
      </c>
      <c r="E24" s="2">
        <v>-8.7793062549096496E-3</v>
      </c>
      <c r="F24" s="2">
        <v>-4.0988342097750896E-3</v>
      </c>
      <c r="G24" s="2">
        <v>1.19399797069759E-3</v>
      </c>
      <c r="H24" s="2">
        <v>-5.3928653066138397</v>
      </c>
      <c r="I24" s="2">
        <v>1.34209788099977E-7</v>
      </c>
      <c r="J24" s="17" t="str" cm="1">
        <f t="array" ref="J24">_xlfn.IFS(I24&lt;0.01,"**",I24&lt;0.05,"*",TRUE,"")</f>
        <v>**</v>
      </c>
    </row>
    <row r="25" spans="3:10">
      <c r="C25" t="s">
        <v>34</v>
      </c>
      <c r="D25" s="2">
        <v>4.1051415315290399E-4</v>
      </c>
      <c r="E25" s="2">
        <v>1.07993884188505E-4</v>
      </c>
      <c r="F25" s="2">
        <v>7.1303442211730203E-4</v>
      </c>
      <c r="G25" s="2">
        <v>1.5434707600224401E-4</v>
      </c>
      <c r="H25" s="2">
        <v>2.6596820865394002</v>
      </c>
      <c r="I25" s="2">
        <v>8.2115060215445807E-3</v>
      </c>
      <c r="J25" s="17" t="str" cm="1">
        <f t="array" ref="J25">_xlfn.IFS(I25&lt;0.01,"**",I25&lt;0.05,"*",TRUE,"")</f>
        <v>**</v>
      </c>
    </row>
    <row r="26" spans="3:10">
      <c r="C26" t="s">
        <v>35</v>
      </c>
      <c r="D26" s="2">
        <v>-5.5836615790916797E-4</v>
      </c>
      <c r="E26" s="2">
        <v>-1.32017707349428E-3</v>
      </c>
      <c r="F26" s="2">
        <v>2.03444757675939E-4</v>
      </c>
      <c r="G26" s="2">
        <v>3.8867903856382998E-4</v>
      </c>
      <c r="H26" s="2">
        <v>-1.4365738887600701</v>
      </c>
      <c r="I26" s="2">
        <v>0.15180697173493199</v>
      </c>
      <c r="J26" s="17" t="str" cm="1">
        <f t="array" ref="J26">_xlfn.IFS(I26&lt;0.01,"**",I26&lt;0.05,"*",TRUE,"")</f>
        <v/>
      </c>
    </row>
    <row r="28" spans="3:10">
      <c r="C28" t="s">
        <v>51</v>
      </c>
      <c r="D28" s="2" t="s">
        <v>52</v>
      </c>
      <c r="E28" s="2" t="s">
        <v>55</v>
      </c>
      <c r="F28" s="2" t="s">
        <v>56</v>
      </c>
      <c r="G28" s="2" t="s">
        <v>53</v>
      </c>
      <c r="H28" s="2" t="s">
        <v>54</v>
      </c>
      <c r="I28" s="2" t="s">
        <v>20</v>
      </c>
    </row>
    <row r="29" spans="3:10">
      <c r="C29" t="s">
        <v>57</v>
      </c>
      <c r="D29" s="2">
        <v>10.988139541233499</v>
      </c>
      <c r="E29" s="2">
        <v>9.7147349543027399</v>
      </c>
      <c r="F29" s="2">
        <v>12.2615441281642</v>
      </c>
      <c r="G29" s="2">
        <v>0.64969621782180498</v>
      </c>
      <c r="H29" s="2">
        <v>16.912734351560001</v>
      </c>
      <c r="I29" s="2">
        <v>2.1760069225136499E-44</v>
      </c>
      <c r="J29" s="17" t="str" cm="1">
        <f t="array" ref="J29">_xlfn.IFS(I29&lt;0.01,"**",I29&lt;0.05,"*",TRUE,"")</f>
        <v>**</v>
      </c>
    </row>
    <row r="30" spans="3:10">
      <c r="C30" t="s">
        <v>42</v>
      </c>
      <c r="D30" s="2">
        <v>1.4619921823176101E-3</v>
      </c>
      <c r="E30" s="2">
        <v>-1.58969463278104E-3</v>
      </c>
      <c r="F30" s="2">
        <v>4.51367899741626E-3</v>
      </c>
      <c r="G30" s="2">
        <v>1.55698306892788E-3</v>
      </c>
      <c r="H30" s="2">
        <v>0.93899041774700498</v>
      </c>
      <c r="I30" s="2">
        <v>0.34856568609682897</v>
      </c>
      <c r="J30" s="17" t="str" cm="1">
        <f t="array" ref="J30">_xlfn.IFS(I30&lt;0.01,"**",I30&lt;0.05,"*",TRUE,"")</f>
        <v/>
      </c>
    </row>
    <row r="31" spans="3:10">
      <c r="C31" t="s">
        <v>43</v>
      </c>
      <c r="D31" s="2">
        <v>-8.4555095822660391E-3</v>
      </c>
      <c r="E31" s="2">
        <v>-3.7051204287905502E-2</v>
      </c>
      <c r="F31" s="2">
        <v>2.01401851233734E-2</v>
      </c>
      <c r="G31" s="2">
        <v>1.4589640155938499E-2</v>
      </c>
      <c r="H31" s="2">
        <v>-0.57955573214219203</v>
      </c>
      <c r="I31" s="2">
        <v>0.56269219866349596</v>
      </c>
      <c r="J31" s="17" t="str" cm="1">
        <f t="array" ref="J31">_xlfn.IFS(I31&lt;0.01,"**",I31&lt;0.05,"*",TRUE,"")</f>
        <v/>
      </c>
    </row>
    <row r="32" spans="3:10">
      <c r="C32" t="s">
        <v>46</v>
      </c>
      <c r="D32" s="2">
        <v>-4.6547393457903596E-3</v>
      </c>
      <c r="E32" s="2">
        <v>-3.1919565548313003E-2</v>
      </c>
      <c r="F32" s="2">
        <v>2.2610086856732301E-2</v>
      </c>
      <c r="G32" s="2">
        <v>1.3910625613532001E-2</v>
      </c>
      <c r="H32" s="2">
        <v>-0.33461754166270802</v>
      </c>
      <c r="I32" s="2">
        <v>0.73817054787603598</v>
      </c>
      <c r="J32" s="17" t="str" cm="1">
        <f t="array" ref="J32">_xlfn.IFS(I32&lt;0.01,"**",I32&lt;0.05,"*",TRUE,"")</f>
        <v/>
      </c>
    </row>
    <row r="33" spans="3:10">
      <c r="C33" t="s">
        <v>40</v>
      </c>
      <c r="D33" s="2">
        <v>1.6434332277354401E-4</v>
      </c>
      <c r="E33" s="2">
        <v>-1.01765732925453E-2</v>
      </c>
      <c r="F33" s="2">
        <v>1.05052599380924E-2</v>
      </c>
      <c r="G33" s="2">
        <v>5.2759778649585799E-3</v>
      </c>
      <c r="H33" s="2">
        <v>3.1149357897246301E-2</v>
      </c>
      <c r="I33" s="2">
        <v>0.97517318708994505</v>
      </c>
      <c r="J33" s="17" t="str" cm="1">
        <f t="array" ref="J33">_xlfn.IFS(I33&lt;0.01,"**",I33&lt;0.05,"*",TRUE,"")</f>
        <v/>
      </c>
    </row>
    <row r="34" spans="3:10">
      <c r="C34" t="s">
        <v>45</v>
      </c>
      <c r="D34" s="2">
        <v>1.03574876730873E-2</v>
      </c>
      <c r="E34" s="2">
        <v>1.72322843234735E-4</v>
      </c>
      <c r="F34" s="2">
        <v>2.05426525029399E-2</v>
      </c>
      <c r="G34" s="2">
        <v>5.1965126682921303E-3</v>
      </c>
      <c r="H34" s="2">
        <v>1.9931612475971101</v>
      </c>
      <c r="I34" s="2">
        <v>4.7238996456224598E-2</v>
      </c>
      <c r="J34" s="17" t="str" cm="1">
        <f t="array" ref="J34">_xlfn.IFS(I34&lt;0.01,"**",I34&lt;0.05,"*",TRUE,"")</f>
        <v>*</v>
      </c>
    </row>
    <row r="35" spans="3:10">
      <c r="C35" t="s">
        <v>41</v>
      </c>
      <c r="D35" s="2">
        <v>1.91997891388581E-2</v>
      </c>
      <c r="E35" s="2">
        <v>-9.7145648142562303E-3</v>
      </c>
      <c r="F35" s="2">
        <v>4.8114143091972497E-2</v>
      </c>
      <c r="G35" s="2">
        <v>1.47522214046502E-2</v>
      </c>
      <c r="H35" s="2">
        <v>1.3014846111790299</v>
      </c>
      <c r="I35" s="2">
        <v>0.19418985496178001</v>
      </c>
      <c r="J35" s="17" t="str" cm="1">
        <f t="array" ref="J35">_xlfn.IFS(I35&lt;0.01,"**",I35&lt;0.05,"*",TRUE,"")</f>
        <v/>
      </c>
    </row>
    <row r="36" spans="3:10">
      <c r="C36" t="s">
        <v>39</v>
      </c>
      <c r="D36" s="2">
        <v>-2.14101090234761E-2</v>
      </c>
      <c r="E36" s="2">
        <v>-3.7569928951777E-2</v>
      </c>
      <c r="F36" s="2">
        <v>-5.2502890951753303E-3</v>
      </c>
      <c r="G36" s="2">
        <v>8.2448060858677594E-3</v>
      </c>
      <c r="H36" s="2">
        <v>-2.5967995851563699</v>
      </c>
      <c r="I36" s="2">
        <v>9.9196663704217095E-3</v>
      </c>
      <c r="J36" s="17" t="str" cm="1">
        <f t="array" ref="J36">_xlfn.IFS(I36&lt;0.01,"**",I36&lt;0.05,"*",TRUE,"")</f>
        <v>**</v>
      </c>
    </row>
    <row r="37" spans="3:10">
      <c r="C37" t="s">
        <v>44</v>
      </c>
      <c r="D37" s="2">
        <v>7.1383838842393396E-3</v>
      </c>
      <c r="E37" s="2">
        <v>-9.3450033970858808E-3</v>
      </c>
      <c r="F37" s="2">
        <v>2.36217711655646E-2</v>
      </c>
      <c r="G37" s="2">
        <v>8.4098914700638898E-3</v>
      </c>
      <c r="H37" s="2">
        <v>0.848808086245744</v>
      </c>
      <c r="I37" s="2">
        <v>0.39673174997173499</v>
      </c>
      <c r="J37" s="17" t="str" cm="1">
        <f t="array" ref="J37">_xlfn.IFS(I37&lt;0.01,"**",I37&lt;0.05,"*",TRUE,"")</f>
        <v/>
      </c>
    </row>
    <row r="39" spans="3:10">
      <c r="C39" t="s">
        <v>51</v>
      </c>
      <c r="D39" s="2" t="s">
        <v>52</v>
      </c>
      <c r="E39" s="2" t="s">
        <v>55</v>
      </c>
      <c r="F39" s="2" t="s">
        <v>56</v>
      </c>
      <c r="G39" s="2" t="s">
        <v>53</v>
      </c>
      <c r="H39" s="2" t="s">
        <v>54</v>
      </c>
      <c r="I39" s="2" t="s">
        <v>20</v>
      </c>
    </row>
    <row r="40" spans="3:10">
      <c r="C40" t="s">
        <v>57</v>
      </c>
      <c r="D40" s="2">
        <v>2.1571541035458299</v>
      </c>
      <c r="E40" s="2">
        <v>-0.48426704952411997</v>
      </c>
      <c r="F40" s="2">
        <v>4.7985752566157798</v>
      </c>
      <c r="G40" s="2">
        <v>1.3476638536071199</v>
      </c>
      <c r="H40" s="2">
        <v>1.6006618399477399</v>
      </c>
      <c r="I40" s="2">
        <v>0.110608365373791</v>
      </c>
      <c r="J40" s="17" t="str" cm="1">
        <f t="array" ref="J40">_xlfn.IFS(I40&lt;0.01,"**",I40&lt;0.05,"*",TRUE,"")</f>
        <v/>
      </c>
    </row>
    <row r="41" spans="3:10">
      <c r="C41" t="s">
        <v>42</v>
      </c>
      <c r="D41" s="2">
        <v>-6.9754434059981904E-3</v>
      </c>
      <c r="E41" s="2">
        <v>-1.33055526176942E-2</v>
      </c>
      <c r="F41" s="2">
        <v>-6.4533419430215001E-4</v>
      </c>
      <c r="G41" s="2">
        <v>3.2296475569877801E-3</v>
      </c>
      <c r="H41" s="2">
        <v>-2.1598156711885999</v>
      </c>
      <c r="I41" s="2">
        <v>3.1657553599976997E-2</v>
      </c>
      <c r="J41" s="17" t="str" cm="1">
        <f t="array" ref="J41">_xlfn.IFS(I41&lt;0.01,"**",I41&lt;0.05,"*",TRUE,"")</f>
        <v>*</v>
      </c>
    </row>
    <row r="42" spans="3:10">
      <c r="C42" t="s">
        <v>43</v>
      </c>
      <c r="D42" s="2">
        <v>-1.8224200204825201E-2</v>
      </c>
      <c r="E42" s="2">
        <v>-7.7540205233723902E-2</v>
      </c>
      <c r="F42" s="2">
        <v>4.1091804824073597E-2</v>
      </c>
      <c r="G42" s="2">
        <v>3.0263267871887101E-2</v>
      </c>
      <c r="H42" s="2">
        <v>-0.60218877491926204</v>
      </c>
      <c r="I42" s="2">
        <v>0.54754830415910805</v>
      </c>
      <c r="J42" s="17" t="str" cm="1">
        <f t="array" ref="J42">_xlfn.IFS(I42&lt;0.01,"**",I42&lt;0.05,"*",TRUE,"")</f>
        <v/>
      </c>
    </row>
    <row r="43" spans="3:10">
      <c r="C43" t="s">
        <v>46</v>
      </c>
      <c r="D43" s="2">
        <v>5.6049994588305202E-2</v>
      </c>
      <c r="E43" s="2">
        <v>-5.0539197560103095E-4</v>
      </c>
      <c r="F43" s="2">
        <v>0.112605381152211</v>
      </c>
      <c r="G43" s="2">
        <v>2.8854789063217499E-2</v>
      </c>
      <c r="H43" s="2">
        <v>1.9424849880380799</v>
      </c>
      <c r="I43" s="2">
        <v>5.31066224619006E-2</v>
      </c>
      <c r="J43" s="17" t="str" cm="1">
        <f t="array" ref="J43">_xlfn.IFS(I43&lt;0.01,"**",I43&lt;0.05,"*",TRUE,"")</f>
        <v/>
      </c>
    </row>
    <row r="44" spans="3:10">
      <c r="C44" t="s">
        <v>40</v>
      </c>
      <c r="D44" s="2">
        <v>1.5507432103514501E-2</v>
      </c>
      <c r="E44" s="2">
        <v>-5.9427151396894704E-3</v>
      </c>
      <c r="F44" s="2">
        <v>3.6957579346718498E-2</v>
      </c>
      <c r="G44" s="2">
        <v>1.0943952675104099E-2</v>
      </c>
      <c r="H44" s="2">
        <v>1.41698640005925</v>
      </c>
      <c r="I44" s="2">
        <v>0.15762706242112301</v>
      </c>
      <c r="J44" s="17" t="str" cm="1">
        <f t="array" ref="J44">_xlfn.IFS(I44&lt;0.01,"**",I44&lt;0.05,"*",TRUE,"")</f>
        <v/>
      </c>
    </row>
    <row r="45" spans="3:10">
      <c r="C45" t="s">
        <v>45</v>
      </c>
      <c r="D45" s="2">
        <v>3.1905491158497501E-2</v>
      </c>
      <c r="E45" s="2">
        <v>1.0778419601513999E-2</v>
      </c>
      <c r="F45" s="2">
        <v>5.3032562715480999E-2</v>
      </c>
      <c r="G45" s="2">
        <v>1.07791181413181E-2</v>
      </c>
      <c r="H45" s="2">
        <v>2.9599351950878598</v>
      </c>
      <c r="I45" s="2">
        <v>3.3472059538674302E-3</v>
      </c>
      <c r="J45" s="17" t="str" cm="1">
        <f t="array" ref="J45">_xlfn.IFS(I45&lt;0.01,"**",I45&lt;0.05,"*",TRUE,"")</f>
        <v>**</v>
      </c>
    </row>
    <row r="46" spans="3:10">
      <c r="C46" t="s">
        <v>41</v>
      </c>
      <c r="D46" s="2">
        <v>2.19663872526886E-2</v>
      </c>
      <c r="E46" s="2">
        <v>-3.8010612157367799E-2</v>
      </c>
      <c r="F46" s="2">
        <v>8.1943386662745005E-2</v>
      </c>
      <c r="G46" s="2">
        <v>3.060050990309E-2</v>
      </c>
      <c r="H46" s="2">
        <v>0.71784383078108405</v>
      </c>
      <c r="I46" s="2">
        <v>0.47346740584612002</v>
      </c>
      <c r="J46" s="17" t="str" cm="1">
        <f t="array" ref="J46">_xlfn.IFS(I46&lt;0.01,"**",I46&lt;0.05,"*",TRUE,"")</f>
        <v/>
      </c>
    </row>
    <row r="47" spans="3:10">
      <c r="C47" t="s">
        <v>39</v>
      </c>
      <c r="D47" s="2">
        <v>-8.7607437874640901E-3</v>
      </c>
      <c r="E47" s="2">
        <v>-4.22810331177371E-2</v>
      </c>
      <c r="F47" s="2">
        <v>2.4759545542808899E-2</v>
      </c>
      <c r="G47" s="2">
        <v>1.7102188433812799E-2</v>
      </c>
      <c r="H47" s="2">
        <v>-0.51225863996114196</v>
      </c>
      <c r="I47" s="2">
        <v>0.60888417490983204</v>
      </c>
      <c r="J47" s="17" t="str" cm="1">
        <f t="array" ref="J47">_xlfn.IFS(I47&lt;0.01,"**",I47&lt;0.05,"*",TRUE,"")</f>
        <v/>
      </c>
    </row>
    <row r="48" spans="3:10">
      <c r="C48" t="s">
        <v>44</v>
      </c>
      <c r="D48" s="2">
        <v>-8.1073460712023197E-3</v>
      </c>
      <c r="E48" s="2">
        <v>-4.22988106583366E-2</v>
      </c>
      <c r="F48" s="2">
        <v>2.6084118515931998E-2</v>
      </c>
      <c r="G48" s="2">
        <v>1.7444624789354199E-2</v>
      </c>
      <c r="H48" s="2">
        <v>-0.46474751788011598</v>
      </c>
      <c r="I48" s="2">
        <v>0.64248272018890096</v>
      </c>
      <c r="J48" s="17" t="str" cm="1">
        <f t="array" ref="J48">_xlfn.IFS(I48&lt;0.01,"**",I48&lt;0.05,"*",TRUE,"")</f>
        <v/>
      </c>
    </row>
    <row r="50" spans="3:10">
      <c r="C50" t="s">
        <v>51</v>
      </c>
      <c r="D50" s="2" t="s">
        <v>52</v>
      </c>
      <c r="E50" s="2" t="s">
        <v>55</v>
      </c>
      <c r="F50" s="2" t="s">
        <v>56</v>
      </c>
      <c r="G50" s="2" t="s">
        <v>53</v>
      </c>
      <c r="H50" s="2" t="s">
        <v>54</v>
      </c>
      <c r="I50" s="2" t="s">
        <v>20</v>
      </c>
    </row>
    <row r="51" spans="3:10">
      <c r="C51" t="s">
        <v>57</v>
      </c>
      <c r="D51" s="2">
        <v>0.43967527919456001</v>
      </c>
      <c r="E51" s="2">
        <v>0.30280855477264101</v>
      </c>
      <c r="F51" s="2">
        <v>0.576542003616478</v>
      </c>
      <c r="G51" s="2">
        <v>6.9829961439754396E-2</v>
      </c>
      <c r="H51" s="2">
        <v>6.2963700699432401</v>
      </c>
      <c r="I51" s="2">
        <v>1.2118144126302501E-9</v>
      </c>
      <c r="J51" s="17" t="str" cm="1">
        <f t="array" ref="J51">_xlfn.IFS(I51&lt;0.01,"**",I51&lt;0.05,"*",TRUE,"")</f>
        <v>**</v>
      </c>
    </row>
    <row r="52" spans="3:10">
      <c r="C52" t="s">
        <v>42</v>
      </c>
      <c r="D52" s="2">
        <v>4.6380604740712698E-4</v>
      </c>
      <c r="E52" s="2">
        <v>1.3580787413933399E-4</v>
      </c>
      <c r="F52" s="2">
        <v>7.91804220674919E-4</v>
      </c>
      <c r="G52" s="2">
        <v>1.6734600676928199E-4</v>
      </c>
      <c r="H52" s="2">
        <v>2.7715393773726</v>
      </c>
      <c r="I52" s="2">
        <v>5.9627688817906399E-3</v>
      </c>
      <c r="J52" s="17" t="str" cm="1">
        <f t="array" ref="J52">_xlfn.IFS(I52&lt;0.01,"**",I52&lt;0.05,"*",TRUE,"")</f>
        <v>**</v>
      </c>
    </row>
    <row r="53" spans="3:10">
      <c r="C53" t="s">
        <v>43</v>
      </c>
      <c r="D53" s="2">
        <v>-3.2754678915150799E-3</v>
      </c>
      <c r="E53" s="2">
        <v>-6.3489600927356098E-3</v>
      </c>
      <c r="F53" s="2">
        <v>-2.01975690294561E-4</v>
      </c>
      <c r="G53" s="2">
        <v>1.5681082659288401E-3</v>
      </c>
      <c r="H53" s="2">
        <v>-2.0888021335535298</v>
      </c>
      <c r="I53" s="2">
        <v>3.7651744782838503E-2</v>
      </c>
      <c r="J53" s="17" t="str" cm="1">
        <f t="array" ref="J53">_xlfn.IFS(I53&lt;0.01,"**",I53&lt;0.05,"*",TRUE,"")</f>
        <v>*</v>
      </c>
    </row>
    <row r="54" spans="3:10">
      <c r="C54" t="s">
        <v>46</v>
      </c>
      <c r="D54" s="2">
        <v>2.4128137091198698E-3</v>
      </c>
      <c r="E54" s="2">
        <v>-5.1763549184184895E-4</v>
      </c>
      <c r="F54" s="2">
        <v>5.3432629100816E-3</v>
      </c>
      <c r="G54" s="2">
        <v>1.4951271433478199E-3</v>
      </c>
      <c r="H54" s="2">
        <v>1.6137849679574501</v>
      </c>
      <c r="I54" s="2">
        <v>0.107729315518137</v>
      </c>
      <c r="J54" s="17" t="str" cm="1">
        <f t="array" ref="J54">_xlfn.IFS(I54&lt;0.01,"**",I54&lt;0.05,"*",TRUE,"")</f>
        <v/>
      </c>
    </row>
    <row r="55" spans="3:10">
      <c r="C55" t="s">
        <v>40</v>
      </c>
      <c r="D55" s="2">
        <v>-1.570786057013E-3</v>
      </c>
      <c r="E55" s="2">
        <v>-2.6822375149272702E-3</v>
      </c>
      <c r="F55" s="2">
        <v>-4.5933459909873898E-4</v>
      </c>
      <c r="G55" s="2">
        <v>5.6706707036442E-4</v>
      </c>
      <c r="H55" s="2">
        <v>-2.7700181144420002</v>
      </c>
      <c r="I55" s="2">
        <v>5.9899113195508603E-3</v>
      </c>
      <c r="J55" s="17" t="str" cm="1">
        <f t="array" ref="J55">_xlfn.IFS(I55&lt;0.01,"**",I55&lt;0.05,"*",TRUE,"")</f>
        <v>**</v>
      </c>
    </row>
    <row r="56" spans="3:10">
      <c r="C56" t="s">
        <v>45</v>
      </c>
      <c r="D56" s="2">
        <v>1.0793186804713599E-3</v>
      </c>
      <c r="E56" s="2">
        <v>-1.53924288385332E-5</v>
      </c>
      <c r="F56" s="2">
        <v>2.17402978978125E-3</v>
      </c>
      <c r="G56" s="2">
        <v>5.5852607617851505E-4</v>
      </c>
      <c r="H56" s="2">
        <v>1.9324409844140999</v>
      </c>
      <c r="I56" s="2">
        <v>5.4339507579765203E-2</v>
      </c>
      <c r="J56" s="17" t="str" cm="1">
        <f t="array" ref="J56">_xlfn.IFS(I56&lt;0.01,"**",I56&lt;0.05,"*",TRUE,"")</f>
        <v/>
      </c>
    </row>
    <row r="57" spans="3:10">
      <c r="C57" t="s">
        <v>41</v>
      </c>
      <c r="D57" s="2">
        <v>-8.4092147631348296E-3</v>
      </c>
      <c r="E57" s="2">
        <v>-1.1516956760418799E-2</v>
      </c>
      <c r="F57" s="2">
        <v>-5.3014727658508504E-3</v>
      </c>
      <c r="G57" s="2">
        <v>1.5855826516754999E-3</v>
      </c>
      <c r="H57" s="2">
        <v>-5.3035486697894498</v>
      </c>
      <c r="I57" s="2">
        <v>2.34876926293581E-7</v>
      </c>
      <c r="J57" s="17" t="str" cm="1">
        <f t="array" ref="J57">_xlfn.IFS(I57&lt;0.01,"**",I57&lt;0.05,"*",TRUE,"")</f>
        <v>**</v>
      </c>
    </row>
    <row r="58" spans="3:10">
      <c r="C58" t="s">
        <v>39</v>
      </c>
      <c r="D58" s="2">
        <v>-3.8504951762743998E-4</v>
      </c>
      <c r="E58" s="2">
        <v>-2.1219221844406598E-3</v>
      </c>
      <c r="F58" s="2">
        <v>1.3518231491857801E-3</v>
      </c>
      <c r="G58" s="2">
        <v>8.8615952388429496E-4</v>
      </c>
      <c r="H58" s="2">
        <v>-0.43451490081566302</v>
      </c>
      <c r="I58" s="2">
        <v>0.66425781866049705</v>
      </c>
      <c r="J58" s="17" t="str" cm="1">
        <f t="array" ref="J58">_xlfn.IFS(I58&lt;0.01,"**",I58&lt;0.05,"*",TRUE,"")</f>
        <v/>
      </c>
    </row>
    <row r="59" spans="3:10">
      <c r="C59" t="s">
        <v>44</v>
      </c>
      <c r="D59" s="2">
        <v>-1.15513181721129E-3</v>
      </c>
      <c r="E59" s="2">
        <v>-2.9267818078953598E-3</v>
      </c>
      <c r="F59" s="2">
        <v>6.1651817347278196E-4</v>
      </c>
      <c r="G59" s="2">
        <v>9.0390305647146602E-4</v>
      </c>
      <c r="H59" s="2">
        <v>-1.2779377267740799</v>
      </c>
      <c r="I59" s="2">
        <v>0.20235692852481699</v>
      </c>
      <c r="J59" s="17" t="str" cm="1">
        <f t="array" ref="J59">_xlfn.IFS(I59&lt;0.01,"**",I59&lt;0.05,"*",TRUE,"")</f>
        <v/>
      </c>
    </row>
    <row r="62" spans="3:10">
      <c r="C62" t="s">
        <v>51</v>
      </c>
      <c r="D62" s="2" t="s">
        <v>52</v>
      </c>
      <c r="E62" s="2" t="s">
        <v>55</v>
      </c>
      <c r="F62" s="2" t="s">
        <v>56</v>
      </c>
      <c r="G62" s="2" t="s">
        <v>53</v>
      </c>
      <c r="H62" s="2" t="s">
        <v>54</v>
      </c>
      <c r="I62" s="2" t="s">
        <v>20</v>
      </c>
    </row>
    <row r="63" spans="3:10">
      <c r="C63" t="s">
        <v>57</v>
      </c>
      <c r="D63" s="2">
        <v>0.33400051671087</v>
      </c>
      <c r="E63" s="2">
        <v>0.23490416728360899</v>
      </c>
      <c r="F63" s="2">
        <v>0.43309686613813098</v>
      </c>
      <c r="G63" s="2">
        <v>5.0559361952684199E-2</v>
      </c>
      <c r="H63" s="2">
        <v>6.60610624444673</v>
      </c>
      <c r="I63" s="2">
        <v>1.6260820026724201E-10</v>
      </c>
      <c r="J63" s="17" t="str" cm="1">
        <f t="array" ref="J63">_xlfn.IFS(I63&lt;0.01,"**",I63&lt;0.05,"*",TRUE,"")</f>
        <v>**</v>
      </c>
    </row>
    <row r="64" spans="3:10">
      <c r="C64" t="s">
        <v>31</v>
      </c>
      <c r="D64" s="2">
        <v>-1.2698255415374499E-3</v>
      </c>
      <c r="E64" s="2">
        <v>-1.7863933386844701E-3</v>
      </c>
      <c r="F64" s="2">
        <v>-7.5325774439043895E-4</v>
      </c>
      <c r="G64" s="2">
        <v>2.6355499854439403E-4</v>
      </c>
      <c r="H64" s="2">
        <v>-4.8180666219599599</v>
      </c>
      <c r="I64" s="2">
        <v>2.23337085753757E-6</v>
      </c>
      <c r="J64" s="17" t="str" cm="1">
        <f t="array" ref="J64">_xlfn.IFS(I64&lt;0.01,"**",I64&lt;0.05,"*",TRUE,"")</f>
        <v>**</v>
      </c>
    </row>
    <row r="65" spans="3:10">
      <c r="C65" t="s">
        <v>32</v>
      </c>
      <c r="D65" s="2">
        <v>-7.2913229357940998E-4</v>
      </c>
      <c r="E65" s="2">
        <v>-1.2241664240559E-3</v>
      </c>
      <c r="F65" s="2">
        <v>-2.3409816310292501E-4</v>
      </c>
      <c r="G65" s="2">
        <v>2.52568433916574E-4</v>
      </c>
      <c r="H65" s="2">
        <v>-2.8868702326445499</v>
      </c>
      <c r="I65" s="2">
        <v>4.1531395175148401E-3</v>
      </c>
      <c r="J65" s="17" t="str" cm="1">
        <f t="array" ref="J65">_xlfn.IFS(I65&lt;0.01,"**",I65&lt;0.05,"*",TRUE,"")</f>
        <v>**</v>
      </c>
    </row>
    <row r="66" spans="3:10">
      <c r="C66" t="s">
        <v>33</v>
      </c>
      <c r="D66" s="2">
        <v>-6.4390702323423596E-3</v>
      </c>
      <c r="E66" s="2">
        <v>-8.7793062549096496E-3</v>
      </c>
      <c r="F66" s="2">
        <v>-4.0988342097750896E-3</v>
      </c>
      <c r="G66" s="2">
        <v>1.19399797069759E-3</v>
      </c>
      <c r="H66" s="2">
        <v>-5.3928653066138397</v>
      </c>
      <c r="I66" s="2">
        <v>1.34209788099977E-7</v>
      </c>
      <c r="J66" s="17" t="str" cm="1">
        <f t="array" ref="J66">_xlfn.IFS(I66&lt;0.01,"**",I66&lt;0.05,"*",TRUE,"")</f>
        <v>**</v>
      </c>
    </row>
    <row r="67" spans="3:10">
      <c r="C67" t="s">
        <v>34</v>
      </c>
      <c r="D67" s="2">
        <v>4.1051415315290399E-4</v>
      </c>
      <c r="E67" s="2">
        <v>1.07993884188505E-4</v>
      </c>
      <c r="F67" s="2">
        <v>7.1303442211730203E-4</v>
      </c>
      <c r="G67" s="2">
        <v>1.5434707600224401E-4</v>
      </c>
      <c r="H67" s="2">
        <v>2.6596820865394002</v>
      </c>
      <c r="I67" s="2">
        <v>8.2115060215445807E-3</v>
      </c>
      <c r="J67" s="17" t="str" cm="1">
        <f t="array" ref="J67">_xlfn.IFS(I67&lt;0.01,"**",I67&lt;0.05,"*",TRUE,"")</f>
        <v>**</v>
      </c>
    </row>
    <row r="68" spans="3:10">
      <c r="C68" t="s">
        <v>35</v>
      </c>
      <c r="D68" s="2">
        <v>-5.5836615790916797E-4</v>
      </c>
      <c r="E68" s="2">
        <v>-1.32017707349428E-3</v>
      </c>
      <c r="F68" s="2">
        <v>2.03444757675939E-4</v>
      </c>
      <c r="G68" s="2">
        <v>3.8867903856382998E-4</v>
      </c>
      <c r="H68" s="2">
        <v>-1.4365738887600701</v>
      </c>
      <c r="I68" s="2">
        <v>0.15180697173493199</v>
      </c>
      <c r="J68" s="17" t="str" cm="1">
        <f t="array" ref="J68">_xlfn.IFS(I68&lt;0.01,"**",I68&lt;0.05,"*",TRUE,"")</f>
        <v/>
      </c>
    </row>
    <row r="71" spans="3:10">
      <c r="C71" t="s">
        <v>51</v>
      </c>
      <c r="D71" s="2" t="s">
        <v>52</v>
      </c>
      <c r="E71" s="2" t="s">
        <v>55</v>
      </c>
      <c r="F71" s="2" t="s">
        <v>56</v>
      </c>
      <c r="G71" s="2" t="s">
        <v>53</v>
      </c>
      <c r="H71" s="2" t="s">
        <v>54</v>
      </c>
      <c r="I71" s="2" t="s">
        <v>20</v>
      </c>
    </row>
    <row r="72" spans="3:10">
      <c r="C72" t="s">
        <v>57</v>
      </c>
      <c r="D72" s="2">
        <v>2.6728570366953299</v>
      </c>
      <c r="E72" s="2">
        <v>0.63910746714201805</v>
      </c>
      <c r="F72" s="2">
        <v>4.7066066062486396</v>
      </c>
      <c r="G72" s="2">
        <v>1.0376273314047499</v>
      </c>
      <c r="H72" s="2">
        <v>2.5759316045355001</v>
      </c>
      <c r="I72" s="2">
        <v>1.0441104655277899E-2</v>
      </c>
      <c r="J72" s="17" t="str" cm="1">
        <f t="array" ref="J72">_xlfn.IFS(I72&lt;0.01,"**",I72&lt;0.05,"*",TRUE,"")</f>
        <v>*</v>
      </c>
    </row>
    <row r="73" spans="3:10">
      <c r="C73" t="s">
        <v>31</v>
      </c>
      <c r="D73" s="2">
        <v>-1.6491289170749001E-2</v>
      </c>
      <c r="E73" s="2">
        <v>-2.70927849994523E-2</v>
      </c>
      <c r="F73" s="2">
        <v>-5.8897933420455897E-3</v>
      </c>
      <c r="G73" s="2">
        <v>5.408926443216E-3</v>
      </c>
      <c r="H73" s="2">
        <v>-3.0489024659288302</v>
      </c>
      <c r="I73" s="2">
        <v>2.4866210446199402E-3</v>
      </c>
      <c r="J73" s="17" t="str" cm="1">
        <f t="array" ref="J73">_xlfn.IFS(I73&lt;0.01,"**",I73&lt;0.05,"*",TRUE,"")</f>
        <v>**</v>
      </c>
    </row>
    <row r="74" spans="3:10">
      <c r="C74" t="s">
        <v>32</v>
      </c>
      <c r="D74" s="2">
        <v>4.4949729346224397E-2</v>
      </c>
      <c r="E74" s="2">
        <v>3.4790167913441798E-2</v>
      </c>
      <c r="F74" s="2">
        <v>5.5109290779007003E-2</v>
      </c>
      <c r="G74" s="2">
        <v>5.1834497106033701E-3</v>
      </c>
      <c r="H74" s="2">
        <v>8.6717788067422195</v>
      </c>
      <c r="I74" s="2">
        <v>2.10514220310085E-16</v>
      </c>
      <c r="J74" s="17" t="str" cm="1">
        <f t="array" ref="J74">_xlfn.IFS(I74&lt;0.01,"**",I74&lt;0.05,"*",TRUE,"")</f>
        <v>**</v>
      </c>
    </row>
    <row r="75" spans="3:10">
      <c r="C75" t="s">
        <v>33</v>
      </c>
      <c r="D75" s="2">
        <v>1.6231496939724199E-2</v>
      </c>
      <c r="E75" s="2">
        <v>-3.1797053365682303E-2</v>
      </c>
      <c r="F75" s="2">
        <v>6.4260047245130805E-2</v>
      </c>
      <c r="G75" s="2">
        <v>2.45043624007176E-2</v>
      </c>
      <c r="H75" s="2">
        <v>0.662392135501917</v>
      </c>
      <c r="I75" s="2">
        <v>0.50819228885019896</v>
      </c>
      <c r="J75" s="17" t="str" cm="1">
        <f t="array" ref="J75">_xlfn.IFS(I75&lt;0.01,"**",I75&lt;0.05,"*",TRUE,"")</f>
        <v/>
      </c>
    </row>
    <row r="76" spans="3:10">
      <c r="C76" t="s">
        <v>34</v>
      </c>
      <c r="D76" s="2">
        <v>-6.9469461905561697E-3</v>
      </c>
      <c r="E76" s="2">
        <v>-1.31555549873828E-2</v>
      </c>
      <c r="F76" s="2">
        <v>-7.3833739372955096E-4</v>
      </c>
      <c r="G76" s="2">
        <v>3.1676575494013299E-3</v>
      </c>
      <c r="H76" s="2">
        <v>-2.19308624187267</v>
      </c>
      <c r="I76" s="2">
        <v>2.9013799474265099E-2</v>
      </c>
      <c r="J76" s="17" t="str" cm="1">
        <f t="array" ref="J76">_xlfn.IFS(I76&lt;0.01,"**",I76&lt;0.05,"*",TRUE,"")</f>
        <v>*</v>
      </c>
    </row>
    <row r="77" spans="3:10">
      <c r="C77" t="s">
        <v>35</v>
      </c>
      <c r="D77" s="2">
        <v>3.2772474822115399E-2</v>
      </c>
      <c r="E77" s="2">
        <v>1.7137866376831901E-2</v>
      </c>
      <c r="F77" s="2">
        <v>4.8407083267399002E-2</v>
      </c>
      <c r="G77" s="2">
        <v>7.9768410435120101E-3</v>
      </c>
      <c r="H77" s="2">
        <v>4.1084527876822898</v>
      </c>
      <c r="I77" s="2">
        <v>5.0538909090117498E-5</v>
      </c>
      <c r="J77" s="17" t="str" cm="1">
        <f t="array" ref="J77">_xlfn.IFS(I77&lt;0.01,"**",I77&lt;0.05,"*",TRUE,"")</f>
        <v>**</v>
      </c>
    </row>
    <row r="80" spans="3:10">
      <c r="C80" t="s">
        <v>51</v>
      </c>
      <c r="D80" s="2" t="s">
        <v>52</v>
      </c>
      <c r="E80" s="2" t="s">
        <v>55</v>
      </c>
      <c r="F80" s="2" t="s">
        <v>56</v>
      </c>
      <c r="G80" s="2" t="s">
        <v>53</v>
      </c>
      <c r="H80" s="2" t="s">
        <v>54</v>
      </c>
      <c r="I80" s="2" t="s">
        <v>20</v>
      </c>
    </row>
    <row r="81" spans="3:10">
      <c r="C81" t="s">
        <v>57</v>
      </c>
      <c r="D81" s="2">
        <v>0.33400051671087</v>
      </c>
      <c r="E81" s="2">
        <v>0.23490416728360899</v>
      </c>
      <c r="F81" s="2">
        <v>0.43309686613813098</v>
      </c>
      <c r="G81" s="2">
        <v>5.0559361952684199E-2</v>
      </c>
      <c r="H81" s="2">
        <v>6.60610624444673</v>
      </c>
      <c r="I81" s="2">
        <v>1.6260820026724201E-10</v>
      </c>
      <c r="J81" s="17" t="str" cm="1">
        <f t="array" ref="J81">_xlfn.IFS(I81&lt;0.01,"**",I81&lt;0.05,"*",TRUE,"")</f>
        <v>**</v>
      </c>
    </row>
    <row r="82" spans="3:10">
      <c r="C82" t="s">
        <v>31</v>
      </c>
      <c r="D82" s="2">
        <v>-1.2698255415374499E-3</v>
      </c>
      <c r="E82" s="2">
        <v>-1.7863933386844701E-3</v>
      </c>
      <c r="F82" s="2">
        <v>-7.5325774439043895E-4</v>
      </c>
      <c r="G82" s="2">
        <v>2.6355499854439403E-4</v>
      </c>
      <c r="H82" s="2">
        <v>-4.8180666219599599</v>
      </c>
      <c r="I82" s="2">
        <v>2.23337085753757E-6</v>
      </c>
      <c r="J82" s="17" t="str" cm="1">
        <f t="array" ref="J82">_xlfn.IFS(I82&lt;0.01,"**",I82&lt;0.05,"*",TRUE,"")</f>
        <v>**</v>
      </c>
    </row>
    <row r="83" spans="3:10">
      <c r="C83" t="s">
        <v>32</v>
      </c>
      <c r="D83" s="2">
        <v>-7.2913229357940998E-4</v>
      </c>
      <c r="E83" s="2">
        <v>-1.2241664240559E-3</v>
      </c>
      <c r="F83" s="2">
        <v>-2.3409816310292501E-4</v>
      </c>
      <c r="G83" s="2">
        <v>2.52568433916574E-4</v>
      </c>
      <c r="H83" s="2">
        <v>-2.8868702326445499</v>
      </c>
      <c r="I83" s="2">
        <v>4.1531395175148401E-3</v>
      </c>
      <c r="J83" s="17" t="str" cm="1">
        <f t="array" ref="J83">_xlfn.IFS(I83&lt;0.01,"**",I83&lt;0.05,"*",TRUE,"")</f>
        <v>**</v>
      </c>
    </row>
    <row r="84" spans="3:10">
      <c r="C84" t="s">
        <v>33</v>
      </c>
      <c r="D84" s="2">
        <v>-6.4390702323423596E-3</v>
      </c>
      <c r="E84" s="2">
        <v>-8.7793062549096496E-3</v>
      </c>
      <c r="F84" s="2">
        <v>-4.0988342097750896E-3</v>
      </c>
      <c r="G84" s="2">
        <v>1.19399797069759E-3</v>
      </c>
      <c r="H84" s="2">
        <v>-5.3928653066138397</v>
      </c>
      <c r="I84" s="2">
        <v>1.34209788099977E-7</v>
      </c>
      <c r="J84" s="17" t="str" cm="1">
        <f t="array" ref="J84">_xlfn.IFS(I84&lt;0.01,"**",I84&lt;0.05,"*",TRUE,"")</f>
        <v>**</v>
      </c>
    </row>
    <row r="85" spans="3:10">
      <c r="C85" t="s">
        <v>34</v>
      </c>
      <c r="D85" s="2">
        <v>4.1051415315290399E-4</v>
      </c>
      <c r="E85" s="2">
        <v>1.07993884188505E-4</v>
      </c>
      <c r="F85" s="2">
        <v>7.1303442211730203E-4</v>
      </c>
      <c r="G85" s="2">
        <v>1.5434707600224401E-4</v>
      </c>
      <c r="H85" s="2">
        <v>2.6596820865394002</v>
      </c>
      <c r="I85" s="2">
        <v>8.2115060215445807E-3</v>
      </c>
      <c r="J85" s="17" t="str" cm="1">
        <f t="array" ref="J85">_xlfn.IFS(I85&lt;0.01,"**",I85&lt;0.05,"*",TRUE,"")</f>
        <v>**</v>
      </c>
    </row>
    <row r="86" spans="3:10">
      <c r="C86" t="s">
        <v>35</v>
      </c>
      <c r="D86" s="2">
        <v>-5.5836615790916797E-4</v>
      </c>
      <c r="E86" s="2">
        <v>-1.32017707349428E-3</v>
      </c>
      <c r="F86" s="2">
        <v>2.03444757675939E-4</v>
      </c>
      <c r="G86" s="2">
        <v>3.8867903856382998E-4</v>
      </c>
      <c r="H86" s="2">
        <v>-1.4365738887600701</v>
      </c>
      <c r="I86" s="2">
        <v>0.15180697173493199</v>
      </c>
      <c r="J86" s="17" t="str" cm="1">
        <f t="array" ref="J86">_xlfn.IFS(I86&lt;0.01,"**",I86&lt;0.05,"*",TRUE,"")</f>
        <v/>
      </c>
    </row>
  </sheetData>
  <phoneticPr fontId="2"/>
  <hyperlinks>
    <hyperlink ref="A2" r:id="rId1" xr:uid="{8C8C7D62-143A-46B6-B907-BF37851C6E2F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5117FE-0D6B-46C5-BFF9-467D14C53C1A}"/>
</file>

<file path=customXml/itemProps2.xml><?xml version="1.0" encoding="utf-8"?>
<ds:datastoreItem xmlns:ds="http://schemas.openxmlformats.org/officeDocument/2006/customXml" ds:itemID="{616BDE85-6D24-4034-96B5-E548FBCD1222}"/>
</file>

<file path=customXml/itemProps3.xml><?xml version="1.0" encoding="utf-8"?>
<ds:datastoreItem xmlns:ds="http://schemas.openxmlformats.org/officeDocument/2006/customXml" ds:itemID="{BE7411CB-207F-4B1C-81DD-A9E08B0375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さん ただきち</dc:creator>
  <cp:keywords/>
  <dc:description/>
  <cp:lastModifiedBy>直江　孝之</cp:lastModifiedBy>
  <cp:revision/>
  <dcterms:created xsi:type="dcterms:W3CDTF">2026-05-31T00:09:28Z</dcterms:created>
  <dcterms:modified xsi:type="dcterms:W3CDTF">2026-06-07T09:53:57Z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