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https://msccnagasakiuac.sharepoint.com/sites/0281b70b1817126d45fc5e95ede8ae48/Shared Documents/05_データ分析で挑戦！「長崎県民の手取りを増やす」健康プロジェクト/健康経営法人割合 対 諸病休暇日数/"/>
    </mc:Choice>
  </mc:AlternateContent>
  <xr:revisionPtr revIDLastSave="7" documentId="13_ncr:1_{3B57C3DC-6DE6-4570-8A37-A7DC7C1298B7}" xr6:coauthVersionLast="47" xr6:coauthVersionMax="47" xr10:uidLastSave="{44CB821E-875A-408E-91EF-FD12D2328DAC}"/>
  <bookViews>
    <workbookView xWindow="-108" yWindow="-108" windowWidth="46296" windowHeight="25416" firstSheet="3" activeTab="3" xr2:uid="{00000000-000D-0000-FFFF-FFFF00000000}"/>
  </bookViews>
  <sheets>
    <sheet name="2023年法人数" sheetId="7" r:id="rId1"/>
    <sheet name="2023年度健康経営法人" sheetId="3" r:id="rId2"/>
    <sheet name="2023年度協会けんぽ傷病手当金" sheetId="9" r:id="rId3"/>
    <sheet name="健康経営法人割合 対 傷病休暇日数" sheetId="1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0" l="1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H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</calcChain>
</file>

<file path=xl/sharedStrings.xml><?xml version="1.0" encoding="utf-8"?>
<sst xmlns="http://schemas.openxmlformats.org/spreadsheetml/2006/main" count="209" uniqueCount="154">
  <si>
    <t>年度</t>
    <rPh sb="0" eb="2">
      <t>ネンド</t>
    </rPh>
    <phoneticPr fontId="3"/>
  </si>
  <si>
    <t>都道府県</t>
    <rPh sb="0" eb="4">
      <t>トドウフケン</t>
    </rPh>
    <phoneticPr fontId="3"/>
  </si>
  <si>
    <t>申告法人数</t>
    <rPh sb="0" eb="5">
      <t>シンコクホウジンスウ</t>
    </rPh>
    <phoneticPr fontId="3"/>
  </si>
  <si>
    <t>愛知</t>
  </si>
  <si>
    <t>愛媛</t>
  </si>
  <si>
    <t>茨城</t>
  </si>
  <si>
    <t>岡山</t>
  </si>
  <si>
    <t>沖縄</t>
  </si>
  <si>
    <t>岩手</t>
  </si>
  <si>
    <t>岐阜</t>
  </si>
  <si>
    <t>宮崎</t>
  </si>
  <si>
    <t>宮城</t>
  </si>
  <si>
    <t>京都</t>
  </si>
  <si>
    <t>熊本</t>
  </si>
  <si>
    <t>群馬</t>
  </si>
  <si>
    <t>広島</t>
  </si>
  <si>
    <t>香川</t>
  </si>
  <si>
    <t>高知</t>
  </si>
  <si>
    <t>佐賀</t>
  </si>
  <si>
    <t>埼玉</t>
  </si>
  <si>
    <t>三重</t>
  </si>
  <si>
    <t>山形</t>
  </si>
  <si>
    <t>山口</t>
  </si>
  <si>
    <t>山梨</t>
  </si>
  <si>
    <t>滋賀</t>
  </si>
  <si>
    <t>鹿児島</t>
  </si>
  <si>
    <t>秋田</t>
  </si>
  <si>
    <t>新潟</t>
  </si>
  <si>
    <t>神奈川</t>
  </si>
  <si>
    <t>青森</t>
  </si>
  <si>
    <t>静岡</t>
  </si>
  <si>
    <t>石川</t>
  </si>
  <si>
    <t>千葉</t>
  </si>
  <si>
    <t>大阪</t>
  </si>
  <si>
    <t>大分</t>
  </si>
  <si>
    <t>長崎</t>
  </si>
  <si>
    <t>長野</t>
  </si>
  <si>
    <t>鳥取</t>
  </si>
  <si>
    <t>島根</t>
  </si>
  <si>
    <t>東京</t>
  </si>
  <si>
    <t>徳島</t>
  </si>
  <si>
    <t>栃木</t>
  </si>
  <si>
    <t>奈良</t>
  </si>
  <si>
    <t>富山</t>
  </si>
  <si>
    <t>福井</t>
  </si>
  <si>
    <t>福岡</t>
  </si>
  <si>
    <t>福島</t>
  </si>
  <si>
    <t>兵庫</t>
  </si>
  <si>
    <t>北海道</t>
  </si>
  <si>
    <t>和歌山</t>
  </si>
  <si>
    <t>健康経営法人</t>
    <rPh sb="0" eb="6">
      <t>ケンコウケイエイホウジン</t>
    </rPh>
    <phoneticPr fontId="3"/>
  </si>
  <si>
    <t>健康経営法人割合</t>
    <rPh sb="0" eb="4">
      <t>ケンコウケイエイ</t>
    </rPh>
    <rPh sb="4" eb="6">
      <t>ホウジン</t>
    </rPh>
    <rPh sb="6" eb="8">
      <t>ワリアイ</t>
    </rPh>
    <phoneticPr fontId="3"/>
  </si>
  <si>
    <t>愛知県</t>
  </si>
  <si>
    <t>愛媛県</t>
  </si>
  <si>
    <t>茨城県</t>
  </si>
  <si>
    <t>岡山県</t>
  </si>
  <si>
    <t>沖縄県</t>
  </si>
  <si>
    <t>岩手県</t>
  </si>
  <si>
    <t>岐阜県</t>
  </si>
  <si>
    <t>宮崎県</t>
  </si>
  <si>
    <t>宮城県</t>
  </si>
  <si>
    <t>京都府</t>
  </si>
  <si>
    <t>熊本県</t>
  </si>
  <si>
    <t>群馬県</t>
  </si>
  <si>
    <t>広島県</t>
  </si>
  <si>
    <t>香川県</t>
  </si>
  <si>
    <t>高知県</t>
  </si>
  <si>
    <t>佐賀県</t>
  </si>
  <si>
    <t>埼玉県</t>
  </si>
  <si>
    <t>三重県</t>
  </si>
  <si>
    <t>山形県</t>
  </si>
  <si>
    <t>山口県</t>
  </si>
  <si>
    <t>山梨県</t>
  </si>
  <si>
    <t>滋賀県</t>
  </si>
  <si>
    <t>鹿児島県</t>
  </si>
  <si>
    <t>秋田県</t>
  </si>
  <si>
    <t>新潟県</t>
  </si>
  <si>
    <t>神奈川県</t>
  </si>
  <si>
    <t>青森県</t>
  </si>
  <si>
    <t>静岡県</t>
  </si>
  <si>
    <t>石川県</t>
  </si>
  <si>
    <t>千葉県</t>
  </si>
  <si>
    <t>大阪府</t>
  </si>
  <si>
    <t>大分県</t>
  </si>
  <si>
    <t>長崎県</t>
  </si>
  <si>
    <t>長野県</t>
  </si>
  <si>
    <t>鳥取県</t>
  </si>
  <si>
    <t>島根県</t>
  </si>
  <si>
    <t>東京都</t>
  </si>
  <si>
    <t>徳島県</t>
  </si>
  <si>
    <t>栃木県</t>
  </si>
  <si>
    <t>奈良県</t>
  </si>
  <si>
    <t>富山県</t>
  </si>
  <si>
    <t>福井県</t>
  </si>
  <si>
    <t>福岡県</t>
  </si>
  <si>
    <t>福島県</t>
  </si>
  <si>
    <t>兵庫県</t>
  </si>
  <si>
    <t>和歌山県</t>
  </si>
  <si>
    <t>千人当たり
件数(１ヶ月
当たり)</t>
    <rPh sb="0" eb="2">
      <t>センニン</t>
    </rPh>
    <rPh sb="2" eb="3">
      <t>ア</t>
    </rPh>
    <rPh sb="6" eb="8">
      <t>ケンスウ</t>
    </rPh>
    <rPh sb="11" eb="12">
      <t>ゲツ</t>
    </rPh>
    <rPh sb="13" eb="14">
      <t>ア</t>
    </rPh>
    <phoneticPr fontId="3"/>
  </si>
  <si>
    <t>1件当たり
日数（日）</t>
    <rPh sb="1" eb="2">
      <t>ケン</t>
    </rPh>
    <rPh sb="2" eb="3">
      <t>ア</t>
    </rPh>
    <rPh sb="6" eb="8">
      <t>ニッスウ</t>
    </rPh>
    <rPh sb="9" eb="10">
      <t>ニチ</t>
    </rPh>
    <phoneticPr fontId="3"/>
  </si>
  <si>
    <t>1件当たり
金額（円）</t>
    <rPh sb="1" eb="2">
      <t>ケン</t>
    </rPh>
    <rPh sb="2" eb="3">
      <t>ア</t>
    </rPh>
    <rPh sb="6" eb="8">
      <t>キンガク</t>
    </rPh>
    <rPh sb="9" eb="10">
      <t>エン</t>
    </rPh>
    <phoneticPr fontId="3"/>
  </si>
  <si>
    <t>平均支給
期間（日）</t>
    <rPh sb="0" eb="2">
      <t>ヘイキン</t>
    </rPh>
    <rPh sb="2" eb="4">
      <t>シキュウ</t>
    </rPh>
    <rPh sb="5" eb="7">
      <t>キカン</t>
    </rPh>
    <rPh sb="8" eb="9">
      <t>ニチ</t>
    </rPh>
    <phoneticPr fontId="3"/>
  </si>
  <si>
    <t>資格喪失後継続給付分の割合(%)</t>
  </si>
  <si>
    <t>年間の一人当たり傷病休暇件数</t>
    <rPh sb="0" eb="2">
      <t>ネンカン</t>
    </rPh>
    <rPh sb="3" eb="6">
      <t>ヒトリア</t>
    </rPh>
    <rPh sb="8" eb="10">
      <t>ショウビョウ</t>
    </rPh>
    <rPh sb="10" eb="12">
      <t>キュウカ</t>
    </rPh>
    <rPh sb="12" eb="14">
      <t>ケンスウ</t>
    </rPh>
    <phoneticPr fontId="3"/>
  </si>
  <si>
    <t>年間の一人当たり傷病休暇日数</t>
    <rPh sb="0" eb="2">
      <t>ネンカン</t>
    </rPh>
    <rPh sb="3" eb="6">
      <t>ヒトリア</t>
    </rPh>
    <rPh sb="8" eb="10">
      <t>ショウビョウ</t>
    </rPh>
    <rPh sb="10" eb="12">
      <t>キュウカ</t>
    </rPh>
    <rPh sb="12" eb="14">
      <t>ニッスウ</t>
    </rPh>
    <phoneticPr fontId="3"/>
  </si>
  <si>
    <t>年間の一人当たり傷病休暇給付金額</t>
    <rPh sb="0" eb="2">
      <t>ネンカン</t>
    </rPh>
    <rPh sb="3" eb="6">
      <t>ヒトリア</t>
    </rPh>
    <rPh sb="8" eb="10">
      <t>ショウビョウ</t>
    </rPh>
    <rPh sb="10" eb="12">
      <t>キュウカ</t>
    </rPh>
    <rPh sb="12" eb="14">
      <t>キュウフ</t>
    </rPh>
    <rPh sb="14" eb="16">
      <t>キンガク</t>
    </rPh>
    <phoneticPr fontId="3"/>
  </si>
  <si>
    <t>愛知</t>
    <rPh sb="0" eb="2">
      <t>アイチ</t>
    </rPh>
    <phoneticPr fontId="2"/>
  </si>
  <si>
    <t>青森</t>
    <rPh sb="0" eb="2">
      <t>アオモリ</t>
    </rPh>
    <phoneticPr fontId="2"/>
  </si>
  <si>
    <t>秋田</t>
    <rPh sb="0" eb="2">
      <t>アキタ</t>
    </rPh>
    <phoneticPr fontId="2"/>
  </si>
  <si>
    <t>石川</t>
    <rPh sb="0" eb="2">
      <t>イシカワ</t>
    </rPh>
    <phoneticPr fontId="2"/>
  </si>
  <si>
    <t>茨城</t>
    <rPh sb="0" eb="2">
      <t>イバラキ</t>
    </rPh>
    <phoneticPr fontId="2"/>
  </si>
  <si>
    <t>岩手</t>
    <rPh sb="0" eb="2">
      <t>イワテ</t>
    </rPh>
    <phoneticPr fontId="2"/>
  </si>
  <si>
    <t>愛媛</t>
    <rPh sb="0" eb="2">
      <t>エヒメ</t>
    </rPh>
    <phoneticPr fontId="2"/>
  </si>
  <si>
    <t>大分</t>
    <rPh sb="0" eb="2">
      <t>オオイタ</t>
    </rPh>
    <phoneticPr fontId="2"/>
  </si>
  <si>
    <t>大阪</t>
    <rPh sb="0" eb="2">
      <t>オオサカ</t>
    </rPh>
    <phoneticPr fontId="2"/>
  </si>
  <si>
    <t>岡山</t>
    <rPh sb="0" eb="2">
      <t>オカヤマ</t>
    </rPh>
    <phoneticPr fontId="2"/>
  </si>
  <si>
    <t>沖縄</t>
    <rPh sb="0" eb="2">
      <t>オキナワ</t>
    </rPh>
    <phoneticPr fontId="2"/>
  </si>
  <si>
    <t>香川</t>
    <rPh sb="0" eb="2">
      <t>カガワ</t>
    </rPh>
    <phoneticPr fontId="2"/>
  </si>
  <si>
    <t>鹿児島</t>
    <rPh sb="0" eb="3">
      <t>カゴシマ</t>
    </rPh>
    <phoneticPr fontId="2"/>
  </si>
  <si>
    <t>神奈川</t>
    <rPh sb="0" eb="3">
      <t>カナガワ</t>
    </rPh>
    <phoneticPr fontId="2"/>
  </si>
  <si>
    <t>岐阜</t>
    <rPh sb="0" eb="2">
      <t>ギフ</t>
    </rPh>
    <phoneticPr fontId="2"/>
  </si>
  <si>
    <t>京都</t>
    <rPh sb="0" eb="2">
      <t>キョウト</t>
    </rPh>
    <phoneticPr fontId="2"/>
  </si>
  <si>
    <t>熊本</t>
    <rPh sb="0" eb="2">
      <t>クマモト</t>
    </rPh>
    <phoneticPr fontId="2"/>
  </si>
  <si>
    <t>群馬</t>
    <rPh sb="0" eb="2">
      <t>グンマ</t>
    </rPh>
    <phoneticPr fontId="2"/>
  </si>
  <si>
    <t>高知</t>
    <rPh sb="0" eb="2">
      <t>コウチ</t>
    </rPh>
    <phoneticPr fontId="2"/>
  </si>
  <si>
    <t>埼玉</t>
    <rPh sb="0" eb="2">
      <t>サイタマ</t>
    </rPh>
    <phoneticPr fontId="2"/>
  </si>
  <si>
    <t>佐賀</t>
    <rPh sb="0" eb="2">
      <t>サガ</t>
    </rPh>
    <phoneticPr fontId="2"/>
  </si>
  <si>
    <t>滋賀</t>
    <rPh sb="0" eb="2">
      <t>シガ</t>
    </rPh>
    <phoneticPr fontId="2"/>
  </si>
  <si>
    <t>静岡</t>
    <rPh sb="0" eb="2">
      <t>シズオカ</t>
    </rPh>
    <phoneticPr fontId="2"/>
  </si>
  <si>
    <t>島根</t>
    <rPh sb="0" eb="2">
      <t>シマネ</t>
    </rPh>
    <phoneticPr fontId="2"/>
  </si>
  <si>
    <t>千葉</t>
    <rPh sb="0" eb="2">
      <t>チバ</t>
    </rPh>
    <phoneticPr fontId="2"/>
  </si>
  <si>
    <t>東京</t>
    <rPh sb="0" eb="2">
      <t>トウキョウ</t>
    </rPh>
    <phoneticPr fontId="2"/>
  </si>
  <si>
    <t>徳島</t>
    <rPh sb="0" eb="2">
      <t>トクシマ</t>
    </rPh>
    <phoneticPr fontId="2"/>
  </si>
  <si>
    <t>栃木</t>
    <rPh sb="0" eb="2">
      <t>トチギ</t>
    </rPh>
    <phoneticPr fontId="2"/>
  </si>
  <si>
    <t>鳥取</t>
    <rPh sb="0" eb="2">
      <t>トットリ</t>
    </rPh>
    <phoneticPr fontId="2"/>
  </si>
  <si>
    <t>富山</t>
    <rPh sb="0" eb="2">
      <t>トヤマ</t>
    </rPh>
    <phoneticPr fontId="2"/>
  </si>
  <si>
    <t>長崎</t>
    <rPh sb="0" eb="2">
      <t>ナガサキ</t>
    </rPh>
    <phoneticPr fontId="2"/>
  </si>
  <si>
    <t>長野</t>
    <rPh sb="0" eb="2">
      <t>ナガノ</t>
    </rPh>
    <phoneticPr fontId="2"/>
  </si>
  <si>
    <t>奈良</t>
    <rPh sb="0" eb="2">
      <t>ナラ</t>
    </rPh>
    <phoneticPr fontId="2"/>
  </si>
  <si>
    <t>新潟</t>
    <rPh sb="0" eb="2">
      <t>ニイガタ</t>
    </rPh>
    <phoneticPr fontId="2"/>
  </si>
  <si>
    <t>兵庫</t>
    <rPh sb="0" eb="2">
      <t>ヒョウゴ</t>
    </rPh>
    <phoneticPr fontId="2"/>
  </si>
  <si>
    <t>広島</t>
    <rPh sb="0" eb="2">
      <t>ヒロシマ</t>
    </rPh>
    <phoneticPr fontId="2"/>
  </si>
  <si>
    <t>福井</t>
    <rPh sb="0" eb="2">
      <t>フクイ</t>
    </rPh>
    <phoneticPr fontId="2"/>
  </si>
  <si>
    <t>福岡</t>
    <rPh sb="0" eb="2">
      <t>フクオカ</t>
    </rPh>
    <phoneticPr fontId="2"/>
  </si>
  <si>
    <t>福島</t>
    <rPh sb="0" eb="2">
      <t>フクシマ</t>
    </rPh>
    <phoneticPr fontId="2"/>
  </si>
  <si>
    <t>北海道</t>
    <rPh sb="0" eb="3">
      <t>ホッカイドウ</t>
    </rPh>
    <phoneticPr fontId="2"/>
  </si>
  <si>
    <t>三重</t>
    <rPh sb="0" eb="2">
      <t>ミエ</t>
    </rPh>
    <phoneticPr fontId="2"/>
  </si>
  <si>
    <t>宮城</t>
    <rPh sb="0" eb="2">
      <t>ミヤギ</t>
    </rPh>
    <phoneticPr fontId="2"/>
  </si>
  <si>
    <t>宮崎</t>
    <rPh sb="0" eb="2">
      <t>ミヤザキ</t>
    </rPh>
    <phoneticPr fontId="2"/>
  </si>
  <si>
    <t>山形</t>
    <rPh sb="0" eb="2">
      <t>ヤマガタ</t>
    </rPh>
    <phoneticPr fontId="2"/>
  </si>
  <si>
    <t>山口</t>
    <rPh sb="0" eb="2">
      <t>ヤマグチ</t>
    </rPh>
    <phoneticPr fontId="2"/>
  </si>
  <si>
    <t>山梨</t>
    <rPh sb="0" eb="2">
      <t>ヤマナシ</t>
    </rPh>
    <phoneticPr fontId="2"/>
  </si>
  <si>
    <t>和歌山</t>
    <rPh sb="0" eb="3">
      <t>ワカヤマ</t>
    </rPh>
    <phoneticPr fontId="2"/>
  </si>
  <si>
    <t>年間の一人当たり傷病休暇日数</t>
    <rPh sb="0" eb="2">
      <t>ネンカン</t>
    </rPh>
    <rPh sb="3" eb="6">
      <t>ヒトリア</t>
    </rPh>
    <rPh sb="8" eb="12">
      <t>ショウビョウキュウカ</t>
    </rPh>
    <rPh sb="12" eb="14">
      <t>ニッスウ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</si>
</sst>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&quot;△ &quot;#,##0"/>
  </numFmts>
  <fonts count="1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8"/>
      <name val="ＭＳ 明朝"/>
      <family val="1"/>
      <charset val="128"/>
    </font>
    <font>
      <sz val="10.5"/>
      <name val="ＭＳ 明朝"/>
      <family val="1"/>
      <charset val="128"/>
    </font>
    <font>
      <sz val="8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12"/>
      <color theme="1"/>
      <name val="Yu Gothic"/>
      <family val="3"/>
      <charset val="128"/>
      <scheme val="minor"/>
    </font>
    <font>
      <sz val="12"/>
      <name val="Yu Gothic"/>
      <family val="3"/>
      <charset val="128"/>
      <scheme val="minor"/>
    </font>
    <font>
      <u/>
      <sz val="11"/>
      <color theme="10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8"/>
      </top>
      <bottom/>
      <diagonal/>
    </border>
  </borders>
  <cellStyleXfs count="13">
    <xf numFmtId="0" fontId="0" fillId="0" borderId="0"/>
    <xf numFmtId="9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/>
    <xf numFmtId="38" fontId="6" fillId="0" borderId="0" applyFont="0" applyFill="0" applyBorder="0" applyAlignment="0" applyProtection="0"/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left" indent="1"/>
    </xf>
    <xf numFmtId="0" fontId="9" fillId="0" borderId="0" xfId="0" applyFont="1"/>
    <xf numFmtId="176" fontId="7" fillId="0" borderId="4" xfId="3" applyNumberFormat="1" applyFont="1" applyBorder="1" applyAlignment="1">
      <alignment horizontal="right" vertical="center"/>
    </xf>
    <xf numFmtId="176" fontId="7" fillId="0" borderId="4" xfId="4" applyNumberFormat="1" applyFont="1" applyFill="1" applyBorder="1" applyAlignment="1">
      <alignment horizontal="right" vertical="center"/>
    </xf>
    <xf numFmtId="176" fontId="5" fillId="0" borderId="4" xfId="3" applyNumberFormat="1" applyFont="1" applyBorder="1" applyAlignment="1">
      <alignment horizontal="right" vertical="center"/>
    </xf>
    <xf numFmtId="176" fontId="5" fillId="0" borderId="4" xfId="3" quotePrefix="1" applyNumberFormat="1" applyFont="1" applyBorder="1" applyAlignment="1">
      <alignment horizontal="right" vertical="center"/>
    </xf>
    <xf numFmtId="176" fontId="7" fillId="0" borderId="5" xfId="3" applyNumberFormat="1" applyFont="1" applyBorder="1" applyAlignment="1">
      <alignment horizontal="right" vertical="center"/>
    </xf>
    <xf numFmtId="176" fontId="5" fillId="0" borderId="3" xfId="3" applyNumberFormat="1" applyFont="1" applyBorder="1" applyAlignment="1">
      <alignment horizontal="right" vertical="center"/>
    </xf>
    <xf numFmtId="176" fontId="5" fillId="0" borderId="3" xfId="3" quotePrefix="1" applyNumberFormat="1" applyFont="1" applyBorder="1" applyAlignment="1">
      <alignment horizontal="right" vertical="center"/>
    </xf>
    <xf numFmtId="176" fontId="7" fillId="0" borderId="3" xfId="3" applyNumberFormat="1" applyFont="1" applyBorder="1" applyAlignment="1">
      <alignment horizontal="right" vertical="center"/>
    </xf>
    <xf numFmtId="0" fontId="10" fillId="0" borderId="0" xfId="0" applyFont="1"/>
    <xf numFmtId="0" fontId="11" fillId="0" borderId="2" xfId="3" applyFont="1" applyBorder="1" applyAlignment="1">
      <alignment horizontal="left" vertical="center"/>
    </xf>
    <xf numFmtId="176" fontId="11" fillId="0" borderId="4" xfId="5" applyNumberFormat="1" applyFont="1" applyFill="1" applyBorder="1" applyAlignment="1">
      <alignment horizontal="right" vertical="center" shrinkToFit="1"/>
    </xf>
    <xf numFmtId="0" fontId="11" fillId="0" borderId="1" xfId="3" applyFont="1" applyBorder="1" applyAlignment="1">
      <alignment horizontal="left" vertical="center"/>
    </xf>
    <xf numFmtId="176" fontId="11" fillId="0" borderId="4" xfId="3" applyNumberFormat="1" applyFont="1" applyBorder="1" applyAlignment="1">
      <alignment horizontal="right" vertical="center"/>
    </xf>
    <xf numFmtId="176" fontId="11" fillId="0" borderId="3" xfId="3" applyNumberFormat="1" applyFont="1" applyBorder="1" applyAlignment="1">
      <alignment horizontal="right" vertical="center"/>
    </xf>
    <xf numFmtId="0" fontId="11" fillId="0" borderId="6" xfId="3" applyFont="1" applyBorder="1" applyAlignment="1">
      <alignment horizontal="left" vertical="center"/>
    </xf>
    <xf numFmtId="0" fontId="11" fillId="0" borderId="6" xfId="3" applyFont="1" applyBorder="1" applyAlignment="1">
      <alignment horizontal="center" vertical="center"/>
    </xf>
    <xf numFmtId="176" fontId="11" fillId="0" borderId="4" xfId="4" applyNumberFormat="1" applyFont="1" applyFill="1" applyBorder="1" applyAlignment="1">
      <alignment horizontal="right" vertical="center"/>
    </xf>
    <xf numFmtId="10" fontId="0" fillId="0" borderId="0" xfId="1" applyNumberFormat="1" applyFont="1" applyAlignment="1"/>
  </cellXfs>
  <cellStyles count="13">
    <cellStyle name="パーセント" xfId="1" builtinId="5"/>
    <cellStyle name="ハイパーリンク 2" xfId="12" xr:uid="{A93A75EB-FCB9-4476-AC2B-241576706E01}"/>
    <cellStyle name="桁区切り 2" xfId="5" xr:uid="{EC0D014F-137A-4062-A597-66F6558B0188}"/>
    <cellStyle name="桁区切り 2 2" xfId="10" xr:uid="{043C4F29-22DA-42D0-8F78-C2B0E8424093}"/>
    <cellStyle name="桁区切り 3" xfId="4" xr:uid="{83B38B35-70AD-44E1-BD96-28744F612647}"/>
    <cellStyle name="標準" xfId="0" builtinId="0"/>
    <cellStyle name="標準 2" xfId="6" xr:uid="{669E49BC-3B29-428B-95F9-ACCF4D03DB54}"/>
    <cellStyle name="標準 2 2" xfId="8" xr:uid="{C2096FEE-4CFF-40A7-A02B-5C52C9BBECE7}"/>
    <cellStyle name="標準 2 2 2" xfId="11" xr:uid="{9CB0B1C7-F2D9-4E8A-B8E3-47F8551C071A}"/>
    <cellStyle name="標準 3" xfId="3" xr:uid="{BF7637E0-9973-41D8-A80D-BE6532FE10F0}"/>
    <cellStyle name="標準 4" xfId="2" xr:uid="{07D5F5A7-065E-4558-A4B2-4EBAF10EBCE4}"/>
    <cellStyle name="標準 5" xfId="9" xr:uid="{022CD320-579D-42EF-8BF9-EA5D2B6B67A6}"/>
    <cellStyle name="標準 6" xfId="7" xr:uid="{45D21BD5-F92A-4222-A229-A0C4CBC5F85E}"/>
  </cellStyles>
  <dxfs count="11">
    <dxf>
      <numFmt numFmtId="14" formatCode="0.00%"/>
    </dxf>
    <dxf>
      <numFmt numFmtId="14" formatCode="0.00%"/>
    </dxf>
    <dxf>
      <numFmt numFmtId="0" formatCode="General"/>
    </dxf>
    <dxf>
      <alignment horizontal="left" vertical="bottom" textRotation="0" wrapText="0" indent="1" justifyLastLine="0" shrinkToFit="0" readingOrder="0"/>
    </dxf>
    <dxf>
      <numFmt numFmtId="0" formatCode="General"/>
    </dxf>
    <dxf>
      <numFmt numFmtId="14" formatCode="0.00%"/>
    </dxf>
    <dxf>
      <numFmt numFmtId="0" formatCode="General"/>
    </dxf>
    <dxf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"/>
        <family val="3"/>
        <charset val="128"/>
        <scheme val="minor"/>
      </font>
      <numFmt numFmtId="176" formatCode="#,##0;&quot;△ &quot;#,##0"/>
      <alignment horizontal="righ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"/>
        <family val="3"/>
        <charset val="128"/>
        <scheme val="minor"/>
      </font>
      <alignment horizontal="left" vertical="center" textRotation="0" wrapText="0" indent="0" justifyLastLine="0" shrinkToFit="0" readingOrder="0"/>
      <border diagonalUp="0" diagonalDown="0">
        <left style="hair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family val="3"/>
        <charset val="12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健康経営法人割合 対 傷病休暇日数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'健康経営法人割合 対 傷病休暇日数'!$E$1</c:f>
              <c:strCache>
                <c:ptCount val="1"/>
                <c:pt idx="0">
                  <c:v>年間の一人当たり傷病休暇日数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'健康経営法人割合 対 傷病休暇日数'!$D$2:$D$48</c:f>
              <c:numCache>
                <c:formatCode>0.00%</c:formatCode>
                <c:ptCount val="47"/>
                <c:pt idx="0">
                  <c:v>1.1188710662817304E-2</c:v>
                </c:pt>
                <c:pt idx="1">
                  <c:v>5.5172413793103444E-3</c:v>
                </c:pt>
                <c:pt idx="2">
                  <c:v>4.082694578421758E-3</c:v>
                </c:pt>
                <c:pt idx="3">
                  <c:v>1.2366095670632375E-2</c:v>
                </c:pt>
                <c:pt idx="4">
                  <c:v>2.8192747658705728E-3</c:v>
                </c:pt>
                <c:pt idx="5">
                  <c:v>7.1428571428571426E-3</c:v>
                </c:pt>
                <c:pt idx="6">
                  <c:v>7.4873004790909307E-3</c:v>
                </c:pt>
                <c:pt idx="7">
                  <c:v>4.1548013631483123E-3</c:v>
                </c:pt>
                <c:pt idx="8">
                  <c:v>8.5697741748697164E-3</c:v>
                </c:pt>
                <c:pt idx="9">
                  <c:v>5.4093097913322629E-3</c:v>
                </c:pt>
                <c:pt idx="10">
                  <c:v>6.0606060606060606E-3</c:v>
                </c:pt>
                <c:pt idx="11">
                  <c:v>6.6832108897024499E-3</c:v>
                </c:pt>
                <c:pt idx="12">
                  <c:v>7.1460980036297641E-3</c:v>
                </c:pt>
                <c:pt idx="13">
                  <c:v>7.6154421798652989E-3</c:v>
                </c:pt>
                <c:pt idx="14">
                  <c:v>1.0186757215619695E-2</c:v>
                </c:pt>
                <c:pt idx="15">
                  <c:v>6.4281288723667908E-3</c:v>
                </c:pt>
                <c:pt idx="16">
                  <c:v>2.2259956336239495E-3</c:v>
                </c:pt>
                <c:pt idx="17">
                  <c:v>9.403185568988677E-3</c:v>
                </c:pt>
                <c:pt idx="18">
                  <c:v>1.606935777790049E-2</c:v>
                </c:pt>
                <c:pt idx="19">
                  <c:v>6.553652569031807E-3</c:v>
                </c:pt>
                <c:pt idx="20">
                  <c:v>6.0768961084492227E-3</c:v>
                </c:pt>
                <c:pt idx="21">
                  <c:v>8.9817735716789353E-3</c:v>
                </c:pt>
                <c:pt idx="22">
                  <c:v>6.6696029698609452E-3</c:v>
                </c:pt>
                <c:pt idx="23">
                  <c:v>8.7461653939037917E-3</c:v>
                </c:pt>
                <c:pt idx="24">
                  <c:v>6.4263403144042197E-3</c:v>
                </c:pt>
                <c:pt idx="25">
                  <c:v>2.4652823700568706E-3</c:v>
                </c:pt>
                <c:pt idx="26">
                  <c:v>6.6843555464843355E-3</c:v>
                </c:pt>
                <c:pt idx="27">
                  <c:v>7.3353641045255233E-3</c:v>
                </c:pt>
                <c:pt idx="28">
                  <c:v>6.906881917283848E-3</c:v>
                </c:pt>
                <c:pt idx="29">
                  <c:v>2.6081458454080826E-3</c:v>
                </c:pt>
                <c:pt idx="30">
                  <c:v>8.0596521825983727E-3</c:v>
                </c:pt>
                <c:pt idx="31">
                  <c:v>4.2871141597256249E-3</c:v>
                </c:pt>
                <c:pt idx="32">
                  <c:v>5.3699284009546535E-3</c:v>
                </c:pt>
                <c:pt idx="33">
                  <c:v>1.2122346774004821E-2</c:v>
                </c:pt>
                <c:pt idx="34">
                  <c:v>9.4445008632070681E-3</c:v>
                </c:pt>
                <c:pt idx="35">
                  <c:v>1.3679286912011297E-2</c:v>
                </c:pt>
                <c:pt idx="36">
                  <c:v>2.9820378221543666E-3</c:v>
                </c:pt>
                <c:pt idx="37">
                  <c:v>7.7495350278983261E-3</c:v>
                </c:pt>
                <c:pt idx="38">
                  <c:v>4.3041978893873E-3</c:v>
                </c:pt>
                <c:pt idx="39">
                  <c:v>6.8074465129202557E-3</c:v>
                </c:pt>
                <c:pt idx="40">
                  <c:v>5.3974979822437449E-3</c:v>
                </c:pt>
                <c:pt idx="41">
                  <c:v>7.7419354838709677E-3</c:v>
                </c:pt>
                <c:pt idx="42">
                  <c:v>3.707406850296858E-3</c:v>
                </c:pt>
                <c:pt idx="43">
                  <c:v>7.2166331321260897E-3</c:v>
                </c:pt>
                <c:pt idx="44">
                  <c:v>6.6117074250304306E-3</c:v>
                </c:pt>
                <c:pt idx="45">
                  <c:v>4.4443293809006022E-3</c:v>
                </c:pt>
                <c:pt idx="46">
                  <c:v>5.598966344674829E-3</c:v>
                </c:pt>
              </c:numCache>
            </c:numRef>
          </c:xVal>
          <c:yVal>
            <c:numRef>
              <c:f>'健康経営法人割合 対 傷病休暇日数'!$E$2:$E$48</c:f>
              <c:numCache>
                <c:formatCode>General</c:formatCode>
                <c:ptCount val="47"/>
                <c:pt idx="0">
                  <c:v>2.7933074975612899</c:v>
                </c:pt>
                <c:pt idx="1">
                  <c:v>2.5354287455744635</c:v>
                </c:pt>
                <c:pt idx="2">
                  <c:v>2.5317722594655838</c:v>
                </c:pt>
                <c:pt idx="3">
                  <c:v>2.3873619484753008</c:v>
                </c:pt>
                <c:pt idx="4">
                  <c:v>3.0625481493980078</c:v>
                </c:pt>
                <c:pt idx="5">
                  <c:v>2.3915809559842578</c:v>
                </c:pt>
                <c:pt idx="6">
                  <c:v>2.5902221076307734</c:v>
                </c:pt>
                <c:pt idx="7">
                  <c:v>2.7110891333910248</c:v>
                </c:pt>
                <c:pt idx="8">
                  <c:v>2.7982941457182426</c:v>
                </c:pt>
                <c:pt idx="9">
                  <c:v>2.7478389476295026</c:v>
                </c:pt>
                <c:pt idx="10">
                  <c:v>3.3411816066050561</c:v>
                </c:pt>
                <c:pt idx="11">
                  <c:v>2.4496738385334895</c:v>
                </c:pt>
                <c:pt idx="12">
                  <c:v>3.0638646836332804</c:v>
                </c:pt>
                <c:pt idx="13">
                  <c:v>2.7667910567945992</c:v>
                </c:pt>
                <c:pt idx="14">
                  <c:v>2.4157299457558055</c:v>
                </c:pt>
                <c:pt idx="15">
                  <c:v>2.6026010625412601</c:v>
                </c:pt>
                <c:pt idx="16">
                  <c:v>2.9685762399517044</c:v>
                </c:pt>
                <c:pt idx="17">
                  <c:v>2.5069427420541022</c:v>
                </c:pt>
                <c:pt idx="18">
                  <c:v>2.8027517300683833</c:v>
                </c:pt>
                <c:pt idx="19">
                  <c:v>2.5072583510918602</c:v>
                </c:pt>
                <c:pt idx="20">
                  <c:v>3.2253717390153991</c:v>
                </c:pt>
                <c:pt idx="21">
                  <c:v>2.5943986975910152</c:v>
                </c:pt>
                <c:pt idx="22">
                  <c:v>2.7620776384617898</c:v>
                </c:pt>
                <c:pt idx="23">
                  <c:v>2.498261481686896</c:v>
                </c:pt>
                <c:pt idx="24">
                  <c:v>2.7335982541676938</c:v>
                </c:pt>
                <c:pt idx="25">
                  <c:v>2.9063803811539901</c:v>
                </c:pt>
                <c:pt idx="26">
                  <c:v>2.5513429114673176</c:v>
                </c:pt>
                <c:pt idx="27">
                  <c:v>2.6274767772176322</c:v>
                </c:pt>
                <c:pt idx="28">
                  <c:v>2.8110128770272844</c:v>
                </c:pt>
                <c:pt idx="29">
                  <c:v>2.2120635922521599</c:v>
                </c:pt>
                <c:pt idx="30">
                  <c:v>2.9261648310833857</c:v>
                </c:pt>
                <c:pt idx="31">
                  <c:v>2.4167736284976518</c:v>
                </c:pt>
                <c:pt idx="32">
                  <c:v>2.6375926166645001</c:v>
                </c:pt>
                <c:pt idx="33">
                  <c:v>2.5478089713042573</c:v>
                </c:pt>
                <c:pt idx="34">
                  <c:v>2.7361155953807845</c:v>
                </c:pt>
                <c:pt idx="35">
                  <c:v>2.7725718325661455</c:v>
                </c:pt>
                <c:pt idx="36">
                  <c:v>2.489958489487925</c:v>
                </c:pt>
                <c:pt idx="37">
                  <c:v>3.2038155387678873</c:v>
                </c:pt>
                <c:pt idx="38">
                  <c:v>2.6063842517800508</c:v>
                </c:pt>
                <c:pt idx="39">
                  <c:v>2.3389840068891088</c:v>
                </c:pt>
                <c:pt idx="40">
                  <c:v>2.8908698805177031</c:v>
                </c:pt>
                <c:pt idx="41">
                  <c:v>2.5437983591059643</c:v>
                </c:pt>
                <c:pt idx="42">
                  <c:v>2.7259769066522939</c:v>
                </c:pt>
                <c:pt idx="43">
                  <c:v>2.5418436109345199</c:v>
                </c:pt>
                <c:pt idx="44">
                  <c:v>2.39866599486552</c:v>
                </c:pt>
                <c:pt idx="45">
                  <c:v>2.8156688572424566</c:v>
                </c:pt>
                <c:pt idx="46">
                  <c:v>2.748616134884958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D4-4F77-A786-314B2C9F9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4968879"/>
        <c:axId val="46822735"/>
      </c:scatterChart>
      <c:valAx>
        <c:axId val="208496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都道府県の健康経営法人割合</a:t>
                </a:r>
                <a:endParaRPr lang="en-US" alt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ja-JP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822735"/>
        <c:crosses val="autoZero"/>
        <c:crossBetween val="midCat"/>
      </c:valAx>
      <c:valAx>
        <c:axId val="46822735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都道府県ごとの年間の一人当たり傷病休暇日数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8496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666750</xdr:colOff>
      <xdr:row>9</xdr:row>
      <xdr:rowOff>133350</xdr:rowOff>
    </xdr:from>
    <xdr:to>
      <xdr:col>12</xdr:col>
      <xdr:colOff>0</xdr:colOff>
      <xdr:row>24</xdr:row>
      <xdr:rowOff>180975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17E3B3A-E559-0BD0-EAD7-A8CB67D20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670D21-2AC3-4833-B1C8-027BEC0ABE7F}" name="テーブル2" displayName="テーブル2" ref="A1:C48" totalsRowShown="0">
  <autoFilter ref="A1:C48" xr:uid="{30670D21-2AC3-4833-B1C8-027BEC0ABE7F}"/>
  <sortState xmlns:xlrd2="http://schemas.microsoft.com/office/spreadsheetml/2017/richdata2" ref="A2:C48">
    <sortCondition ref="B1:B48"/>
  </sortState>
  <tableColumns count="3">
    <tableColumn id="1" xr3:uid="{1A5E1D5A-F970-488C-BF1E-8CB25ECD78A0}" name="年度" dataDxfId="10"/>
    <tableColumn id="2" xr3:uid="{F70E3DB1-5E0A-468E-8B0A-47DE2F2F27FF}" name="都道府県" dataDxfId="9" dataCellStyle="標準 3"/>
    <tableColumn id="3" xr3:uid="{BCA4BB51-665E-4716-BEB0-3A2F42A6656B}" name="申告法人数" dataDxfId="8" dataCellStyle="標準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824006-911D-4DAF-A715-C5E9DFA6B232}" name="テーブル3" displayName="テーブル3" ref="A1:D48" totalsRowShown="0">
  <autoFilter ref="A1:D48" xr:uid="{6C824006-911D-4DAF-A715-C5E9DFA6B232}"/>
  <sortState xmlns:xlrd2="http://schemas.microsoft.com/office/spreadsheetml/2017/richdata2" ref="A2:D48">
    <sortCondition ref="A1:A48"/>
  </sortState>
  <tableColumns count="4">
    <tableColumn id="1" xr3:uid="{3632B52F-BA43-4FC1-AAC4-E68896E0C3F5}" name="都道府県" dataDxfId="7"/>
    <tableColumn id="2" xr3:uid="{FD6B37BB-79A8-4B02-BA0E-385B88EE004A}" name="健康経営法人" dataDxfId="6"/>
    <tableColumn id="3" xr3:uid="{11086C58-F3C2-4C15-8D94-FBAB583F3643}" name="申告法人数"/>
    <tableColumn id="4" xr3:uid="{56F1F2E7-849C-401A-BA99-BFECB0BB44C5}" name="健康経営法人割合" dataDxfId="5" dataCellStyle="パーセント">
      <calculatedColumnFormula>テーブル3[[#This Row],[健康経営法人]]/テーブル3[[#This Row],[申告法人数]]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553A70-CDAF-45C9-B350-55A321821C32}" name="テーブル5" displayName="テーブル5" ref="A1:I48" totalsRowShown="0">
  <autoFilter ref="A1:I48" xr:uid="{F5553A70-CDAF-45C9-B350-55A321821C32}"/>
  <sortState xmlns:xlrd2="http://schemas.microsoft.com/office/spreadsheetml/2017/richdata2" ref="A2:I48">
    <sortCondition ref="A1:A48"/>
  </sortState>
  <tableColumns count="9">
    <tableColumn id="1" xr3:uid="{8BBFFC3A-45CC-43D6-843F-BF1D5D753858}" name="都道府県"/>
    <tableColumn id="2" xr3:uid="{7334B579-518B-405A-85E6-6060029EFF39}" name="千人当たり_x000a_件数(１ヶ月_x000a_当たり)"/>
    <tableColumn id="3" xr3:uid="{A0C5049A-0239-4997-A695-0985897EC2E2}" name="1件当たり_x000a_日数（日）"/>
    <tableColumn id="4" xr3:uid="{B381F021-CAA0-4136-BDAC-B740B25602A3}" name="1件当たり_x000a_金額（円）"/>
    <tableColumn id="5" xr3:uid="{F72191B7-470A-4E51-9D05-6387C07C4369}" name="平均支給_x000a_期間（日）"/>
    <tableColumn id="6" xr3:uid="{FBA1A52F-4F09-41E4-B35A-1FAEB53082B1}" name="資格喪失後継続給付分の割合(%)"/>
    <tableColumn id="7" xr3:uid="{A4B6D29F-8424-4DC9-A3E6-034DC5AAE399}" name="年間の一人当たり傷病休暇件数">
      <calculatedColumnFormula>12*テーブル5[[#This Row],[千人当たり
件数(１ヶ月
当たり)]]/1000</calculatedColumnFormula>
    </tableColumn>
    <tableColumn id="8" xr3:uid="{49A29C78-DD1D-46DB-BE7D-386FA67E7832}" name="年間の一人当たり傷病休暇日数" dataDxfId="4">
      <calculatedColumnFormula>テーブル5[[#This Row],[年間の一人当たり傷病休暇件数]]*テーブル5[[#This Row],[1件当たり
日数（日）]]</calculatedColumnFormula>
    </tableColumn>
    <tableColumn id="9" xr3:uid="{366628C0-C1E3-4755-B3DA-F9F4662367DC}" name="年間の一人当たり傷病休暇給付金額">
      <calculatedColumnFormula>テーブル5[[#This Row],[年間の一人当たり傷病休暇件数]]*テーブル5[[#This Row],[1件当たり
金額（円）]]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06A547-9055-492E-9525-F97D4FC233A6}" name="テーブル37" displayName="テーブル37" ref="A1:E48" totalsRowShown="0">
  <autoFilter ref="A1:E48" xr:uid="{7806A547-9055-492E-9525-F97D4FC233A6}"/>
  <sortState xmlns:xlrd2="http://schemas.microsoft.com/office/spreadsheetml/2017/richdata2" ref="A2:D48">
    <sortCondition ref="A1:A48"/>
  </sortState>
  <tableColumns count="5">
    <tableColumn id="1" xr3:uid="{F6DB0187-DD70-4C20-866E-B97847DC85A9}" name="都道府県" dataDxfId="3"/>
    <tableColumn id="2" xr3:uid="{9C82E257-DAB6-43F8-9D19-4AE500142713}" name="健康経営法人" dataDxfId="2"/>
    <tableColumn id="3" xr3:uid="{3D22CCEC-5656-46F0-A314-076E0933C72A}" name="申告法人数"/>
    <tableColumn id="4" xr3:uid="{E92145D3-A463-4605-8259-B3B9210BDE30}" name="健康経営法人割合" dataDxfId="1" dataCellStyle="パーセント">
      <calculatedColumnFormula>テーブル37[[#This Row],[健康経営法人]]/テーブル37[[#This Row],[申告法人数]]</calculatedColumnFormula>
    </tableColumn>
    <tableColumn id="5" xr3:uid="{7738D945-03F9-42DF-9D7C-5D150D1B0E53}" name="年間の一人当たり傷病休暇日数" dataDxfId="0" dataCellStyle="パーセント">
      <calculatedColumnFormula>テーブル5[[#This Row],[年間の一人当たり傷病休暇件数]]*テーブル5[[#This Row],[1件当たり
日数（日）]]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3BAE7-620F-4BB3-954E-B78519184A58}">
  <dimension ref="A1:Q49"/>
  <sheetViews>
    <sheetView workbookViewId="0">
      <selection activeCell="C46" sqref="C46"/>
    </sheetView>
  </sheetViews>
  <sheetFormatPr defaultRowHeight="18"/>
  <cols>
    <col min="2" max="2" width="10.625" customWidth="1"/>
    <col min="3" max="3" width="12.625" customWidth="1"/>
  </cols>
  <sheetData>
    <row r="1" spans="1:17" ht="19.899999999999999">
      <c r="A1" t="s">
        <v>0</v>
      </c>
      <c r="B1" s="11" t="s">
        <v>1</v>
      </c>
      <c r="C1" s="11" t="s">
        <v>2</v>
      </c>
    </row>
    <row r="2" spans="1:17" ht="19.899999999999999">
      <c r="A2" s="2">
        <v>2023</v>
      </c>
      <c r="B2" s="12" t="s">
        <v>3</v>
      </c>
      <c r="C2" s="15">
        <v>166954</v>
      </c>
    </row>
    <row r="3" spans="1:17" ht="19.899999999999999">
      <c r="A3" s="2">
        <v>2023</v>
      </c>
      <c r="B3" s="14" t="s">
        <v>4</v>
      </c>
      <c r="C3" s="16">
        <v>29000</v>
      </c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9.899999999999999">
      <c r="A4" s="2">
        <v>2023</v>
      </c>
      <c r="B4" s="12" t="s">
        <v>5</v>
      </c>
      <c r="C4" s="15">
        <v>49967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ht="19.899999999999999">
      <c r="A5" s="2">
        <v>2023</v>
      </c>
      <c r="B5" s="12" t="s">
        <v>6</v>
      </c>
      <c r="C5" s="15">
        <v>40514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ht="19.899999999999999">
      <c r="A6" s="2">
        <v>2023</v>
      </c>
      <c r="B6" s="12" t="s">
        <v>7</v>
      </c>
      <c r="C6" s="15">
        <v>30859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ht="19.899999999999999">
      <c r="A7" s="2">
        <v>2023</v>
      </c>
      <c r="B7" s="12" t="s">
        <v>8</v>
      </c>
      <c r="C7" s="15">
        <v>18200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19.899999999999999">
      <c r="A8" s="2">
        <v>2023</v>
      </c>
      <c r="B8" s="12" t="s">
        <v>9</v>
      </c>
      <c r="C8" s="15">
        <v>41537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19.899999999999999">
      <c r="A9" s="2">
        <v>2023</v>
      </c>
      <c r="B9" s="12" t="s">
        <v>10</v>
      </c>
      <c r="C9" s="16">
        <v>21421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ht="19.899999999999999">
      <c r="A10" s="2">
        <v>2023</v>
      </c>
      <c r="B10" s="12" t="s">
        <v>11</v>
      </c>
      <c r="C10" s="15">
        <v>43175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 ht="19.899999999999999">
      <c r="A11" s="2">
        <v>2023</v>
      </c>
      <c r="B11" s="12" t="s">
        <v>12</v>
      </c>
      <c r="C11" s="15">
        <v>62300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19.899999999999999">
      <c r="A12" s="2">
        <v>2023</v>
      </c>
      <c r="B12" s="12" t="s">
        <v>13</v>
      </c>
      <c r="C12" s="15">
        <v>37455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ht="19.899999999999999">
      <c r="A13" s="2">
        <v>2023</v>
      </c>
      <c r="B13" s="12" t="s">
        <v>14</v>
      </c>
      <c r="C13" s="15">
        <v>40699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ht="19.899999999999999">
      <c r="A14" s="2">
        <v>2023</v>
      </c>
      <c r="B14" s="12" t="s">
        <v>15</v>
      </c>
      <c r="C14" s="15">
        <v>61712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ht="19.899999999999999">
      <c r="A15" s="2">
        <v>2023</v>
      </c>
      <c r="B15" s="12" t="s">
        <v>16</v>
      </c>
      <c r="C15" s="16">
        <v>22717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ht="19.899999999999999">
      <c r="A16" s="2">
        <v>2023</v>
      </c>
      <c r="B16" s="12" t="s">
        <v>17</v>
      </c>
      <c r="C16" s="15">
        <v>12369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ht="19.899999999999999">
      <c r="A17" s="2">
        <v>2023</v>
      </c>
      <c r="B17" s="12" t="s">
        <v>18</v>
      </c>
      <c r="C17" s="15">
        <v>12912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9.899999999999999">
      <c r="A18" s="2">
        <v>2023</v>
      </c>
      <c r="B18" s="12" t="s">
        <v>19</v>
      </c>
      <c r="C18" s="15">
        <v>140162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ht="19.899999999999999">
      <c r="A19" s="2">
        <v>2023</v>
      </c>
      <c r="B19" s="12" t="s">
        <v>20</v>
      </c>
      <c r="C19" s="16">
        <v>31266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ht="19.899999999999999">
      <c r="A20" s="2">
        <v>2023</v>
      </c>
      <c r="B20" s="12" t="s">
        <v>21</v>
      </c>
      <c r="C20" s="15">
        <v>18109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 ht="19.899999999999999">
      <c r="A21" s="2">
        <v>2023</v>
      </c>
      <c r="B21" s="12" t="s">
        <v>22</v>
      </c>
      <c r="C21" s="15">
        <v>22888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ht="19.899999999999999">
      <c r="A22" s="2">
        <v>2023</v>
      </c>
      <c r="B22" s="12" t="s">
        <v>23</v>
      </c>
      <c r="C22" s="16">
        <v>17114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ht="19.899999999999999">
      <c r="A23" s="2">
        <v>2023</v>
      </c>
      <c r="B23" s="12" t="s">
        <v>24</v>
      </c>
      <c r="C23" s="15">
        <v>22824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 ht="19.899999999999999">
      <c r="A24" s="2">
        <v>2023</v>
      </c>
      <c r="B24" s="12" t="s">
        <v>25</v>
      </c>
      <c r="C24" s="15">
        <v>31786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9.899999999999999">
      <c r="A25" s="2">
        <v>2023</v>
      </c>
      <c r="B25" s="12" t="s">
        <v>26</v>
      </c>
      <c r="C25" s="15">
        <v>15321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ht="19.899999999999999">
      <c r="A26" s="2">
        <v>2023</v>
      </c>
      <c r="B26" s="12" t="s">
        <v>27</v>
      </c>
      <c r="C26" s="16">
        <v>39058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ht="19.899999999999999">
      <c r="A27" s="2">
        <v>2023</v>
      </c>
      <c r="B27" s="12" t="s">
        <v>28</v>
      </c>
      <c r="C27" s="15">
        <v>189025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7" ht="19.899999999999999">
      <c r="A28" s="2">
        <v>2023</v>
      </c>
      <c r="B28" s="12" t="s">
        <v>29</v>
      </c>
      <c r="C28" s="19">
        <v>19598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ht="19.899999999999999">
      <c r="A29" s="2">
        <v>2023</v>
      </c>
      <c r="B29" s="12" t="s">
        <v>30</v>
      </c>
      <c r="C29" s="15">
        <v>73207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9.899999999999999">
      <c r="A30" s="2">
        <v>2023</v>
      </c>
      <c r="B30" s="12" t="s">
        <v>31</v>
      </c>
      <c r="C30" s="15">
        <v>24034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19.899999999999999">
      <c r="A31" s="2">
        <v>2023</v>
      </c>
      <c r="B31" s="12" t="s">
        <v>32</v>
      </c>
      <c r="C31" s="15">
        <v>113874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9.899999999999999">
      <c r="A32" s="2">
        <v>2023</v>
      </c>
      <c r="B32" s="12" t="s">
        <v>33</v>
      </c>
      <c r="C32" s="16">
        <v>260309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7" ht="19.899999999999999">
      <c r="A33" s="2">
        <v>2023</v>
      </c>
      <c r="B33" s="12" t="s">
        <v>34</v>
      </c>
      <c r="C33" s="15">
        <v>24492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9"/>
      <c r="P33" s="9"/>
      <c r="Q33" s="9"/>
    </row>
    <row r="34" spans="1:17" ht="19.899999999999999">
      <c r="A34" s="2">
        <v>2023</v>
      </c>
      <c r="B34" s="12" t="s">
        <v>35</v>
      </c>
      <c r="C34" s="15">
        <v>21788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6"/>
      <c r="O34" s="5"/>
      <c r="P34" s="5"/>
      <c r="Q34" s="5"/>
    </row>
    <row r="35" spans="1:17" ht="19.899999999999999">
      <c r="A35" s="2">
        <v>2023</v>
      </c>
      <c r="B35" s="12" t="s">
        <v>36</v>
      </c>
      <c r="C35" s="15">
        <v>42731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ht="19.899999999999999">
      <c r="A36" s="2">
        <v>2023</v>
      </c>
      <c r="B36" s="12" t="s">
        <v>37</v>
      </c>
      <c r="C36" s="15">
        <v>9847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ht="19.899999999999999">
      <c r="A37" s="2">
        <v>2023</v>
      </c>
      <c r="B37" s="12" t="s">
        <v>38</v>
      </c>
      <c r="C37" s="16">
        <v>11331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1:17" ht="19.899999999999999">
      <c r="A38" s="2">
        <v>2023</v>
      </c>
      <c r="B38" s="12" t="s">
        <v>39</v>
      </c>
      <c r="C38" s="15">
        <v>657604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9"/>
      <c r="O38" s="8"/>
      <c r="P38" s="8"/>
      <c r="Q38" s="8"/>
    </row>
    <row r="39" spans="1:17" ht="19.899999999999999">
      <c r="A39" s="2">
        <v>2023</v>
      </c>
      <c r="B39" s="12" t="s">
        <v>40</v>
      </c>
      <c r="C39" s="15">
        <v>16130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ht="19.899999999999999">
      <c r="A40" s="2">
        <v>2023</v>
      </c>
      <c r="B40" s="12" t="s">
        <v>41</v>
      </c>
      <c r="C40" s="15">
        <v>38567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ht="19.899999999999999">
      <c r="A41" s="2">
        <v>2023</v>
      </c>
      <c r="B41" s="12" t="s">
        <v>42</v>
      </c>
      <c r="C41" s="16">
        <v>21594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 spans="1:17" ht="19.899999999999999">
      <c r="A42" s="2">
        <v>2023</v>
      </c>
      <c r="B42" s="12" t="s">
        <v>43</v>
      </c>
      <c r="C42" s="15">
        <v>19824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1:17" ht="19.899999999999999">
      <c r="A43" s="2">
        <v>2023</v>
      </c>
      <c r="B43" s="12" t="s">
        <v>44</v>
      </c>
      <c r="C43" s="15">
        <v>17050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ht="19.899999999999999">
      <c r="A44" s="2">
        <v>2023</v>
      </c>
      <c r="B44" s="12" t="s">
        <v>45</v>
      </c>
      <c r="C44" s="16">
        <v>113017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 spans="1:17" ht="19.899999999999999">
      <c r="A45" s="2">
        <v>2023</v>
      </c>
      <c r="B45" s="12" t="s">
        <v>46</v>
      </c>
      <c r="C45" s="15">
        <v>37275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7" ht="19.899999999999999">
      <c r="A46" s="2">
        <v>2023</v>
      </c>
      <c r="B46" s="12" t="s">
        <v>47</v>
      </c>
      <c r="C46" s="15">
        <v>108444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ht="19.899999999999999">
      <c r="A47" s="2">
        <v>2023</v>
      </c>
      <c r="B47" s="12" t="s">
        <v>48</v>
      </c>
      <c r="C47" s="13">
        <v>115878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ht="19.899999999999999">
      <c r="A48" s="2">
        <v>2023</v>
      </c>
      <c r="B48" s="17" t="s">
        <v>49</v>
      </c>
      <c r="C48" s="16">
        <v>16253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 spans="1:17" ht="19.899999999999999">
      <c r="A49" s="18"/>
      <c r="B49" s="16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</sheetData>
  <phoneticPr fontId="3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643D-4C26-4242-ADEF-D820821F261A}">
  <dimension ref="A1:I48"/>
  <sheetViews>
    <sheetView workbookViewId="0">
      <selection activeCell="C9" sqref="A1:D48"/>
    </sheetView>
  </sheetViews>
  <sheetFormatPr defaultRowHeight="18"/>
  <cols>
    <col min="1" max="1" width="9.75" customWidth="1"/>
    <col min="2" max="2" width="13.375" customWidth="1"/>
    <col min="3" max="3" width="10.75" customWidth="1"/>
    <col min="4" max="4" width="17" style="20" customWidth="1"/>
  </cols>
  <sheetData>
    <row r="1" spans="1:9" ht="19.899999999999999">
      <c r="A1" t="s">
        <v>1</v>
      </c>
      <c r="B1" t="s">
        <v>50</v>
      </c>
      <c r="C1" t="s">
        <v>2</v>
      </c>
      <c r="D1" s="20" t="s">
        <v>51</v>
      </c>
      <c r="H1" s="11"/>
      <c r="I1" s="11"/>
    </row>
    <row r="2" spans="1:9" ht="19.899999999999999">
      <c r="A2" s="1" t="s">
        <v>52</v>
      </c>
      <c r="B2">
        <v>1868</v>
      </c>
      <c r="C2" s="15">
        <v>166954</v>
      </c>
      <c r="D2" s="20">
        <f>テーブル3[[#This Row],[健康経営法人]]/テーブル3[[#This Row],[申告法人数]]</f>
        <v>1.1188710662817304E-2</v>
      </c>
      <c r="G2" s="2"/>
      <c r="H2" s="12"/>
      <c r="I2" s="15"/>
    </row>
    <row r="3" spans="1:9" ht="19.899999999999999">
      <c r="A3" s="1" t="s">
        <v>53</v>
      </c>
      <c r="B3">
        <v>160</v>
      </c>
      <c r="C3" s="16">
        <v>29000</v>
      </c>
      <c r="D3" s="20">
        <f>テーブル3[[#This Row],[健康経営法人]]/テーブル3[[#This Row],[申告法人数]]</f>
        <v>5.5172413793103444E-3</v>
      </c>
      <c r="G3" s="2"/>
      <c r="H3" s="14"/>
      <c r="I3" s="16"/>
    </row>
    <row r="4" spans="1:9" ht="19.899999999999999">
      <c r="A4" s="1" t="s">
        <v>54</v>
      </c>
      <c r="B4">
        <v>204</v>
      </c>
      <c r="C4" s="15">
        <v>49967</v>
      </c>
      <c r="D4" s="20">
        <f>テーブル3[[#This Row],[健康経営法人]]/テーブル3[[#This Row],[申告法人数]]</f>
        <v>4.082694578421758E-3</v>
      </c>
      <c r="G4" s="2"/>
      <c r="H4" s="12"/>
      <c r="I4" s="15"/>
    </row>
    <row r="5" spans="1:9" ht="19.899999999999999">
      <c r="A5" s="1" t="s">
        <v>55</v>
      </c>
      <c r="B5">
        <v>501</v>
      </c>
      <c r="C5" s="15">
        <v>40514</v>
      </c>
      <c r="D5" s="20">
        <f>テーブル3[[#This Row],[健康経営法人]]/テーブル3[[#This Row],[申告法人数]]</f>
        <v>1.2366095670632375E-2</v>
      </c>
      <c r="G5" s="2"/>
      <c r="H5" s="12"/>
      <c r="I5" s="15"/>
    </row>
    <row r="6" spans="1:9" ht="19.899999999999999">
      <c r="A6" s="1" t="s">
        <v>56</v>
      </c>
      <c r="B6">
        <v>87</v>
      </c>
      <c r="C6" s="15">
        <v>30859</v>
      </c>
      <c r="D6" s="20">
        <f>テーブル3[[#This Row],[健康経営法人]]/テーブル3[[#This Row],[申告法人数]]</f>
        <v>2.8192747658705728E-3</v>
      </c>
      <c r="G6" s="2"/>
      <c r="H6" s="12"/>
      <c r="I6" s="15"/>
    </row>
    <row r="7" spans="1:9" ht="19.899999999999999">
      <c r="A7" s="1" t="s">
        <v>57</v>
      </c>
      <c r="B7">
        <v>130</v>
      </c>
      <c r="C7" s="15">
        <v>18200</v>
      </c>
      <c r="D7" s="20">
        <f>テーブル3[[#This Row],[健康経営法人]]/テーブル3[[#This Row],[申告法人数]]</f>
        <v>7.1428571428571426E-3</v>
      </c>
      <c r="G7" s="2"/>
      <c r="H7" s="12"/>
      <c r="I7" s="15"/>
    </row>
    <row r="8" spans="1:9" ht="19.899999999999999">
      <c r="A8" s="1" t="s">
        <v>58</v>
      </c>
      <c r="B8">
        <v>311</v>
      </c>
      <c r="C8" s="15">
        <v>41537</v>
      </c>
      <c r="D8" s="20">
        <f>テーブル3[[#This Row],[健康経営法人]]/テーブル3[[#This Row],[申告法人数]]</f>
        <v>7.4873004790909307E-3</v>
      </c>
      <c r="G8" s="2"/>
      <c r="H8" s="12"/>
      <c r="I8" s="15"/>
    </row>
    <row r="9" spans="1:9" ht="19.899999999999999">
      <c r="A9" s="1" t="s">
        <v>59</v>
      </c>
      <c r="B9">
        <v>89</v>
      </c>
      <c r="C9" s="16">
        <v>21421</v>
      </c>
      <c r="D9" s="20">
        <f>テーブル3[[#This Row],[健康経営法人]]/テーブル3[[#This Row],[申告法人数]]</f>
        <v>4.1548013631483123E-3</v>
      </c>
      <c r="G9" s="2"/>
      <c r="H9" s="12"/>
      <c r="I9" s="16"/>
    </row>
    <row r="10" spans="1:9" ht="19.899999999999999">
      <c r="A10" s="1" t="s">
        <v>60</v>
      </c>
      <c r="B10">
        <v>370</v>
      </c>
      <c r="C10" s="15">
        <v>43175</v>
      </c>
      <c r="D10" s="20">
        <f>テーブル3[[#This Row],[健康経営法人]]/テーブル3[[#This Row],[申告法人数]]</f>
        <v>8.5697741748697164E-3</v>
      </c>
      <c r="G10" s="2"/>
      <c r="H10" s="12"/>
      <c r="I10" s="15"/>
    </row>
    <row r="11" spans="1:9" ht="19.899999999999999">
      <c r="A11" s="1" t="s">
        <v>61</v>
      </c>
      <c r="B11">
        <v>337</v>
      </c>
      <c r="C11" s="15">
        <v>62300</v>
      </c>
      <c r="D11" s="20">
        <f>テーブル3[[#This Row],[健康経営法人]]/テーブル3[[#This Row],[申告法人数]]</f>
        <v>5.4093097913322629E-3</v>
      </c>
      <c r="G11" s="2"/>
      <c r="H11" s="12"/>
      <c r="I11" s="15"/>
    </row>
    <row r="12" spans="1:9" ht="19.899999999999999">
      <c r="A12" s="1" t="s">
        <v>62</v>
      </c>
      <c r="B12">
        <v>227</v>
      </c>
      <c r="C12" s="15">
        <v>37455</v>
      </c>
      <c r="D12" s="20">
        <f>テーブル3[[#This Row],[健康経営法人]]/テーブル3[[#This Row],[申告法人数]]</f>
        <v>6.0606060606060606E-3</v>
      </c>
      <c r="G12" s="2"/>
      <c r="H12" s="12"/>
      <c r="I12" s="15"/>
    </row>
    <row r="13" spans="1:9" ht="19.899999999999999">
      <c r="A13" s="1" t="s">
        <v>63</v>
      </c>
      <c r="B13">
        <v>272</v>
      </c>
      <c r="C13" s="15">
        <v>40699</v>
      </c>
      <c r="D13" s="20">
        <f>テーブル3[[#This Row],[健康経営法人]]/テーブル3[[#This Row],[申告法人数]]</f>
        <v>6.6832108897024499E-3</v>
      </c>
      <c r="G13" s="2"/>
      <c r="H13" s="12"/>
      <c r="I13" s="15"/>
    </row>
    <row r="14" spans="1:9" ht="19.899999999999999">
      <c r="A14" s="1" t="s">
        <v>64</v>
      </c>
      <c r="B14">
        <v>441</v>
      </c>
      <c r="C14" s="15">
        <v>61712</v>
      </c>
      <c r="D14" s="20">
        <f>テーブル3[[#This Row],[健康経営法人]]/テーブル3[[#This Row],[申告法人数]]</f>
        <v>7.1460980036297641E-3</v>
      </c>
      <c r="G14" s="2"/>
      <c r="H14" s="12"/>
      <c r="I14" s="15"/>
    </row>
    <row r="15" spans="1:9" ht="19.899999999999999">
      <c r="A15" s="1" t="s">
        <v>65</v>
      </c>
      <c r="B15">
        <v>173</v>
      </c>
      <c r="C15" s="16">
        <v>22717</v>
      </c>
      <c r="D15" s="20">
        <f>テーブル3[[#This Row],[健康経営法人]]/テーブル3[[#This Row],[申告法人数]]</f>
        <v>7.6154421798652989E-3</v>
      </c>
      <c r="G15" s="2"/>
      <c r="H15" s="12"/>
      <c r="I15" s="16"/>
    </row>
    <row r="16" spans="1:9" ht="19.899999999999999">
      <c r="A16" s="1" t="s">
        <v>66</v>
      </c>
      <c r="B16">
        <v>126</v>
      </c>
      <c r="C16" s="15">
        <v>12369</v>
      </c>
      <c r="D16" s="20">
        <f>テーブル3[[#This Row],[健康経営法人]]/テーブル3[[#This Row],[申告法人数]]</f>
        <v>1.0186757215619695E-2</v>
      </c>
      <c r="G16" s="2"/>
      <c r="H16" s="12"/>
      <c r="I16" s="15"/>
    </row>
    <row r="17" spans="1:9" ht="19.899999999999999">
      <c r="A17" s="1" t="s">
        <v>67</v>
      </c>
      <c r="B17">
        <v>83</v>
      </c>
      <c r="C17" s="15">
        <v>12912</v>
      </c>
      <c r="D17" s="20">
        <f>テーブル3[[#This Row],[健康経営法人]]/テーブル3[[#This Row],[申告法人数]]</f>
        <v>6.4281288723667908E-3</v>
      </c>
      <c r="G17" s="2"/>
      <c r="H17" s="12"/>
      <c r="I17" s="15"/>
    </row>
    <row r="18" spans="1:9" ht="19.899999999999999">
      <c r="A18" s="1" t="s">
        <v>68</v>
      </c>
      <c r="B18">
        <v>312</v>
      </c>
      <c r="C18" s="15">
        <v>140162</v>
      </c>
      <c r="D18" s="20">
        <f>テーブル3[[#This Row],[健康経営法人]]/テーブル3[[#This Row],[申告法人数]]</f>
        <v>2.2259956336239495E-3</v>
      </c>
      <c r="G18" s="2"/>
      <c r="H18" s="12"/>
      <c r="I18" s="15"/>
    </row>
    <row r="19" spans="1:9" ht="19.899999999999999">
      <c r="A19" s="1" t="s">
        <v>69</v>
      </c>
      <c r="B19">
        <v>294</v>
      </c>
      <c r="C19" s="16">
        <v>31266</v>
      </c>
      <c r="D19" s="20">
        <f>テーブル3[[#This Row],[健康経営法人]]/テーブル3[[#This Row],[申告法人数]]</f>
        <v>9.403185568988677E-3</v>
      </c>
      <c r="G19" s="2"/>
      <c r="H19" s="12"/>
      <c r="I19" s="16"/>
    </row>
    <row r="20" spans="1:9" ht="19.899999999999999">
      <c r="A20" s="1" t="s">
        <v>70</v>
      </c>
      <c r="B20">
        <v>291</v>
      </c>
      <c r="C20" s="15">
        <v>18109</v>
      </c>
      <c r="D20" s="20">
        <f>テーブル3[[#This Row],[健康経営法人]]/テーブル3[[#This Row],[申告法人数]]</f>
        <v>1.606935777790049E-2</v>
      </c>
      <c r="G20" s="2"/>
      <c r="H20" s="12"/>
      <c r="I20" s="15"/>
    </row>
    <row r="21" spans="1:9" ht="19.899999999999999">
      <c r="A21" s="1" t="s">
        <v>71</v>
      </c>
      <c r="B21">
        <v>150</v>
      </c>
      <c r="C21" s="15">
        <v>22888</v>
      </c>
      <c r="D21" s="20">
        <f>テーブル3[[#This Row],[健康経営法人]]/テーブル3[[#This Row],[申告法人数]]</f>
        <v>6.553652569031807E-3</v>
      </c>
      <c r="G21" s="2"/>
      <c r="H21" s="12"/>
      <c r="I21" s="15"/>
    </row>
    <row r="22" spans="1:9" ht="19.899999999999999">
      <c r="A22" s="1" t="s">
        <v>72</v>
      </c>
      <c r="B22">
        <v>104</v>
      </c>
      <c r="C22" s="16">
        <v>17114</v>
      </c>
      <c r="D22" s="20">
        <f>テーブル3[[#This Row],[健康経営法人]]/テーブル3[[#This Row],[申告法人数]]</f>
        <v>6.0768961084492227E-3</v>
      </c>
      <c r="G22" s="2"/>
      <c r="H22" s="12"/>
      <c r="I22" s="16"/>
    </row>
    <row r="23" spans="1:9" ht="19.899999999999999">
      <c r="A23" s="1" t="s">
        <v>73</v>
      </c>
      <c r="B23">
        <v>205</v>
      </c>
      <c r="C23" s="15">
        <v>22824</v>
      </c>
      <c r="D23" s="20">
        <f>テーブル3[[#This Row],[健康経営法人]]/テーブル3[[#This Row],[申告法人数]]</f>
        <v>8.9817735716789353E-3</v>
      </c>
      <c r="G23" s="2"/>
      <c r="H23" s="12"/>
      <c r="I23" s="15"/>
    </row>
    <row r="24" spans="1:9" ht="19.899999999999999">
      <c r="A24" s="1" t="s">
        <v>74</v>
      </c>
      <c r="B24">
        <v>212</v>
      </c>
      <c r="C24" s="15">
        <v>31786</v>
      </c>
      <c r="D24" s="20">
        <f>テーブル3[[#This Row],[健康経営法人]]/テーブル3[[#This Row],[申告法人数]]</f>
        <v>6.6696029698609452E-3</v>
      </c>
      <c r="G24" s="2"/>
      <c r="H24" s="12"/>
      <c r="I24" s="15"/>
    </row>
    <row r="25" spans="1:9" ht="19.899999999999999">
      <c r="A25" s="1" t="s">
        <v>75</v>
      </c>
      <c r="B25">
        <v>134</v>
      </c>
      <c r="C25" s="15">
        <v>15321</v>
      </c>
      <c r="D25" s="20">
        <f>テーブル3[[#This Row],[健康経営法人]]/テーブル3[[#This Row],[申告法人数]]</f>
        <v>8.7461653939037917E-3</v>
      </c>
      <c r="G25" s="2"/>
      <c r="H25" s="12"/>
      <c r="I25" s="15"/>
    </row>
    <row r="26" spans="1:9" ht="19.899999999999999">
      <c r="A26" s="1" t="s">
        <v>76</v>
      </c>
      <c r="B26">
        <v>251</v>
      </c>
      <c r="C26" s="16">
        <v>39058</v>
      </c>
      <c r="D26" s="20">
        <f>テーブル3[[#This Row],[健康経営法人]]/テーブル3[[#This Row],[申告法人数]]</f>
        <v>6.4263403144042197E-3</v>
      </c>
      <c r="G26" s="2"/>
      <c r="H26" s="12"/>
      <c r="I26" s="16"/>
    </row>
    <row r="27" spans="1:9" ht="19.899999999999999">
      <c r="A27" s="1" t="s">
        <v>77</v>
      </c>
      <c r="B27">
        <v>466</v>
      </c>
      <c r="C27" s="15">
        <v>189025</v>
      </c>
      <c r="D27" s="20">
        <f>テーブル3[[#This Row],[健康経営法人]]/テーブル3[[#This Row],[申告法人数]]</f>
        <v>2.4652823700568706E-3</v>
      </c>
      <c r="G27" s="2"/>
      <c r="H27" s="12"/>
      <c r="I27" s="15"/>
    </row>
    <row r="28" spans="1:9" ht="19.899999999999999">
      <c r="A28" s="1" t="s">
        <v>78</v>
      </c>
      <c r="B28">
        <v>131</v>
      </c>
      <c r="C28" s="19">
        <v>19598</v>
      </c>
      <c r="D28" s="20">
        <f>テーブル3[[#This Row],[健康経営法人]]/テーブル3[[#This Row],[申告法人数]]</f>
        <v>6.6843555464843355E-3</v>
      </c>
      <c r="G28" s="2"/>
      <c r="H28" s="12"/>
      <c r="I28" s="19"/>
    </row>
    <row r="29" spans="1:9" ht="19.899999999999999">
      <c r="A29" s="1" t="s">
        <v>79</v>
      </c>
      <c r="B29">
        <v>537</v>
      </c>
      <c r="C29" s="15">
        <v>73207</v>
      </c>
      <c r="D29" s="20">
        <f>テーブル3[[#This Row],[健康経営法人]]/テーブル3[[#This Row],[申告法人数]]</f>
        <v>7.3353641045255233E-3</v>
      </c>
      <c r="G29" s="2"/>
      <c r="H29" s="12"/>
      <c r="I29" s="15"/>
    </row>
    <row r="30" spans="1:9" ht="19.899999999999999">
      <c r="A30" s="1" t="s">
        <v>80</v>
      </c>
      <c r="B30">
        <v>166</v>
      </c>
      <c r="C30" s="15">
        <v>24034</v>
      </c>
      <c r="D30" s="20">
        <f>テーブル3[[#This Row],[健康経営法人]]/テーブル3[[#This Row],[申告法人数]]</f>
        <v>6.906881917283848E-3</v>
      </c>
      <c r="G30" s="2"/>
      <c r="H30" s="12"/>
      <c r="I30" s="15"/>
    </row>
    <row r="31" spans="1:9" ht="19.899999999999999">
      <c r="A31" s="1" t="s">
        <v>81</v>
      </c>
      <c r="B31">
        <v>297</v>
      </c>
      <c r="C31" s="15">
        <v>113874</v>
      </c>
      <c r="D31" s="20">
        <f>テーブル3[[#This Row],[健康経営法人]]/テーブル3[[#This Row],[申告法人数]]</f>
        <v>2.6081458454080826E-3</v>
      </c>
      <c r="G31" s="2"/>
      <c r="H31" s="12"/>
      <c r="I31" s="15"/>
    </row>
    <row r="32" spans="1:9" ht="19.899999999999999">
      <c r="A32" s="1" t="s">
        <v>82</v>
      </c>
      <c r="B32">
        <v>2098</v>
      </c>
      <c r="C32" s="16">
        <v>260309</v>
      </c>
      <c r="D32" s="20">
        <f>テーブル3[[#This Row],[健康経営法人]]/テーブル3[[#This Row],[申告法人数]]</f>
        <v>8.0596521825983727E-3</v>
      </c>
      <c r="G32" s="2"/>
      <c r="H32" s="12"/>
      <c r="I32" s="16"/>
    </row>
    <row r="33" spans="1:9" ht="19.899999999999999">
      <c r="A33" s="1" t="s">
        <v>83</v>
      </c>
      <c r="B33">
        <v>105</v>
      </c>
      <c r="C33" s="15">
        <v>24492</v>
      </c>
      <c r="D33" s="20">
        <f>テーブル3[[#This Row],[健康経営法人]]/テーブル3[[#This Row],[申告法人数]]</f>
        <v>4.2871141597256249E-3</v>
      </c>
      <c r="G33" s="2"/>
      <c r="H33" s="12"/>
      <c r="I33" s="15"/>
    </row>
    <row r="34" spans="1:9" ht="19.899999999999999">
      <c r="A34" s="1" t="s">
        <v>84</v>
      </c>
      <c r="B34">
        <v>117</v>
      </c>
      <c r="C34" s="15">
        <v>21788</v>
      </c>
      <c r="D34" s="20">
        <f>テーブル3[[#This Row],[健康経営法人]]/テーブル3[[#This Row],[申告法人数]]</f>
        <v>5.3699284009546535E-3</v>
      </c>
      <c r="G34" s="2"/>
      <c r="H34" s="12"/>
      <c r="I34" s="15"/>
    </row>
    <row r="35" spans="1:9" ht="19.899999999999999">
      <c r="A35" s="1" t="s">
        <v>85</v>
      </c>
      <c r="B35">
        <v>518</v>
      </c>
      <c r="C35" s="15">
        <v>42731</v>
      </c>
      <c r="D35" s="20">
        <f>テーブル3[[#This Row],[健康経営法人]]/テーブル3[[#This Row],[申告法人数]]</f>
        <v>1.2122346774004821E-2</v>
      </c>
      <c r="G35" s="2"/>
      <c r="H35" s="12"/>
      <c r="I35" s="15"/>
    </row>
    <row r="36" spans="1:9" ht="19.899999999999999">
      <c r="A36" s="1" t="s">
        <v>86</v>
      </c>
      <c r="B36">
        <v>93</v>
      </c>
      <c r="C36" s="15">
        <v>9847</v>
      </c>
      <c r="D36" s="20">
        <f>テーブル3[[#This Row],[健康経営法人]]/テーブル3[[#This Row],[申告法人数]]</f>
        <v>9.4445008632070681E-3</v>
      </c>
      <c r="G36" s="2"/>
      <c r="H36" s="12"/>
      <c r="I36" s="15"/>
    </row>
    <row r="37" spans="1:9" ht="19.899999999999999">
      <c r="A37" s="1" t="s">
        <v>87</v>
      </c>
      <c r="B37">
        <v>155</v>
      </c>
      <c r="C37" s="16">
        <v>11331</v>
      </c>
      <c r="D37" s="20">
        <f>テーブル3[[#This Row],[健康経営法人]]/テーブル3[[#This Row],[申告法人数]]</f>
        <v>1.3679286912011297E-2</v>
      </c>
      <c r="G37" s="2"/>
      <c r="H37" s="12"/>
      <c r="I37" s="16"/>
    </row>
    <row r="38" spans="1:9" ht="19.899999999999999">
      <c r="A38" s="1" t="s">
        <v>88</v>
      </c>
      <c r="B38">
        <v>1961</v>
      </c>
      <c r="C38" s="15">
        <v>657604</v>
      </c>
      <c r="D38" s="20">
        <f>テーブル3[[#This Row],[健康経営法人]]/テーブル3[[#This Row],[申告法人数]]</f>
        <v>2.9820378221543666E-3</v>
      </c>
      <c r="G38" s="2"/>
      <c r="H38" s="12"/>
      <c r="I38" s="15"/>
    </row>
    <row r="39" spans="1:9" ht="19.899999999999999">
      <c r="A39" s="1" t="s">
        <v>89</v>
      </c>
      <c r="B39">
        <v>125</v>
      </c>
      <c r="C39" s="15">
        <v>16130</v>
      </c>
      <c r="D39" s="20">
        <f>テーブル3[[#This Row],[健康経営法人]]/テーブル3[[#This Row],[申告法人数]]</f>
        <v>7.7495350278983261E-3</v>
      </c>
      <c r="G39" s="2"/>
      <c r="H39" s="12"/>
      <c r="I39" s="15"/>
    </row>
    <row r="40" spans="1:9" ht="19.899999999999999">
      <c r="A40" s="1" t="s">
        <v>90</v>
      </c>
      <c r="B40">
        <v>166</v>
      </c>
      <c r="C40" s="15">
        <v>38567</v>
      </c>
      <c r="D40" s="20">
        <f>テーブル3[[#This Row],[健康経営法人]]/テーブル3[[#This Row],[申告法人数]]</f>
        <v>4.3041978893873E-3</v>
      </c>
      <c r="G40" s="2"/>
      <c r="H40" s="12"/>
      <c r="I40" s="15"/>
    </row>
    <row r="41" spans="1:9" ht="19.899999999999999">
      <c r="A41" s="1" t="s">
        <v>91</v>
      </c>
      <c r="B41">
        <v>147</v>
      </c>
      <c r="C41" s="16">
        <v>21594</v>
      </c>
      <c r="D41" s="20">
        <f>テーブル3[[#This Row],[健康経営法人]]/テーブル3[[#This Row],[申告法人数]]</f>
        <v>6.8074465129202557E-3</v>
      </c>
      <c r="G41" s="2"/>
      <c r="H41" s="12"/>
      <c r="I41" s="16"/>
    </row>
    <row r="42" spans="1:9" ht="19.899999999999999">
      <c r="A42" s="1" t="s">
        <v>92</v>
      </c>
      <c r="B42">
        <v>107</v>
      </c>
      <c r="C42" s="15">
        <v>19824</v>
      </c>
      <c r="D42" s="20">
        <f>テーブル3[[#This Row],[健康経営法人]]/テーブル3[[#This Row],[申告法人数]]</f>
        <v>5.3974979822437449E-3</v>
      </c>
      <c r="G42" s="2"/>
      <c r="H42" s="12"/>
      <c r="I42" s="15"/>
    </row>
    <row r="43" spans="1:9" ht="19.899999999999999">
      <c r="A43" s="1" t="s">
        <v>93</v>
      </c>
      <c r="B43">
        <v>132</v>
      </c>
      <c r="C43" s="15">
        <v>17050</v>
      </c>
      <c r="D43" s="20">
        <f>テーブル3[[#This Row],[健康経営法人]]/テーブル3[[#This Row],[申告法人数]]</f>
        <v>7.7419354838709677E-3</v>
      </c>
      <c r="G43" s="2"/>
      <c r="H43" s="12"/>
      <c r="I43" s="15"/>
    </row>
    <row r="44" spans="1:9" ht="19.899999999999999">
      <c r="A44" s="1" t="s">
        <v>94</v>
      </c>
      <c r="B44">
        <v>419</v>
      </c>
      <c r="C44" s="16">
        <v>113017</v>
      </c>
      <c r="D44" s="20">
        <f>テーブル3[[#This Row],[健康経営法人]]/テーブル3[[#This Row],[申告法人数]]</f>
        <v>3.707406850296858E-3</v>
      </c>
      <c r="G44" s="2"/>
      <c r="H44" s="12"/>
      <c r="I44" s="16"/>
    </row>
    <row r="45" spans="1:9" ht="19.899999999999999">
      <c r="A45" s="1" t="s">
        <v>95</v>
      </c>
      <c r="B45">
        <v>269</v>
      </c>
      <c r="C45" s="15">
        <v>37275</v>
      </c>
      <c r="D45" s="20">
        <f>テーブル3[[#This Row],[健康経営法人]]/テーブル3[[#This Row],[申告法人数]]</f>
        <v>7.2166331321260897E-3</v>
      </c>
      <c r="G45" s="2"/>
      <c r="H45" s="12"/>
      <c r="I45" s="15"/>
    </row>
    <row r="46" spans="1:9" ht="19.899999999999999">
      <c r="A46" s="1" t="s">
        <v>96</v>
      </c>
      <c r="B46">
        <v>717</v>
      </c>
      <c r="C46" s="15">
        <v>108444</v>
      </c>
      <c r="D46" s="20">
        <f>テーブル3[[#This Row],[健康経営法人]]/テーブル3[[#This Row],[申告法人数]]</f>
        <v>6.6117074250304306E-3</v>
      </c>
      <c r="G46" s="2"/>
      <c r="H46" s="12"/>
      <c r="I46" s="15"/>
    </row>
    <row r="47" spans="1:9" ht="19.899999999999999">
      <c r="A47" s="1" t="s">
        <v>48</v>
      </c>
      <c r="B47">
        <v>515</v>
      </c>
      <c r="C47" s="13">
        <v>115878</v>
      </c>
      <c r="D47" s="20">
        <f>テーブル3[[#This Row],[健康経営法人]]/テーブル3[[#This Row],[申告法人数]]</f>
        <v>4.4443293809006022E-3</v>
      </c>
      <c r="G47" s="2"/>
      <c r="H47" s="12"/>
      <c r="I47" s="13"/>
    </row>
    <row r="48" spans="1:9" ht="19.899999999999999">
      <c r="A48" s="1" t="s">
        <v>97</v>
      </c>
      <c r="B48">
        <v>91</v>
      </c>
      <c r="C48" s="16">
        <v>16253</v>
      </c>
      <c r="D48" s="20">
        <f>テーブル3[[#This Row],[健康経営法人]]/テーブル3[[#This Row],[申告法人数]]</f>
        <v>5.598966344674829E-3</v>
      </c>
      <c r="G48" s="2"/>
      <c r="H48" s="17"/>
      <c r="I48" s="16"/>
    </row>
  </sheetData>
  <phoneticPr fontId="3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67E58-7391-4863-B144-C69F47F64745}">
  <dimension ref="A1:I48"/>
  <sheetViews>
    <sheetView workbookViewId="0">
      <selection activeCell="D21" sqref="D21"/>
    </sheetView>
  </sheetViews>
  <sheetFormatPr defaultRowHeight="18"/>
  <cols>
    <col min="1" max="1" width="10.625" bestFit="1" customWidth="1"/>
    <col min="2" max="2" width="29.625" bestFit="1" customWidth="1"/>
    <col min="3" max="4" width="21.375" bestFit="1" customWidth="1"/>
    <col min="5" max="5" width="20.25" bestFit="1" customWidth="1"/>
    <col min="6" max="6" width="31.25" bestFit="1" customWidth="1"/>
    <col min="7" max="7" width="30.25" customWidth="1"/>
    <col min="8" max="8" width="28.875" customWidth="1"/>
    <col min="9" max="9" width="32.125" customWidth="1"/>
  </cols>
  <sheetData>
    <row r="1" spans="1:9">
      <c r="A1" t="s">
        <v>1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</row>
    <row r="2" spans="1:9">
      <c r="A2" t="s">
        <v>106</v>
      </c>
      <c r="B2">
        <v>7.3287810753602392</v>
      </c>
      <c r="C2">
        <v>31.761847216227881</v>
      </c>
      <c r="D2">
        <v>194214.76400517911</v>
      </c>
      <c r="E2">
        <v>173.11868795856711</v>
      </c>
      <c r="F2">
        <v>21.89037548554165</v>
      </c>
      <c r="G2">
        <f>12*テーブル5[[#This Row],[千人当たり
件数(１ヶ月
当たり)]]/1000</f>
        <v>8.794537290432286E-2</v>
      </c>
      <c r="H2">
        <f>テーブル5[[#This Row],[年間の一人当たり傷病休暇件数]]*テーブル5[[#This Row],[1件当たり
日数（日）]]</f>
        <v>2.7933074975612899</v>
      </c>
      <c r="I2">
        <f>テーブル5[[#This Row],[年間の一人当たり傷病休暇件数]]*テーブル5[[#This Row],[1件当たり
金額（円）]]</f>
        <v>17080.289843960538</v>
      </c>
    </row>
    <row r="3" spans="1:9">
      <c r="A3" t="s">
        <v>107</v>
      </c>
      <c r="B3">
        <v>6.8701629500314167</v>
      </c>
      <c r="C3">
        <v>30.754107338444687</v>
      </c>
      <c r="D3">
        <v>152709.02135815992</v>
      </c>
      <c r="E3">
        <v>173.88116100766703</v>
      </c>
      <c r="F3">
        <v>17.14129244249726</v>
      </c>
      <c r="G3">
        <f>12*テーブル5[[#This Row],[千人当たり
件数(１ヶ月
当たり)]]/1000</f>
        <v>8.2441955400376993E-2</v>
      </c>
      <c r="H3">
        <f>テーブル5[[#This Row],[年間の一人当たり傷病休暇件数]]*テーブル5[[#This Row],[1件当たり
日数（日）]]</f>
        <v>2.5354287455744635</v>
      </c>
      <c r="I3">
        <f>テーブル5[[#This Row],[年間の一人当たり傷病休暇件数]]*テーブル5[[#This Row],[1件当たり
金額（円）]]</f>
        <v>12589.630328044637</v>
      </c>
    </row>
    <row r="4" spans="1:9">
      <c r="A4" t="s">
        <v>108</v>
      </c>
      <c r="B4">
        <v>6.9923100326272838</v>
      </c>
      <c r="C4">
        <v>30.173293323330832</v>
      </c>
      <c r="D4">
        <v>145848.30832708176</v>
      </c>
      <c r="E4">
        <v>165.18904726181546</v>
      </c>
      <c r="F4">
        <v>15.003750937734434</v>
      </c>
      <c r="G4">
        <f>12*テーブル5[[#This Row],[千人当たり
件数(１ヶ月
当たり)]]/1000</f>
        <v>8.3907720391527399E-2</v>
      </c>
      <c r="H4">
        <f>テーブル5[[#This Row],[年間の一人当たり傷病休暇件数]]*テーブル5[[#This Row],[1件当たり
日数（日）]]</f>
        <v>2.5317722594655838</v>
      </c>
      <c r="I4">
        <f>テーブル5[[#This Row],[年間の一人当たり傷病休暇件数]]*テーブル5[[#This Row],[1件当たり
金額（円）]]</f>
        <v>12237.799074686054</v>
      </c>
    </row>
    <row r="5" spans="1:9">
      <c r="A5" t="s">
        <v>109</v>
      </c>
      <c r="B5">
        <v>5.978144340387181</v>
      </c>
      <c r="C5">
        <v>33.2790273556231</v>
      </c>
      <c r="D5">
        <v>186025.4170212766</v>
      </c>
      <c r="E5">
        <v>163.59939209726443</v>
      </c>
      <c r="F5">
        <v>17.38601823708207</v>
      </c>
      <c r="G5">
        <f>12*テーブル5[[#This Row],[千人当たり
件数(１ヶ月
当たり)]]/1000</f>
        <v>7.1737732084646164E-2</v>
      </c>
      <c r="H5">
        <f>テーブル5[[#This Row],[年間の一人当たり傷病休暇件数]]*テーブル5[[#This Row],[1件当たり
日数（日）]]</f>
        <v>2.3873619484753008</v>
      </c>
      <c r="I5">
        <f>テーブル5[[#This Row],[年間の一人当たり傷病休暇件数]]*テーブル5[[#This Row],[1件当たり
金額（円）]]</f>
        <v>13345.041527206917</v>
      </c>
    </row>
    <row r="6" spans="1:9">
      <c r="A6" t="s">
        <v>110</v>
      </c>
      <c r="B6">
        <v>7.9570002286749508</v>
      </c>
      <c r="C6">
        <v>32.073939732142854</v>
      </c>
      <c r="D6">
        <v>192285.13671875</v>
      </c>
      <c r="E6">
        <v>170.88309151785714</v>
      </c>
      <c r="F6">
        <v>16.9921875</v>
      </c>
      <c r="G6">
        <f>12*テーブル5[[#This Row],[千人当たり
件数(１ヶ月
当たり)]]/1000</f>
        <v>9.5484002744099419E-2</v>
      </c>
      <c r="H6">
        <f>テーブル5[[#This Row],[年間の一人当たり傷病休暇件数]]*テーブル5[[#This Row],[1件当たり
日数（日）]]</f>
        <v>3.0625481493980078</v>
      </c>
      <c r="I6">
        <f>テーブル5[[#This Row],[年間の一人当たり傷病休暇件数]]*テーブル5[[#This Row],[1件当たり
金額（円）]]</f>
        <v>18360.154522102657</v>
      </c>
    </row>
    <row r="7" spans="1:9">
      <c r="A7" t="s">
        <v>111</v>
      </c>
      <c r="B7">
        <v>6.1316894428839914</v>
      </c>
      <c r="C7">
        <v>32.503018108651915</v>
      </c>
      <c r="D7">
        <v>162928.90677397719</v>
      </c>
      <c r="E7">
        <v>162.64386317907446</v>
      </c>
      <c r="F7">
        <v>17.505030181086521</v>
      </c>
      <c r="G7">
        <f>12*テーブル5[[#This Row],[千人当たり
件数(１ヶ月
当たり)]]/1000</f>
        <v>7.3580273314607897E-2</v>
      </c>
      <c r="H7">
        <f>テーブル5[[#This Row],[年間の一人当たり傷病休暇件数]]*テーブル5[[#This Row],[1件当たり
日数（日）]]</f>
        <v>2.3915809559842578</v>
      </c>
      <c r="I7">
        <f>テーブル5[[#This Row],[年間の一人当たり傷病休暇件数]]*テーブル5[[#This Row],[1件当たり
金額（円）]]</f>
        <v>11988.353491279511</v>
      </c>
    </row>
    <row r="8" spans="1:9">
      <c r="A8" t="s">
        <v>112</v>
      </c>
      <c r="B8">
        <v>6.7409174025586314</v>
      </c>
      <c r="C8">
        <v>32.021137393054858</v>
      </c>
      <c r="D8">
        <v>167698.83543029692</v>
      </c>
      <c r="E8">
        <v>171.03120281831909</v>
      </c>
      <c r="F8">
        <v>20.080523402113741</v>
      </c>
      <c r="G8">
        <f>12*テーブル5[[#This Row],[千人当たり
件数(１ヶ月
当たり)]]/1000</f>
        <v>8.089100883070359E-2</v>
      </c>
      <c r="H8">
        <f>テーブル5[[#This Row],[年間の一人当たり傷病休暇件数]]*テーブル5[[#This Row],[1件当たり
日数（日）]]</f>
        <v>2.5902221076307734</v>
      </c>
      <c r="I8">
        <f>テーブル5[[#This Row],[年間の一人当たり傷病休暇件数]]*テーブル5[[#This Row],[1件当たり
金額（円）]]</f>
        <v>13565.327977690857</v>
      </c>
    </row>
    <row r="9" spans="1:9">
      <c r="A9" t="s">
        <v>113</v>
      </c>
      <c r="B9">
        <v>7.2196810483372476</v>
      </c>
      <c r="C9">
        <v>31.292808219178081</v>
      </c>
      <c r="D9">
        <v>166447.29223744292</v>
      </c>
      <c r="E9">
        <v>164.64611872146119</v>
      </c>
      <c r="F9">
        <v>18.664383561643834</v>
      </c>
      <c r="G9">
        <f>12*テーブル5[[#This Row],[千人当たり
件数(１ヶ月
当たり)]]/1000</f>
        <v>8.663617258004698E-2</v>
      </c>
      <c r="H9">
        <f>テーブル5[[#This Row],[年間の一人当たり傷病休暇件数]]*テーブル5[[#This Row],[1件当たり
日数（日）]]</f>
        <v>2.7110891333910248</v>
      </c>
      <c r="I9">
        <f>テーブル5[[#This Row],[年間の一人当たり傷病休暇件数]]*テーブル5[[#This Row],[1件当たり
金額（円）]]</f>
        <v>14420.356335764618</v>
      </c>
    </row>
    <row r="10" spans="1:9">
      <c r="A10" t="s">
        <v>114</v>
      </c>
      <c r="B10">
        <v>6.957824435266974</v>
      </c>
      <c r="C10">
        <v>33.514955857161681</v>
      </c>
      <c r="D10">
        <v>206794.67459480828</v>
      </c>
      <c r="E10">
        <v>182.91342732902885</v>
      </c>
      <c r="F10">
        <v>24.719989458426671</v>
      </c>
      <c r="G10">
        <f>12*テーブル5[[#This Row],[千人当たり
件数(１ヶ月
当たり)]]/1000</f>
        <v>8.3493893223203691E-2</v>
      </c>
      <c r="H10">
        <f>テーブル5[[#This Row],[年間の一人当たり傷病休暇件数]]*テーブル5[[#This Row],[1件当たり
日数（日）]]</f>
        <v>2.7982941457182426</v>
      </c>
      <c r="I10">
        <f>テーブル5[[#This Row],[年間の一人当たり傷病休暇件数]]*テーブル5[[#This Row],[1件当たり
金額（円）]]</f>
        <v>17266.092479746076</v>
      </c>
    </row>
    <row r="11" spans="1:9">
      <c r="A11" t="s">
        <v>115</v>
      </c>
      <c r="B11">
        <v>6.9792116407462865</v>
      </c>
      <c r="C11">
        <v>32.809805857189865</v>
      </c>
      <c r="D11">
        <v>187177.01316222441</v>
      </c>
      <c r="E11">
        <v>164.03224744981901</v>
      </c>
      <c r="F11">
        <v>17.670286278381049</v>
      </c>
      <c r="G11">
        <f>12*テーブル5[[#This Row],[千人当たり
件数(１ヶ月
当たり)]]/1000</f>
        <v>8.3750539688955447E-2</v>
      </c>
      <c r="H11">
        <f>テーブル5[[#This Row],[年間の一人当たり傷病休暇件数]]*テーブル5[[#This Row],[1件当たり
日数（日）]]</f>
        <v>2.7478389476295026</v>
      </c>
      <c r="I11">
        <f>テーブル5[[#This Row],[年間の一人当たり傷病休暇件数]]*テーブル5[[#This Row],[1件当たり
金額（円）]]</f>
        <v>15676.175869703011</v>
      </c>
    </row>
    <row r="12" spans="1:9">
      <c r="A12" t="s">
        <v>116</v>
      </c>
      <c r="B12">
        <v>9.0763481046449535</v>
      </c>
      <c r="C12">
        <v>30.676633084172895</v>
      </c>
      <c r="D12">
        <v>159308.40721481963</v>
      </c>
      <c r="E12">
        <v>157.68150796230094</v>
      </c>
      <c r="F12">
        <v>18.55703607409815</v>
      </c>
      <c r="G12">
        <f>12*テーブル5[[#This Row],[千人当たり
件数(１ヶ月
当たり)]]/1000</f>
        <v>0.10891617725573945</v>
      </c>
      <c r="H12">
        <f>テーブル5[[#This Row],[年間の一人当たり傷病休暇件数]]*テーブル5[[#This Row],[1件当たり
日数（日）]]</f>
        <v>3.3411816066050561</v>
      </c>
      <c r="I12">
        <f>テーブル5[[#This Row],[年間の一人当たり傷病休暇件数]]*テーブル5[[#This Row],[1件当たり
金額（円）]]</f>
        <v>17351.262718538816</v>
      </c>
    </row>
    <row r="13" spans="1:9">
      <c r="A13" t="s">
        <v>117</v>
      </c>
      <c r="B13">
        <v>6.0279061539482122</v>
      </c>
      <c r="C13">
        <v>33.865737344093908</v>
      </c>
      <c r="D13">
        <v>183714.37417461482</v>
      </c>
      <c r="E13">
        <v>157.76742479823918</v>
      </c>
      <c r="F13">
        <v>19.95597945707997</v>
      </c>
      <c r="G13">
        <f>12*テーブル5[[#This Row],[千人当たり
件数(１ヶ月
当たり)]]/1000</f>
        <v>7.233487384737855E-2</v>
      </c>
      <c r="H13">
        <f>テーブル5[[#This Row],[年間の一人当たり傷病休暇件数]]*テーブル5[[#This Row],[1件当たり
日数（日）]]</f>
        <v>2.4496738385334895</v>
      </c>
      <c r="I13">
        <f>テーブル5[[#This Row],[年間の一人当たり傷病休暇件数]]*テーブル5[[#This Row],[1件当たり
金額（円）]]</f>
        <v>13288.956079870863</v>
      </c>
    </row>
    <row r="14" spans="1:9">
      <c r="A14" t="s">
        <v>118</v>
      </c>
      <c r="B14">
        <v>7.9524027357827443</v>
      </c>
      <c r="C14">
        <v>32.106278498772362</v>
      </c>
      <c r="D14">
        <v>165487.33251490706</v>
      </c>
      <c r="E14">
        <v>157.03612767450016</v>
      </c>
      <c r="F14">
        <v>17.958611013679409</v>
      </c>
      <c r="G14">
        <f>12*テーブル5[[#This Row],[千人当たり
件数(１ヶ月
当たり)]]/1000</f>
        <v>9.5428832829392934E-2</v>
      </c>
      <c r="H14">
        <f>テーブル5[[#This Row],[年間の一人当たり傷病休暇件数]]*テーブル5[[#This Row],[1件当たり
日数（日）]]</f>
        <v>3.0638646836332804</v>
      </c>
      <c r="I14">
        <f>テーブル5[[#This Row],[年間の一人当たり傷病休暇件数]]*テーブル5[[#This Row],[1件当たり
金額（円）]]</f>
        <v>15792.262989947227</v>
      </c>
    </row>
    <row r="15" spans="1:9">
      <c r="A15" t="s">
        <v>119</v>
      </c>
      <c r="B15">
        <v>6.9986702066471258</v>
      </c>
      <c r="C15">
        <v>32.944247205785665</v>
      </c>
      <c r="D15">
        <v>211586.81288625905</v>
      </c>
      <c r="E15">
        <v>182.23247863247863</v>
      </c>
      <c r="F15">
        <v>22.327416173570018</v>
      </c>
      <c r="G15">
        <f>12*テーブル5[[#This Row],[千人当たり
件数(１ヶ月
当たり)]]/1000</f>
        <v>8.39840424797655E-2</v>
      </c>
      <c r="H15">
        <f>テーブル5[[#This Row],[年間の一人当たり傷病休暇件数]]*テーブル5[[#This Row],[1件当たり
日数（日）]]</f>
        <v>2.7667910567945992</v>
      </c>
      <c r="I15">
        <f>テーブル5[[#This Row],[年間の一人当たり傷病休暇件数]]*テーブル5[[#This Row],[1件当たり
金額（円）]]</f>
        <v>17769.915881597775</v>
      </c>
    </row>
    <row r="16" spans="1:9">
      <c r="A16" t="s">
        <v>120</v>
      </c>
      <c r="B16">
        <v>6.225457331673212</v>
      </c>
      <c r="C16">
        <v>32.336713286713284</v>
      </c>
      <c r="D16">
        <v>183980.44055944055</v>
      </c>
      <c r="E16">
        <v>171.91153846153847</v>
      </c>
      <c r="F16">
        <v>20.6993006993007</v>
      </c>
      <c r="G16">
        <f>12*テーブル5[[#This Row],[千人当たり
件数(１ヶ月
当たり)]]/1000</f>
        <v>7.4705487980078547E-2</v>
      </c>
      <c r="H16">
        <f>テーブル5[[#This Row],[年間の一人当たり傷病休暇件数]]*テーブル5[[#This Row],[1件当たり
日数（日）]]</f>
        <v>2.4157299457558055</v>
      </c>
      <c r="I16">
        <f>テーブル5[[#This Row],[年間の一人当たり傷病休暇件数]]*テーブル5[[#This Row],[1件当たり
金額（円）]]</f>
        <v>13744.348590782842</v>
      </c>
    </row>
    <row r="17" spans="1:9">
      <c r="A17" t="s">
        <v>121</v>
      </c>
      <c r="B17">
        <v>6.4702956290832301</v>
      </c>
      <c r="C17">
        <v>33.519862817947988</v>
      </c>
      <c r="D17">
        <v>199964.20434409831</v>
      </c>
      <c r="E17">
        <v>184.62446413260932</v>
      </c>
      <c r="F17">
        <v>21.348956844812804</v>
      </c>
      <c r="G17">
        <f>12*テーブル5[[#This Row],[千人当たり
件数(１ヶ月
当たり)]]/1000</f>
        <v>7.7643547548998756E-2</v>
      </c>
      <c r="H17">
        <f>テーブル5[[#This Row],[年間の一人当たり傷病休暇件数]]*テーブル5[[#This Row],[1件当たり
日数（日）]]</f>
        <v>2.6026010625412601</v>
      </c>
      <c r="I17">
        <f>テーブル5[[#This Row],[年間の一人当たり傷病休暇件数]]*テーブル5[[#This Row],[1件当たり
金額（円）]]</f>
        <v>15525.930208088701</v>
      </c>
    </row>
    <row r="18" spans="1:9">
      <c r="A18" t="s">
        <v>122</v>
      </c>
      <c r="B18">
        <v>7.4561264152342215</v>
      </c>
      <c r="C18">
        <v>33.178267045454547</v>
      </c>
      <c r="D18">
        <v>172799.23401988635</v>
      </c>
      <c r="E18">
        <v>163.21377840909091</v>
      </c>
      <c r="F18">
        <v>19.389204545454543</v>
      </c>
      <c r="G18">
        <f>12*テーブル5[[#This Row],[千人当たり
件数(１ヶ月
当たり)]]/1000</f>
        <v>8.9473516982810655E-2</v>
      </c>
      <c r="H18">
        <f>テーブル5[[#This Row],[年間の一人当たり傷病休暇件数]]*テーブル5[[#This Row],[1件当たり
日数（日）]]</f>
        <v>2.9685762399517044</v>
      </c>
      <c r="I18">
        <f>テーブル5[[#This Row],[年間の一人当たり傷病休暇件数]]*テーブル5[[#This Row],[1件当たり
金額（円）]]</f>
        <v>15460.955199694974</v>
      </c>
    </row>
    <row r="19" spans="1:9">
      <c r="A19" t="s">
        <v>123</v>
      </c>
      <c r="B19">
        <v>6.7324341271704933</v>
      </c>
      <c r="C19">
        <v>31.030663089306248</v>
      </c>
      <c r="D19">
        <v>180041.08202376388</v>
      </c>
      <c r="E19">
        <v>164.79149099271751</v>
      </c>
      <c r="F19">
        <v>19.854350325795327</v>
      </c>
      <c r="G19">
        <f>12*テーブル5[[#This Row],[千人当たり
件数(１ヶ月
当たり)]]/1000</f>
        <v>8.078920952604593E-2</v>
      </c>
      <c r="H19">
        <f>テーブル5[[#This Row],[年間の一人当たり傷病休暇件数]]*テーブル5[[#This Row],[1件当たり
日数（日）]]</f>
        <v>2.5069427420541022</v>
      </c>
      <c r="I19">
        <f>テーブル5[[#This Row],[年間の一人当たり傷病休暇件数]]*テーブル5[[#This Row],[1件当たり
金額（円）]]</f>
        <v>14545.376698913882</v>
      </c>
    </row>
    <row r="20" spans="1:9">
      <c r="A20" t="s">
        <v>124</v>
      </c>
      <c r="B20">
        <v>7.0362939000586922</v>
      </c>
      <c r="C20">
        <v>33.19398642095053</v>
      </c>
      <c r="D20">
        <v>173626.02424830262</v>
      </c>
      <c r="E20">
        <v>179.3831231813773</v>
      </c>
      <c r="F20">
        <v>18.137730358874879</v>
      </c>
      <c r="G20">
        <f>12*テーブル5[[#This Row],[千人当たり
件数(１ヶ月
当たり)]]/1000</f>
        <v>8.4435526800704305E-2</v>
      </c>
      <c r="H20">
        <f>テーブル5[[#This Row],[年間の一人当たり傷病休暇件数]]*テーブル5[[#This Row],[1件当たり
日数（日）]]</f>
        <v>2.8027517300683833</v>
      </c>
      <c r="I20">
        <f>テーブル5[[#This Row],[年間の一人当たり傷病休暇件数]]*テーブル5[[#This Row],[1件当たり
金額（円）]]</f>
        <v>14660.204823717291</v>
      </c>
    </row>
    <row r="21" spans="1:9">
      <c r="A21" t="s">
        <v>125</v>
      </c>
      <c r="B21">
        <v>6.3479629859849735</v>
      </c>
      <c r="C21">
        <v>32.914211438474872</v>
      </c>
      <c r="D21">
        <v>204114.1596187175</v>
      </c>
      <c r="E21">
        <v>170.28266897746968</v>
      </c>
      <c r="F21">
        <v>20.935875216637783</v>
      </c>
      <c r="G21">
        <f>12*テーブル5[[#This Row],[千人当たり
件数(１ヶ月
当たり)]]/1000</f>
        <v>7.6175555831819675E-2</v>
      </c>
      <c r="H21">
        <f>テーブル5[[#This Row],[年間の一人当たり傷病休暇件数]]*テーブル5[[#This Row],[1件当たり
日数（日）]]</f>
        <v>2.5072583510918602</v>
      </c>
      <c r="I21">
        <f>テーブル5[[#This Row],[年間の一人当たり傷病休暇件数]]*テーブル5[[#This Row],[1件当たり
金額（円）]]</f>
        <v>15548.509562100568</v>
      </c>
    </row>
    <row r="22" spans="1:9">
      <c r="A22" t="s">
        <v>126</v>
      </c>
      <c r="B22">
        <v>8.2667466295074643</v>
      </c>
      <c r="C22">
        <v>32.513513513513516</v>
      </c>
      <c r="D22">
        <v>163377.46728307253</v>
      </c>
      <c r="E22">
        <v>157.5796586059744</v>
      </c>
      <c r="F22">
        <v>17.567567567567568</v>
      </c>
      <c r="G22">
        <f>12*テーブル5[[#This Row],[千人当たり
件数(１ヶ月
当たり)]]/1000</f>
        <v>9.9200959554089571E-2</v>
      </c>
      <c r="H22">
        <f>テーブル5[[#This Row],[年間の一人当たり傷病休暇件数]]*テーブル5[[#This Row],[1件当たり
日数（日）]]</f>
        <v>3.2253717390153991</v>
      </c>
      <c r="I22">
        <f>テーブル5[[#This Row],[年間の一人当たり傷病休暇件数]]*テーブル5[[#This Row],[1件当たり
金額（円）]]</f>
        <v>16207.20152399767</v>
      </c>
    </row>
    <row r="23" spans="1:9">
      <c r="A23" t="s">
        <v>127</v>
      </c>
      <c r="B23">
        <v>6.9980888563810959</v>
      </c>
      <c r="C23">
        <v>30.894133513149022</v>
      </c>
      <c r="D23">
        <v>181309.91436277816</v>
      </c>
      <c r="E23">
        <v>170.01281186783547</v>
      </c>
      <c r="F23">
        <v>21.240728253540123</v>
      </c>
      <c r="G23">
        <f>12*テーブル5[[#This Row],[千人当たり
件数(１ヶ月
当たり)]]/1000</f>
        <v>8.3977066276573156E-2</v>
      </c>
      <c r="H23">
        <f>テーブル5[[#This Row],[年間の一人当たり傷病休暇件数]]*テーブル5[[#This Row],[1件当たり
日数（日）]]</f>
        <v>2.5943986975910152</v>
      </c>
      <c r="I23">
        <f>テーブル5[[#This Row],[年間の一人当たり傷病休暇件数]]*テーブル5[[#This Row],[1件当たり
金額（円）]]</f>
        <v>15225.874695042825</v>
      </c>
    </row>
    <row r="24" spans="1:9">
      <c r="A24" t="s">
        <v>128</v>
      </c>
      <c r="B24">
        <v>7.2717035073720302</v>
      </c>
      <c r="C24">
        <v>31.653262032085561</v>
      </c>
      <c r="D24">
        <v>180906.22331550802</v>
      </c>
      <c r="E24">
        <v>175.50502673796791</v>
      </c>
      <c r="F24">
        <v>21.026737967914439</v>
      </c>
      <c r="G24">
        <f>12*テーブル5[[#This Row],[千人当たり
件数(１ヶ月
当たり)]]/1000</f>
        <v>8.7260442088464354E-2</v>
      </c>
      <c r="H24">
        <f>テーブル5[[#This Row],[年間の一人当たり傷病休暇件数]]*テーブル5[[#This Row],[1件当たり
日数（日）]]</f>
        <v>2.7620776384617898</v>
      </c>
      <c r="I24">
        <f>テーブル5[[#This Row],[年間の一人当たり傷病休暇件数]]*テーブル5[[#This Row],[1件当たり
金額（円）]]</f>
        <v>15785.957023065688</v>
      </c>
    </row>
    <row r="25" spans="1:9">
      <c r="A25" t="s">
        <v>129</v>
      </c>
      <c r="B25">
        <v>6.4563379480506544</v>
      </c>
      <c r="C25">
        <v>32.245594713656388</v>
      </c>
      <c r="D25">
        <v>168151.52422907489</v>
      </c>
      <c r="E25">
        <v>156.37334801762114</v>
      </c>
      <c r="F25">
        <v>15.198237885462554</v>
      </c>
      <c r="G25">
        <f>12*テーブル5[[#This Row],[千人当たり
件数(１ヶ月
当たり)]]/1000</f>
        <v>7.7476055376607858E-2</v>
      </c>
      <c r="H25">
        <f>テーブル5[[#This Row],[年間の一人当たり傷病休暇件数]]*テーブル5[[#This Row],[1件当たり
日数（日）]]</f>
        <v>2.498261481686896</v>
      </c>
      <c r="I25">
        <f>テーブル5[[#This Row],[年間の一人当たり傷病休暇件数]]*テーブル5[[#This Row],[1件当たり
金額（円）]]</f>
        <v>13027.716802832823</v>
      </c>
    </row>
    <row r="26" spans="1:9">
      <c r="A26" t="s">
        <v>130</v>
      </c>
      <c r="B26">
        <v>7.0263137327986822</v>
      </c>
      <c r="C26">
        <v>32.420962566844921</v>
      </c>
      <c r="D26">
        <v>200129.78481283423</v>
      </c>
      <c r="E26">
        <v>180.24748663101605</v>
      </c>
      <c r="F26">
        <v>21.882352941176471</v>
      </c>
      <c r="G26">
        <f>12*テーブル5[[#This Row],[千人当たり
件数(１ヶ月
当たり)]]/1000</f>
        <v>8.4315764793584186E-2</v>
      </c>
      <c r="H26">
        <f>テーブル5[[#This Row],[年間の一人当たり傷病休暇件数]]*テーブル5[[#This Row],[1件当たり
日数（日）]]</f>
        <v>2.7335982541676938</v>
      </c>
      <c r="I26">
        <f>テーブル5[[#This Row],[年間の一人当たり傷病休暇件数]]*テーブル5[[#This Row],[1件当たり
金額（円）]]</f>
        <v>16874.095864469549</v>
      </c>
    </row>
    <row r="27" spans="1:9">
      <c r="A27" t="s">
        <v>131</v>
      </c>
      <c r="B27">
        <v>7.3608474319987902</v>
      </c>
      <c r="C27">
        <v>32.903598034553809</v>
      </c>
      <c r="D27">
        <v>212556.19885877319</v>
      </c>
      <c r="E27">
        <v>174.02716753843714</v>
      </c>
      <c r="F27">
        <v>26.283087652559832</v>
      </c>
      <c r="G27">
        <f>12*テーブル5[[#This Row],[千人当たり
件数(１ヶ月
当たり)]]/1000</f>
        <v>8.833016918398548E-2</v>
      </c>
      <c r="H27">
        <f>テーブル5[[#This Row],[年間の一人当たり傷病休暇件数]]*テーブル5[[#This Row],[1件当たり
日数（日）]]</f>
        <v>2.9063803811539901</v>
      </c>
      <c r="I27">
        <f>テーブル5[[#This Row],[年間の一人当たり傷病休暇件数]]*テーブル5[[#This Row],[1件当たり
金額（円）]]</f>
        <v>18775.125006300299</v>
      </c>
    </row>
    <row r="28" spans="1:9">
      <c r="A28" t="s">
        <v>132</v>
      </c>
      <c r="B28">
        <v>6.0881171537580112</v>
      </c>
      <c r="C28">
        <v>34.922440537745608</v>
      </c>
      <c r="D28">
        <v>186981.25853154084</v>
      </c>
      <c r="E28">
        <v>153.52326783867633</v>
      </c>
      <c r="F28">
        <v>18.200620475698035</v>
      </c>
      <c r="G28">
        <f>12*テーブル5[[#This Row],[千人当たり
件数(１ヶ月
当たり)]]/1000</f>
        <v>7.3057405845096124E-2</v>
      </c>
      <c r="H28">
        <f>テーブル5[[#This Row],[年間の一人当たり傷病休暇件数]]*テーブル5[[#This Row],[1件当たり
日数（日）]]</f>
        <v>2.5513429114673176</v>
      </c>
      <c r="I28">
        <f>テーブル5[[#This Row],[年間の一人当たり傷病休暇件数]]*テーブル5[[#This Row],[1件当たり
金額（円）]]</f>
        <v>13660.365689965622</v>
      </c>
    </row>
    <row r="29" spans="1:9">
      <c r="A29" t="s">
        <v>133</v>
      </c>
      <c r="B29">
        <v>6.9587225921020419</v>
      </c>
      <c r="C29">
        <v>31.465027554048326</v>
      </c>
      <c r="D29">
        <v>180879.62102585842</v>
      </c>
      <c r="E29">
        <v>167.83425180161086</v>
      </c>
      <c r="F29">
        <v>18.016108520559559</v>
      </c>
      <c r="G29">
        <f>12*テーブル5[[#This Row],[千人当たり
件数(１ヶ月
当たり)]]/1000</f>
        <v>8.3504671105224498E-2</v>
      </c>
      <c r="H29">
        <f>テーブル5[[#This Row],[年間の一人当たり傷病休暇件数]]*テーブル5[[#This Row],[1件当たり
日数（日）]]</f>
        <v>2.6274767772176322</v>
      </c>
      <c r="I29">
        <f>テーブル5[[#This Row],[年間の一人当たり傷病休暇件数]]*テーブル5[[#This Row],[1件当たり
金額（円）]]</f>
        <v>15104.293263401956</v>
      </c>
    </row>
    <row r="30" spans="1:9">
      <c r="A30" t="s">
        <v>134</v>
      </c>
      <c r="B30">
        <v>7.4516387816033012</v>
      </c>
      <c r="C30">
        <v>31.436182019977803</v>
      </c>
      <c r="D30">
        <v>157250.25527192009</v>
      </c>
      <c r="E30">
        <v>159.17869034406215</v>
      </c>
      <c r="F30">
        <v>15.316315205327413</v>
      </c>
      <c r="G30">
        <f>12*テーブル5[[#This Row],[千人当たり
件数(１ヶ月
当たり)]]/1000</f>
        <v>8.9419665379239621E-2</v>
      </c>
      <c r="H30">
        <f>テーブル5[[#This Row],[年間の一人当たり傷病休暇件数]]*テーブル5[[#This Row],[1件当たり
日数（日）]]</f>
        <v>2.8110128770272844</v>
      </c>
      <c r="I30">
        <f>テーブル5[[#This Row],[年間の一人当たり傷病休暇件数]]*テーブル5[[#This Row],[1件当たり
金額（円）]]</f>
        <v>14061.265207215105</v>
      </c>
    </row>
    <row r="31" spans="1:9">
      <c r="A31" t="s">
        <v>135</v>
      </c>
      <c r="B31">
        <v>5.5031756676791979</v>
      </c>
      <c r="C31">
        <v>33.49677419354839</v>
      </c>
      <c r="D31">
        <v>185618.59784946236</v>
      </c>
      <c r="E31">
        <v>165.86738351254479</v>
      </c>
      <c r="F31">
        <v>17.20430107526882</v>
      </c>
      <c r="G31">
        <f>12*テーブル5[[#This Row],[千人当たり
件数(１ヶ月
当たり)]]/1000</f>
        <v>6.6038108012150376E-2</v>
      </c>
      <c r="H31">
        <f>テーブル5[[#This Row],[年間の一人当たり傷病休暇件数]]*テーブル5[[#This Row],[1件当たり
日数（日）]]</f>
        <v>2.2120635922521599</v>
      </c>
      <c r="I31">
        <f>テーブル5[[#This Row],[年間の一人当たり傷病休暇件数]]*テーブル5[[#This Row],[1件当たり
金額（円）]]</f>
        <v>12257.901013846698</v>
      </c>
    </row>
    <row r="32" spans="1:9">
      <c r="A32" t="s">
        <v>136</v>
      </c>
      <c r="B32">
        <v>7.5533051868808219</v>
      </c>
      <c r="C32">
        <v>32.283492222779728</v>
      </c>
      <c r="D32">
        <v>167095.54992473658</v>
      </c>
      <c r="E32">
        <v>167.77922729553438</v>
      </c>
      <c r="F32">
        <v>19.819367787255395</v>
      </c>
      <c r="G32">
        <f>12*テーブル5[[#This Row],[千人当たり
件数(１ヶ月
当たり)]]/1000</f>
        <v>9.0639662242569863E-2</v>
      </c>
      <c r="H32">
        <f>テーブル5[[#This Row],[年間の一人当たり傷病休暇件数]]*テーブル5[[#This Row],[1件当たり
日数（日）]]</f>
        <v>2.9261648310833857</v>
      </c>
      <c r="I32">
        <f>テーブル5[[#This Row],[年間の一人当たり傷病休暇件数]]*テーブル5[[#This Row],[1件当たり
金額（円）]]</f>
        <v>15145.484207414594</v>
      </c>
    </row>
    <row r="33" spans="1:9">
      <c r="A33" t="s">
        <v>137</v>
      </c>
      <c r="B33">
        <v>6.2465709295360625</v>
      </c>
      <c r="C33">
        <v>32.241337630942787</v>
      </c>
      <c r="D33">
        <v>177649.91498791298</v>
      </c>
      <c r="E33">
        <v>171.88799355358583</v>
      </c>
      <c r="F33">
        <v>18.61402095084609</v>
      </c>
      <c r="G33">
        <f>12*テーブル5[[#This Row],[千人当たり
件数(１ヶ月
当たり)]]/1000</f>
        <v>7.4958851154432751E-2</v>
      </c>
      <c r="H33">
        <f>テーブル5[[#This Row],[年間の一人当たり傷病休暇件数]]*テーブル5[[#This Row],[1件当たり
日数（日）]]</f>
        <v>2.4167736284976518</v>
      </c>
      <c r="I33">
        <f>テーブル5[[#This Row],[年間の一人当たり傷病休暇件数]]*テーブル5[[#This Row],[1件当たり
金額（円）]]</f>
        <v>13316.433535176602</v>
      </c>
    </row>
    <row r="34" spans="1:9">
      <c r="A34" t="s">
        <v>138</v>
      </c>
      <c r="B34">
        <v>6.7864725508037607</v>
      </c>
      <c r="C34">
        <v>32.387869114126097</v>
      </c>
      <c r="D34">
        <v>195728.74620909817</v>
      </c>
      <c r="E34">
        <v>169.24181963288109</v>
      </c>
      <c r="F34">
        <v>20.351157222665602</v>
      </c>
      <c r="G34">
        <f>12*テーブル5[[#This Row],[千人当たり
件数(１ヶ月
当たり)]]/1000</f>
        <v>8.143767060964513E-2</v>
      </c>
      <c r="H34">
        <f>テーブル5[[#This Row],[年間の一人当たり傷病休暇件数]]*テーブル5[[#This Row],[1件当たり
日数（日）]]</f>
        <v>2.6375926166645001</v>
      </c>
      <c r="I34">
        <f>テーブル5[[#This Row],[年間の一人当たり傷病休暇件数]]*テーブル5[[#This Row],[1件当たり
金額（円）]]</f>
        <v>15939.693162615366</v>
      </c>
    </row>
    <row r="35" spans="1:9">
      <c r="A35" t="s">
        <v>139</v>
      </c>
      <c r="B35">
        <v>6.4953900341862632</v>
      </c>
      <c r="C35">
        <v>32.687400318979265</v>
      </c>
      <c r="D35">
        <v>171595.00574162678</v>
      </c>
      <c r="E35">
        <v>158.87368421052631</v>
      </c>
      <c r="F35">
        <v>16.044657097288674</v>
      </c>
      <c r="G35">
        <f>12*テーブル5[[#This Row],[千人当たり
件数(１ヶ月
当たり)]]/1000</f>
        <v>7.7944680410235154E-2</v>
      </c>
      <c r="H35">
        <f>テーブル5[[#This Row],[年間の一人当たり傷病休暇件数]]*テーブル5[[#This Row],[1件当たり
日数（日）]]</f>
        <v>2.5478089713042573</v>
      </c>
      <c r="I35">
        <f>テーブル5[[#This Row],[年間の一人当たり傷病休暇件数]]*テーブル5[[#This Row],[1件当たり
金額（円）]]</f>
        <v>13374.917882523565</v>
      </c>
    </row>
    <row r="36" spans="1:9">
      <c r="A36" t="s">
        <v>140</v>
      </c>
      <c r="B36">
        <v>6.8078585044604356</v>
      </c>
      <c r="C36">
        <v>33.492122787071622</v>
      </c>
      <c r="D36">
        <v>199841.77326620108</v>
      </c>
      <c r="E36">
        <v>171.27009907422445</v>
      </c>
      <c r="F36">
        <v>22.267337989280495</v>
      </c>
      <c r="G36">
        <f>12*テーブル5[[#This Row],[千人当たり
件数(１ヶ月
当たり)]]/1000</f>
        <v>8.1694302053525236E-2</v>
      </c>
      <c r="H36">
        <f>テーブル5[[#This Row],[年間の一人当たり傷病休暇件数]]*テーブル5[[#This Row],[1件当たり
日数（日）]]</f>
        <v>2.7361155953807845</v>
      </c>
      <c r="I36">
        <f>テーブル5[[#This Row],[年間の一人当たり傷病休暇件数]]*テーブル5[[#This Row],[1件当たり
金額（円）]]</f>
        <v>16325.934188121135</v>
      </c>
    </row>
    <row r="37" spans="1:9">
      <c r="A37" t="s">
        <v>141</v>
      </c>
      <c r="B37">
        <v>6.957711194276448</v>
      </c>
      <c r="C37">
        <v>33.207422133863489</v>
      </c>
      <c r="D37">
        <v>187502.2805389883</v>
      </c>
      <c r="E37">
        <v>169.46476695383257</v>
      </c>
      <c r="F37">
        <v>19.946984758117956</v>
      </c>
      <c r="G37">
        <f>12*テーブル5[[#This Row],[千人当たり
件数(１ヶ月
当たり)]]/1000</f>
        <v>8.349253433131737E-2</v>
      </c>
      <c r="H37">
        <f>テーブル5[[#This Row],[年間の一人当たり傷病休暇件数]]*テーブル5[[#This Row],[1件当たり
日数（日）]]</f>
        <v>2.7725718325661455</v>
      </c>
      <c r="I37">
        <f>テーブル5[[#This Row],[年間の一人当たり傷病休暇件数]]*テーブル5[[#This Row],[1件当たり
金額（円）]]</f>
        <v>15655.040595101782</v>
      </c>
    </row>
    <row r="38" spans="1:9">
      <c r="A38" t="s">
        <v>142</v>
      </c>
      <c r="B38">
        <v>6.3750287100370286</v>
      </c>
      <c r="C38">
        <v>32.548330404217928</v>
      </c>
      <c r="D38">
        <v>181841.0913884007</v>
      </c>
      <c r="E38">
        <v>164.68365553602811</v>
      </c>
      <c r="F38">
        <v>17.66256590509666</v>
      </c>
      <c r="G38">
        <f>12*テーブル5[[#This Row],[千人当たり
件数(１ヶ月
当たり)]]/1000</f>
        <v>7.6500344520444338E-2</v>
      </c>
      <c r="H38">
        <f>テーブル5[[#This Row],[年間の一人当たり傷病休暇件数]]*テーブル5[[#This Row],[1件当たり
日数（日）]]</f>
        <v>2.489958489487925</v>
      </c>
      <c r="I38">
        <f>テーブル5[[#This Row],[年間の一人当たり傷病休暇件数]]*テーブル5[[#This Row],[1件当たり
金額（円）]]</f>
        <v>13910.906139186258</v>
      </c>
    </row>
    <row r="39" spans="1:9">
      <c r="A39" t="s">
        <v>143</v>
      </c>
      <c r="B39">
        <v>8.383430033279442</v>
      </c>
      <c r="C39">
        <v>31.846705605082487</v>
      </c>
      <c r="D39">
        <v>179313.32820985757</v>
      </c>
      <c r="E39">
        <v>164.81176350035864</v>
      </c>
      <c r="F39">
        <v>21.856747617583768</v>
      </c>
      <c r="G39">
        <f>12*テーブル5[[#This Row],[千人当たり
件数(１ヶ月
当たり)]]/1000</f>
        <v>0.10060116039935331</v>
      </c>
      <c r="H39">
        <f>テーブル5[[#This Row],[年間の一人当たり傷病休暇件数]]*テーブル5[[#This Row],[1件当たり
日数（日）]]</f>
        <v>3.2038155387678873</v>
      </c>
      <c r="I39">
        <f>テーブル5[[#This Row],[年間の一人当たり傷病休暇件数]]*テーブル5[[#This Row],[1件当たり
金額（円）]]</f>
        <v>18039.128892981767</v>
      </c>
    </row>
    <row r="40" spans="1:9">
      <c r="A40" t="s">
        <v>144</v>
      </c>
      <c r="B40">
        <v>6.6963840523345093</v>
      </c>
      <c r="C40">
        <v>32.435219657483245</v>
      </c>
      <c r="D40">
        <v>175470.43559195829</v>
      </c>
      <c r="E40">
        <v>178.51675353685778</v>
      </c>
      <c r="F40">
        <v>18.615040953090098</v>
      </c>
      <c r="G40">
        <f>12*テーブル5[[#This Row],[千人当たり
件数(１ヶ月
当たり)]]/1000</f>
        <v>8.0356608628014109E-2</v>
      </c>
      <c r="H40">
        <f>テーブル5[[#This Row],[年間の一人当たり傷病休暇件数]]*テーブル5[[#This Row],[1件当たり
日数（日）]]</f>
        <v>2.6063842517800508</v>
      </c>
      <c r="I40">
        <f>テーブル5[[#This Row],[年間の一人当たり傷病休暇件数]]*テーブル5[[#This Row],[1件当たり
金額（円）]]</f>
        <v>14100.209118650149</v>
      </c>
    </row>
    <row r="41" spans="1:9">
      <c r="A41" t="s">
        <v>145</v>
      </c>
      <c r="B41">
        <v>6.3006012928360038</v>
      </c>
      <c r="C41">
        <v>30.935989256938228</v>
      </c>
      <c r="D41">
        <v>171842.05580423755</v>
      </c>
      <c r="E41">
        <v>182.27499253954045</v>
      </c>
      <c r="F41">
        <v>23.530289465831096</v>
      </c>
      <c r="G41">
        <f>12*テーブル5[[#This Row],[千人当たり
件数(１ヶ月
当たり)]]/1000</f>
        <v>7.5607215514032045E-2</v>
      </c>
      <c r="H41">
        <f>テーブル5[[#This Row],[年間の一人当たり傷病休暇件数]]*テーブル5[[#This Row],[1件当たり
日数（日）]]</f>
        <v>2.3389840068891088</v>
      </c>
      <c r="I41">
        <f>テーブル5[[#This Row],[年間の一人当たり傷病休暇件数]]*テーブル5[[#This Row],[1件当たり
金額（円）]]</f>
        <v>12992.49934756531</v>
      </c>
    </row>
    <row r="42" spans="1:9">
      <c r="A42" t="s">
        <v>146</v>
      </c>
      <c r="B42">
        <v>7.5242495542768832</v>
      </c>
      <c r="C42">
        <v>32.017255892255889</v>
      </c>
      <c r="D42">
        <v>183481.12542087541</v>
      </c>
      <c r="E42">
        <v>164.98358585858585</v>
      </c>
      <c r="F42">
        <v>17.550505050505048</v>
      </c>
      <c r="G42">
        <f>12*テーブル5[[#This Row],[千人当たり
件数(１ヶ月
当たり)]]/1000</f>
        <v>9.0290994651322593E-2</v>
      </c>
      <c r="H42">
        <f>テーブル5[[#This Row],[年間の一人当たり傷病休暇件数]]*テーブル5[[#This Row],[1件当たり
日数（日）]]</f>
        <v>2.8908698805177031</v>
      </c>
      <c r="I42">
        <f>テーブル5[[#This Row],[年間の一人当たり傷病休暇件数]]*テーブル5[[#This Row],[1件当たり
金額（円）]]</f>
        <v>16566.693313994911</v>
      </c>
    </row>
    <row r="43" spans="1:9">
      <c r="A43" t="s">
        <v>147</v>
      </c>
      <c r="B43">
        <v>6.9485219938290781</v>
      </c>
      <c r="C43">
        <v>30.507667210440456</v>
      </c>
      <c r="D43">
        <v>163633.2453507341</v>
      </c>
      <c r="E43">
        <v>169.59249592169658</v>
      </c>
      <c r="F43">
        <v>19.119086460032626</v>
      </c>
      <c r="G43">
        <f>12*テーブル5[[#This Row],[千人当たり
件数(１ヶ月
当たり)]]/1000</f>
        <v>8.3382263925948927E-2</v>
      </c>
      <c r="H43">
        <f>テーブル5[[#This Row],[年間の一人当たり傷病休暇件数]]*テーブル5[[#This Row],[1件当たり
日数（日）]]</f>
        <v>2.5437983591059643</v>
      </c>
      <c r="I43">
        <f>テーブル5[[#This Row],[年間の一人当たり傷病休暇件数]]*テーブル5[[#This Row],[1件当たり
金額（円）]]</f>
        <v>13644.110450894466</v>
      </c>
    </row>
    <row r="44" spans="1:9">
      <c r="A44" t="s">
        <v>148</v>
      </c>
      <c r="B44">
        <v>7.5084475217147952</v>
      </c>
      <c r="C44">
        <v>30.254555494202098</v>
      </c>
      <c r="D44">
        <v>154397.29044726671</v>
      </c>
      <c r="E44">
        <v>165.10049696300388</v>
      </c>
      <c r="F44">
        <v>20.37548315847598</v>
      </c>
      <c r="G44">
        <f>12*テーブル5[[#This Row],[千人当たり
件数(１ヶ月
当たり)]]/1000</f>
        <v>9.0101370260577546E-2</v>
      </c>
      <c r="H44">
        <f>テーブル5[[#This Row],[年間の一人当たり傷病休暇件数]]*テーブル5[[#This Row],[1件当たり
日数（日）]]</f>
        <v>2.7259769066522939</v>
      </c>
      <c r="I44">
        <f>テーブル5[[#This Row],[年間の一人当たり傷病休暇件数]]*テーブル5[[#This Row],[1件当たり
金額（円）]]</f>
        <v>13911.407433819111</v>
      </c>
    </row>
    <row r="45" spans="1:9">
      <c r="A45" t="s">
        <v>149</v>
      </c>
      <c r="B45">
        <v>6.5098537825810547</v>
      </c>
      <c r="C45">
        <v>32.538411458333336</v>
      </c>
      <c r="D45">
        <v>166313.60677083334</v>
      </c>
      <c r="E45">
        <v>158.306640625</v>
      </c>
      <c r="F45">
        <v>15.755208333333334</v>
      </c>
      <c r="G45">
        <f>12*テーブル5[[#This Row],[千人当たり
件数(１ヶ月
当たり)]]/1000</f>
        <v>7.811824539097266E-2</v>
      </c>
      <c r="H45">
        <f>テーブル5[[#This Row],[年間の一人当たり傷病休暇件数]]*テーブル5[[#This Row],[1件当たり
日数（日）]]</f>
        <v>2.5418436109345199</v>
      </c>
      <c r="I45">
        <f>テーブル5[[#This Row],[年間の一人当たり傷病休暇件数]]*テーブル5[[#This Row],[1件当たり
金額（円）]]</f>
        <v>12992.127145581691</v>
      </c>
    </row>
    <row r="46" spans="1:9">
      <c r="A46" t="s">
        <v>150</v>
      </c>
      <c r="B46">
        <v>6.262146404664219</v>
      </c>
      <c r="C46">
        <v>31.920178799489143</v>
      </c>
      <c r="D46">
        <v>172628.06960408684</v>
      </c>
      <c r="E46">
        <v>152.31417624521072</v>
      </c>
      <c r="F46">
        <v>17.305236270753515</v>
      </c>
      <c r="G46">
        <f>12*テーブル5[[#This Row],[千人当たり
件数(１ヶ月
当たり)]]/1000</f>
        <v>7.5145756855970636E-2</v>
      </c>
      <c r="H46">
        <f>テーブル5[[#This Row],[年間の一人当たり傷病休暇件数]]*テーブル5[[#This Row],[1件当たり
日数（日）]]</f>
        <v>2.39866599486552</v>
      </c>
      <c r="I46">
        <f>テーブル5[[#This Row],[年間の一人当たり傷病休暇件数]]*テーブル5[[#This Row],[1件当たり
金額（円）]]</f>
        <v>12972.266944984285</v>
      </c>
    </row>
    <row r="47" spans="1:9">
      <c r="A47" t="s">
        <v>151</v>
      </c>
      <c r="B47">
        <v>6.8686816520986929</v>
      </c>
      <c r="C47">
        <v>34.160714285714285</v>
      </c>
      <c r="D47">
        <v>196391.37030075188</v>
      </c>
      <c r="E47">
        <v>164.59398496240601</v>
      </c>
      <c r="F47">
        <v>18.421052631578945</v>
      </c>
      <c r="G47">
        <f>12*テーブル5[[#This Row],[千人当たり
件数(１ヶ月
当たり)]]/1000</f>
        <v>8.242417982518431E-2</v>
      </c>
      <c r="H47">
        <f>テーブル5[[#This Row],[年間の一人当たり傷病休暇件数]]*テーブル5[[#This Row],[1件当たり
日数（日）]]</f>
        <v>2.8156688572424566</v>
      </c>
      <c r="I47">
        <f>テーブル5[[#This Row],[年間の一人当たり傷病休暇件数]]*テーブル5[[#This Row],[1件当たり
金額（円）]]</f>
        <v>16187.397621783533</v>
      </c>
    </row>
    <row r="48" spans="1:9">
      <c r="A48" t="s">
        <v>152</v>
      </c>
      <c r="B48">
        <v>7.0204430679625123</v>
      </c>
      <c r="C48">
        <v>32.626337448559674</v>
      </c>
      <c r="D48">
        <v>179153.55061728394</v>
      </c>
      <c r="E48">
        <v>177.77695473251029</v>
      </c>
      <c r="F48">
        <v>20.329218106995885</v>
      </c>
      <c r="G48">
        <f>12*テーブル5[[#This Row],[千人当たり
件数(１ヶ月
当たり)]]/1000</f>
        <v>8.4245316815550156E-2</v>
      </c>
      <c r="H48">
        <f>テーブル5[[#This Row],[年間の一人当たり傷病休暇件数]]*テーブル5[[#This Row],[1件当たり
日数（日）]]</f>
        <v>2.748616134884958</v>
      </c>
      <c r="I48">
        <f>テーブル5[[#This Row],[年間の一人当たり傷病休暇件数]]*テーブル5[[#This Row],[1件当たり
金額（円）]]</f>
        <v>15092.847630383787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4AA3-1828-403E-AF8F-A5EDA918F3FD}">
  <dimension ref="A1:E48"/>
  <sheetViews>
    <sheetView tabSelected="1" topLeftCell="A4" zoomScaleNormal="100" workbookViewId="0">
      <selection activeCell="P15" sqref="P15"/>
    </sheetView>
  </sheetViews>
  <sheetFormatPr defaultRowHeight="18"/>
  <cols>
    <col min="1" max="1" width="14.125" customWidth="1"/>
    <col min="2" max="2" width="21.125" customWidth="1"/>
    <col min="3" max="3" width="16.625" customWidth="1"/>
    <col min="4" max="4" width="18.25" bestFit="1" customWidth="1"/>
    <col min="5" max="5" width="29.25" customWidth="1"/>
  </cols>
  <sheetData>
    <row r="1" spans="1:5">
      <c r="A1" t="s">
        <v>1</v>
      </c>
      <c r="B1" t="s">
        <v>50</v>
      </c>
      <c r="C1" t="s">
        <v>2</v>
      </c>
      <c r="D1" s="20" t="s">
        <v>51</v>
      </c>
      <c r="E1" s="20" t="s">
        <v>153</v>
      </c>
    </row>
    <row r="2" spans="1:5" ht="19.899999999999999">
      <c r="A2" s="1" t="s">
        <v>52</v>
      </c>
      <c r="B2">
        <v>1868</v>
      </c>
      <c r="C2" s="15">
        <v>166954</v>
      </c>
      <c r="D2" s="20">
        <f>テーブル37[[#This Row],[健康経営法人]]/テーブル37[[#This Row],[申告法人数]]</f>
        <v>1.1188710662817304E-2</v>
      </c>
      <c r="E2">
        <f>テーブル5[[#This Row],[年間の一人当たり傷病休暇件数]]*テーブル5[[#This Row],[1件当たり
日数（日）]]</f>
        <v>2.7933074975612899</v>
      </c>
    </row>
    <row r="3" spans="1:5" ht="19.899999999999999">
      <c r="A3" s="1" t="s">
        <v>53</v>
      </c>
      <c r="B3">
        <v>160</v>
      </c>
      <c r="C3" s="16">
        <v>29000</v>
      </c>
      <c r="D3" s="20">
        <f>テーブル37[[#This Row],[健康経営法人]]/テーブル37[[#This Row],[申告法人数]]</f>
        <v>5.5172413793103444E-3</v>
      </c>
      <c r="E3">
        <f>テーブル5[[#This Row],[年間の一人当たり傷病休暇件数]]*テーブル5[[#This Row],[1件当たり
日数（日）]]</f>
        <v>2.5354287455744635</v>
      </c>
    </row>
    <row r="4" spans="1:5" ht="19.899999999999999">
      <c r="A4" s="1" t="s">
        <v>54</v>
      </c>
      <c r="B4">
        <v>204</v>
      </c>
      <c r="C4" s="15">
        <v>49967</v>
      </c>
      <c r="D4" s="20">
        <f>テーブル37[[#This Row],[健康経営法人]]/テーブル37[[#This Row],[申告法人数]]</f>
        <v>4.082694578421758E-3</v>
      </c>
      <c r="E4">
        <f>テーブル5[[#This Row],[年間の一人当たり傷病休暇件数]]*テーブル5[[#This Row],[1件当たり
日数（日）]]</f>
        <v>2.5317722594655838</v>
      </c>
    </row>
    <row r="5" spans="1:5" ht="19.899999999999999">
      <c r="A5" s="1" t="s">
        <v>55</v>
      </c>
      <c r="B5">
        <v>501</v>
      </c>
      <c r="C5" s="15">
        <v>40514</v>
      </c>
      <c r="D5" s="20">
        <f>テーブル37[[#This Row],[健康経営法人]]/テーブル37[[#This Row],[申告法人数]]</f>
        <v>1.2366095670632375E-2</v>
      </c>
      <c r="E5">
        <f>テーブル5[[#This Row],[年間の一人当たり傷病休暇件数]]*テーブル5[[#This Row],[1件当たり
日数（日）]]</f>
        <v>2.3873619484753008</v>
      </c>
    </row>
    <row r="6" spans="1:5" ht="19.899999999999999">
      <c r="A6" s="1" t="s">
        <v>56</v>
      </c>
      <c r="B6">
        <v>87</v>
      </c>
      <c r="C6" s="15">
        <v>30859</v>
      </c>
      <c r="D6" s="20">
        <f>テーブル37[[#This Row],[健康経営法人]]/テーブル37[[#This Row],[申告法人数]]</f>
        <v>2.8192747658705728E-3</v>
      </c>
      <c r="E6">
        <f>テーブル5[[#This Row],[年間の一人当たり傷病休暇件数]]*テーブル5[[#This Row],[1件当たり
日数（日）]]</f>
        <v>3.0625481493980078</v>
      </c>
    </row>
    <row r="7" spans="1:5" ht="19.899999999999999">
      <c r="A7" s="1" t="s">
        <v>57</v>
      </c>
      <c r="B7">
        <v>130</v>
      </c>
      <c r="C7" s="15">
        <v>18200</v>
      </c>
      <c r="D7" s="20">
        <f>テーブル37[[#This Row],[健康経営法人]]/テーブル37[[#This Row],[申告法人数]]</f>
        <v>7.1428571428571426E-3</v>
      </c>
      <c r="E7">
        <f>テーブル5[[#This Row],[年間の一人当たり傷病休暇件数]]*テーブル5[[#This Row],[1件当たり
日数（日）]]</f>
        <v>2.3915809559842578</v>
      </c>
    </row>
    <row r="8" spans="1:5" ht="19.899999999999999">
      <c r="A8" s="1" t="s">
        <v>58</v>
      </c>
      <c r="B8">
        <v>311</v>
      </c>
      <c r="C8" s="15">
        <v>41537</v>
      </c>
      <c r="D8" s="20">
        <f>テーブル37[[#This Row],[健康経営法人]]/テーブル37[[#This Row],[申告法人数]]</f>
        <v>7.4873004790909307E-3</v>
      </c>
      <c r="E8">
        <f>テーブル5[[#This Row],[年間の一人当たり傷病休暇件数]]*テーブル5[[#This Row],[1件当たり
日数（日）]]</f>
        <v>2.5902221076307734</v>
      </c>
    </row>
    <row r="9" spans="1:5" ht="19.899999999999999">
      <c r="A9" s="1" t="s">
        <v>59</v>
      </c>
      <c r="B9">
        <v>89</v>
      </c>
      <c r="C9" s="16">
        <v>21421</v>
      </c>
      <c r="D9" s="20">
        <f>テーブル37[[#This Row],[健康経営法人]]/テーブル37[[#This Row],[申告法人数]]</f>
        <v>4.1548013631483123E-3</v>
      </c>
      <c r="E9">
        <f>テーブル5[[#This Row],[年間の一人当たり傷病休暇件数]]*テーブル5[[#This Row],[1件当たり
日数（日）]]</f>
        <v>2.7110891333910248</v>
      </c>
    </row>
    <row r="10" spans="1:5" ht="19.899999999999999">
      <c r="A10" s="1" t="s">
        <v>60</v>
      </c>
      <c r="B10">
        <v>370</v>
      </c>
      <c r="C10" s="15">
        <v>43175</v>
      </c>
      <c r="D10" s="20">
        <f>テーブル37[[#This Row],[健康経営法人]]/テーブル37[[#This Row],[申告法人数]]</f>
        <v>8.5697741748697164E-3</v>
      </c>
      <c r="E10">
        <f>テーブル5[[#This Row],[年間の一人当たり傷病休暇件数]]*テーブル5[[#This Row],[1件当たり
日数（日）]]</f>
        <v>2.7982941457182426</v>
      </c>
    </row>
    <row r="11" spans="1:5" ht="19.899999999999999">
      <c r="A11" s="1" t="s">
        <v>61</v>
      </c>
      <c r="B11">
        <v>337</v>
      </c>
      <c r="C11" s="15">
        <v>62300</v>
      </c>
      <c r="D11" s="20">
        <f>テーブル37[[#This Row],[健康経営法人]]/テーブル37[[#This Row],[申告法人数]]</f>
        <v>5.4093097913322629E-3</v>
      </c>
      <c r="E11">
        <f>テーブル5[[#This Row],[年間の一人当たり傷病休暇件数]]*テーブル5[[#This Row],[1件当たり
日数（日）]]</f>
        <v>2.7478389476295026</v>
      </c>
    </row>
    <row r="12" spans="1:5" ht="19.899999999999999">
      <c r="A12" s="1" t="s">
        <v>62</v>
      </c>
      <c r="B12">
        <v>227</v>
      </c>
      <c r="C12" s="15">
        <v>37455</v>
      </c>
      <c r="D12" s="20">
        <f>テーブル37[[#This Row],[健康経営法人]]/テーブル37[[#This Row],[申告法人数]]</f>
        <v>6.0606060606060606E-3</v>
      </c>
      <c r="E12">
        <f>テーブル5[[#This Row],[年間の一人当たり傷病休暇件数]]*テーブル5[[#This Row],[1件当たり
日数（日）]]</f>
        <v>3.3411816066050561</v>
      </c>
    </row>
    <row r="13" spans="1:5" ht="19.899999999999999">
      <c r="A13" s="1" t="s">
        <v>63</v>
      </c>
      <c r="B13">
        <v>272</v>
      </c>
      <c r="C13" s="15">
        <v>40699</v>
      </c>
      <c r="D13" s="20">
        <f>テーブル37[[#This Row],[健康経営法人]]/テーブル37[[#This Row],[申告法人数]]</f>
        <v>6.6832108897024499E-3</v>
      </c>
      <c r="E13">
        <f>テーブル5[[#This Row],[年間の一人当たり傷病休暇件数]]*テーブル5[[#This Row],[1件当たり
日数（日）]]</f>
        <v>2.4496738385334895</v>
      </c>
    </row>
    <row r="14" spans="1:5" ht="19.899999999999999">
      <c r="A14" s="1" t="s">
        <v>64</v>
      </c>
      <c r="B14">
        <v>441</v>
      </c>
      <c r="C14" s="15">
        <v>61712</v>
      </c>
      <c r="D14" s="20">
        <f>テーブル37[[#This Row],[健康経営法人]]/テーブル37[[#This Row],[申告法人数]]</f>
        <v>7.1460980036297641E-3</v>
      </c>
      <c r="E14">
        <f>テーブル5[[#This Row],[年間の一人当たり傷病休暇件数]]*テーブル5[[#This Row],[1件当たり
日数（日）]]</f>
        <v>3.0638646836332804</v>
      </c>
    </row>
    <row r="15" spans="1:5" ht="19.899999999999999">
      <c r="A15" s="1" t="s">
        <v>65</v>
      </c>
      <c r="B15">
        <v>173</v>
      </c>
      <c r="C15" s="16">
        <v>22717</v>
      </c>
      <c r="D15" s="20">
        <f>テーブル37[[#This Row],[健康経営法人]]/テーブル37[[#This Row],[申告法人数]]</f>
        <v>7.6154421798652989E-3</v>
      </c>
      <c r="E15">
        <f>テーブル5[[#This Row],[年間の一人当たり傷病休暇件数]]*テーブル5[[#This Row],[1件当たり
日数（日）]]</f>
        <v>2.7667910567945992</v>
      </c>
    </row>
    <row r="16" spans="1:5" ht="19.899999999999999">
      <c r="A16" s="1" t="s">
        <v>66</v>
      </c>
      <c r="B16">
        <v>126</v>
      </c>
      <c r="C16" s="15">
        <v>12369</v>
      </c>
      <c r="D16" s="20">
        <f>テーブル37[[#This Row],[健康経営法人]]/テーブル37[[#This Row],[申告法人数]]</f>
        <v>1.0186757215619695E-2</v>
      </c>
      <c r="E16">
        <f>テーブル5[[#This Row],[年間の一人当たり傷病休暇件数]]*テーブル5[[#This Row],[1件当たり
日数（日）]]</f>
        <v>2.4157299457558055</v>
      </c>
    </row>
    <row r="17" spans="1:5" ht="19.899999999999999">
      <c r="A17" s="1" t="s">
        <v>67</v>
      </c>
      <c r="B17">
        <v>83</v>
      </c>
      <c r="C17" s="15">
        <v>12912</v>
      </c>
      <c r="D17" s="20">
        <f>テーブル37[[#This Row],[健康経営法人]]/テーブル37[[#This Row],[申告法人数]]</f>
        <v>6.4281288723667908E-3</v>
      </c>
      <c r="E17">
        <f>テーブル5[[#This Row],[年間の一人当たり傷病休暇件数]]*テーブル5[[#This Row],[1件当たり
日数（日）]]</f>
        <v>2.6026010625412601</v>
      </c>
    </row>
    <row r="18" spans="1:5" ht="19.899999999999999">
      <c r="A18" s="1" t="s">
        <v>68</v>
      </c>
      <c r="B18">
        <v>312</v>
      </c>
      <c r="C18" s="15">
        <v>140162</v>
      </c>
      <c r="D18" s="20">
        <f>テーブル37[[#This Row],[健康経営法人]]/テーブル37[[#This Row],[申告法人数]]</f>
        <v>2.2259956336239495E-3</v>
      </c>
      <c r="E18">
        <f>テーブル5[[#This Row],[年間の一人当たり傷病休暇件数]]*テーブル5[[#This Row],[1件当たり
日数（日）]]</f>
        <v>2.9685762399517044</v>
      </c>
    </row>
    <row r="19" spans="1:5" ht="19.899999999999999">
      <c r="A19" s="1" t="s">
        <v>69</v>
      </c>
      <c r="B19">
        <v>294</v>
      </c>
      <c r="C19" s="16">
        <v>31266</v>
      </c>
      <c r="D19" s="20">
        <f>テーブル37[[#This Row],[健康経営法人]]/テーブル37[[#This Row],[申告法人数]]</f>
        <v>9.403185568988677E-3</v>
      </c>
      <c r="E19">
        <f>テーブル5[[#This Row],[年間の一人当たり傷病休暇件数]]*テーブル5[[#This Row],[1件当たり
日数（日）]]</f>
        <v>2.5069427420541022</v>
      </c>
    </row>
    <row r="20" spans="1:5" ht="19.899999999999999">
      <c r="A20" s="1" t="s">
        <v>70</v>
      </c>
      <c r="B20">
        <v>291</v>
      </c>
      <c r="C20" s="15">
        <v>18109</v>
      </c>
      <c r="D20" s="20">
        <f>テーブル37[[#This Row],[健康経営法人]]/テーブル37[[#This Row],[申告法人数]]</f>
        <v>1.606935777790049E-2</v>
      </c>
      <c r="E20">
        <f>テーブル5[[#This Row],[年間の一人当たり傷病休暇件数]]*テーブル5[[#This Row],[1件当たり
日数（日）]]</f>
        <v>2.8027517300683833</v>
      </c>
    </row>
    <row r="21" spans="1:5" ht="19.899999999999999">
      <c r="A21" s="1" t="s">
        <v>71</v>
      </c>
      <c r="B21">
        <v>150</v>
      </c>
      <c r="C21" s="15">
        <v>22888</v>
      </c>
      <c r="D21" s="20">
        <f>テーブル37[[#This Row],[健康経営法人]]/テーブル37[[#This Row],[申告法人数]]</f>
        <v>6.553652569031807E-3</v>
      </c>
      <c r="E21">
        <f>テーブル5[[#This Row],[年間の一人当たり傷病休暇件数]]*テーブル5[[#This Row],[1件当たり
日数（日）]]</f>
        <v>2.5072583510918602</v>
      </c>
    </row>
    <row r="22" spans="1:5" ht="19.899999999999999">
      <c r="A22" s="1" t="s">
        <v>72</v>
      </c>
      <c r="B22">
        <v>104</v>
      </c>
      <c r="C22" s="16">
        <v>17114</v>
      </c>
      <c r="D22" s="20">
        <f>テーブル37[[#This Row],[健康経営法人]]/テーブル37[[#This Row],[申告法人数]]</f>
        <v>6.0768961084492227E-3</v>
      </c>
      <c r="E22">
        <f>テーブル5[[#This Row],[年間の一人当たり傷病休暇件数]]*テーブル5[[#This Row],[1件当たり
日数（日）]]</f>
        <v>3.2253717390153991</v>
      </c>
    </row>
    <row r="23" spans="1:5" ht="19.899999999999999">
      <c r="A23" s="1" t="s">
        <v>73</v>
      </c>
      <c r="B23">
        <v>205</v>
      </c>
      <c r="C23" s="15">
        <v>22824</v>
      </c>
      <c r="D23" s="20">
        <f>テーブル37[[#This Row],[健康経営法人]]/テーブル37[[#This Row],[申告法人数]]</f>
        <v>8.9817735716789353E-3</v>
      </c>
      <c r="E23">
        <f>テーブル5[[#This Row],[年間の一人当たり傷病休暇件数]]*テーブル5[[#This Row],[1件当たり
日数（日）]]</f>
        <v>2.5943986975910152</v>
      </c>
    </row>
    <row r="24" spans="1:5" ht="19.899999999999999">
      <c r="A24" s="1" t="s">
        <v>74</v>
      </c>
      <c r="B24">
        <v>212</v>
      </c>
      <c r="C24" s="15">
        <v>31786</v>
      </c>
      <c r="D24" s="20">
        <f>テーブル37[[#This Row],[健康経営法人]]/テーブル37[[#This Row],[申告法人数]]</f>
        <v>6.6696029698609452E-3</v>
      </c>
      <c r="E24">
        <f>テーブル5[[#This Row],[年間の一人当たり傷病休暇件数]]*テーブル5[[#This Row],[1件当たり
日数（日）]]</f>
        <v>2.7620776384617898</v>
      </c>
    </row>
    <row r="25" spans="1:5" ht="19.899999999999999">
      <c r="A25" s="1" t="s">
        <v>75</v>
      </c>
      <c r="B25">
        <v>134</v>
      </c>
      <c r="C25" s="15">
        <v>15321</v>
      </c>
      <c r="D25" s="20">
        <f>テーブル37[[#This Row],[健康経営法人]]/テーブル37[[#This Row],[申告法人数]]</f>
        <v>8.7461653939037917E-3</v>
      </c>
      <c r="E25">
        <f>テーブル5[[#This Row],[年間の一人当たり傷病休暇件数]]*テーブル5[[#This Row],[1件当たり
日数（日）]]</f>
        <v>2.498261481686896</v>
      </c>
    </row>
    <row r="26" spans="1:5" ht="19.899999999999999">
      <c r="A26" s="1" t="s">
        <v>76</v>
      </c>
      <c r="B26">
        <v>251</v>
      </c>
      <c r="C26" s="16">
        <v>39058</v>
      </c>
      <c r="D26" s="20">
        <f>テーブル37[[#This Row],[健康経営法人]]/テーブル37[[#This Row],[申告法人数]]</f>
        <v>6.4263403144042197E-3</v>
      </c>
      <c r="E26">
        <f>テーブル5[[#This Row],[年間の一人当たり傷病休暇件数]]*テーブル5[[#This Row],[1件当たり
日数（日）]]</f>
        <v>2.7335982541676938</v>
      </c>
    </row>
    <row r="27" spans="1:5" ht="19.899999999999999">
      <c r="A27" s="1" t="s">
        <v>77</v>
      </c>
      <c r="B27">
        <v>466</v>
      </c>
      <c r="C27" s="15">
        <v>189025</v>
      </c>
      <c r="D27" s="20">
        <f>テーブル37[[#This Row],[健康経営法人]]/テーブル37[[#This Row],[申告法人数]]</f>
        <v>2.4652823700568706E-3</v>
      </c>
      <c r="E27">
        <f>テーブル5[[#This Row],[年間の一人当たり傷病休暇件数]]*テーブル5[[#This Row],[1件当たり
日数（日）]]</f>
        <v>2.9063803811539901</v>
      </c>
    </row>
    <row r="28" spans="1:5" ht="19.899999999999999">
      <c r="A28" s="1" t="s">
        <v>78</v>
      </c>
      <c r="B28">
        <v>131</v>
      </c>
      <c r="C28" s="19">
        <v>19598</v>
      </c>
      <c r="D28" s="20">
        <f>テーブル37[[#This Row],[健康経営法人]]/テーブル37[[#This Row],[申告法人数]]</f>
        <v>6.6843555464843355E-3</v>
      </c>
      <c r="E28">
        <f>テーブル5[[#This Row],[年間の一人当たり傷病休暇件数]]*テーブル5[[#This Row],[1件当たり
日数（日）]]</f>
        <v>2.5513429114673176</v>
      </c>
    </row>
    <row r="29" spans="1:5" ht="19.899999999999999">
      <c r="A29" s="1" t="s">
        <v>79</v>
      </c>
      <c r="B29">
        <v>537</v>
      </c>
      <c r="C29" s="15">
        <v>73207</v>
      </c>
      <c r="D29" s="20">
        <f>テーブル37[[#This Row],[健康経営法人]]/テーブル37[[#This Row],[申告法人数]]</f>
        <v>7.3353641045255233E-3</v>
      </c>
      <c r="E29">
        <f>テーブル5[[#This Row],[年間の一人当たり傷病休暇件数]]*テーブル5[[#This Row],[1件当たり
日数（日）]]</f>
        <v>2.6274767772176322</v>
      </c>
    </row>
    <row r="30" spans="1:5" ht="19.899999999999999">
      <c r="A30" s="1" t="s">
        <v>80</v>
      </c>
      <c r="B30">
        <v>166</v>
      </c>
      <c r="C30" s="15">
        <v>24034</v>
      </c>
      <c r="D30" s="20">
        <f>テーブル37[[#This Row],[健康経営法人]]/テーブル37[[#This Row],[申告法人数]]</f>
        <v>6.906881917283848E-3</v>
      </c>
      <c r="E30">
        <f>テーブル5[[#This Row],[年間の一人当たり傷病休暇件数]]*テーブル5[[#This Row],[1件当たり
日数（日）]]</f>
        <v>2.8110128770272844</v>
      </c>
    </row>
    <row r="31" spans="1:5" ht="19.899999999999999">
      <c r="A31" s="1" t="s">
        <v>81</v>
      </c>
      <c r="B31">
        <v>297</v>
      </c>
      <c r="C31" s="15">
        <v>113874</v>
      </c>
      <c r="D31" s="20">
        <f>テーブル37[[#This Row],[健康経営法人]]/テーブル37[[#This Row],[申告法人数]]</f>
        <v>2.6081458454080826E-3</v>
      </c>
      <c r="E31">
        <f>テーブル5[[#This Row],[年間の一人当たり傷病休暇件数]]*テーブル5[[#This Row],[1件当たり
日数（日）]]</f>
        <v>2.2120635922521599</v>
      </c>
    </row>
    <row r="32" spans="1:5" ht="19.899999999999999">
      <c r="A32" s="1" t="s">
        <v>82</v>
      </c>
      <c r="B32">
        <v>2098</v>
      </c>
      <c r="C32" s="16">
        <v>260309</v>
      </c>
      <c r="D32" s="20">
        <f>テーブル37[[#This Row],[健康経営法人]]/テーブル37[[#This Row],[申告法人数]]</f>
        <v>8.0596521825983727E-3</v>
      </c>
      <c r="E32">
        <f>テーブル5[[#This Row],[年間の一人当たり傷病休暇件数]]*テーブル5[[#This Row],[1件当たり
日数（日）]]</f>
        <v>2.9261648310833857</v>
      </c>
    </row>
    <row r="33" spans="1:5" ht="19.899999999999999">
      <c r="A33" s="1" t="s">
        <v>83</v>
      </c>
      <c r="B33">
        <v>105</v>
      </c>
      <c r="C33" s="15">
        <v>24492</v>
      </c>
      <c r="D33" s="20">
        <f>テーブル37[[#This Row],[健康経営法人]]/テーブル37[[#This Row],[申告法人数]]</f>
        <v>4.2871141597256249E-3</v>
      </c>
      <c r="E33">
        <f>テーブル5[[#This Row],[年間の一人当たり傷病休暇件数]]*テーブル5[[#This Row],[1件当たり
日数（日）]]</f>
        <v>2.4167736284976518</v>
      </c>
    </row>
    <row r="34" spans="1:5" ht="19.899999999999999">
      <c r="A34" s="1" t="s">
        <v>84</v>
      </c>
      <c r="B34">
        <v>117</v>
      </c>
      <c r="C34" s="15">
        <v>21788</v>
      </c>
      <c r="D34" s="20">
        <f>テーブル37[[#This Row],[健康経営法人]]/テーブル37[[#This Row],[申告法人数]]</f>
        <v>5.3699284009546535E-3</v>
      </c>
      <c r="E34">
        <f>テーブル5[[#This Row],[年間の一人当たり傷病休暇件数]]*テーブル5[[#This Row],[1件当たり
日数（日）]]</f>
        <v>2.6375926166645001</v>
      </c>
    </row>
    <row r="35" spans="1:5" ht="19.899999999999999">
      <c r="A35" s="1" t="s">
        <v>85</v>
      </c>
      <c r="B35">
        <v>518</v>
      </c>
      <c r="C35" s="15">
        <v>42731</v>
      </c>
      <c r="D35" s="20">
        <f>テーブル37[[#This Row],[健康経営法人]]/テーブル37[[#This Row],[申告法人数]]</f>
        <v>1.2122346774004821E-2</v>
      </c>
      <c r="E35">
        <f>テーブル5[[#This Row],[年間の一人当たり傷病休暇件数]]*テーブル5[[#This Row],[1件当たり
日数（日）]]</f>
        <v>2.5478089713042573</v>
      </c>
    </row>
    <row r="36" spans="1:5" ht="19.899999999999999">
      <c r="A36" s="1" t="s">
        <v>86</v>
      </c>
      <c r="B36">
        <v>93</v>
      </c>
      <c r="C36" s="15">
        <v>9847</v>
      </c>
      <c r="D36" s="20">
        <f>テーブル37[[#This Row],[健康経営法人]]/テーブル37[[#This Row],[申告法人数]]</f>
        <v>9.4445008632070681E-3</v>
      </c>
      <c r="E36">
        <f>テーブル5[[#This Row],[年間の一人当たり傷病休暇件数]]*テーブル5[[#This Row],[1件当たり
日数（日）]]</f>
        <v>2.7361155953807845</v>
      </c>
    </row>
    <row r="37" spans="1:5" ht="19.899999999999999">
      <c r="A37" s="1" t="s">
        <v>87</v>
      </c>
      <c r="B37">
        <v>155</v>
      </c>
      <c r="C37" s="16">
        <v>11331</v>
      </c>
      <c r="D37" s="20">
        <f>テーブル37[[#This Row],[健康経営法人]]/テーブル37[[#This Row],[申告法人数]]</f>
        <v>1.3679286912011297E-2</v>
      </c>
      <c r="E37">
        <f>テーブル5[[#This Row],[年間の一人当たり傷病休暇件数]]*テーブル5[[#This Row],[1件当たり
日数（日）]]</f>
        <v>2.7725718325661455</v>
      </c>
    </row>
    <row r="38" spans="1:5" ht="19.899999999999999">
      <c r="A38" s="1" t="s">
        <v>88</v>
      </c>
      <c r="B38">
        <v>1961</v>
      </c>
      <c r="C38" s="15">
        <v>657604</v>
      </c>
      <c r="D38" s="20">
        <f>テーブル37[[#This Row],[健康経営法人]]/テーブル37[[#This Row],[申告法人数]]</f>
        <v>2.9820378221543666E-3</v>
      </c>
      <c r="E38">
        <f>テーブル5[[#This Row],[年間の一人当たり傷病休暇件数]]*テーブル5[[#This Row],[1件当たり
日数（日）]]</f>
        <v>2.489958489487925</v>
      </c>
    </row>
    <row r="39" spans="1:5" ht="19.899999999999999">
      <c r="A39" s="1" t="s">
        <v>89</v>
      </c>
      <c r="B39">
        <v>125</v>
      </c>
      <c r="C39" s="15">
        <v>16130</v>
      </c>
      <c r="D39" s="20">
        <f>テーブル37[[#This Row],[健康経営法人]]/テーブル37[[#This Row],[申告法人数]]</f>
        <v>7.7495350278983261E-3</v>
      </c>
      <c r="E39">
        <f>テーブル5[[#This Row],[年間の一人当たり傷病休暇件数]]*テーブル5[[#This Row],[1件当たり
日数（日）]]</f>
        <v>3.2038155387678873</v>
      </c>
    </row>
    <row r="40" spans="1:5" ht="19.899999999999999">
      <c r="A40" s="1" t="s">
        <v>90</v>
      </c>
      <c r="B40">
        <v>166</v>
      </c>
      <c r="C40" s="15">
        <v>38567</v>
      </c>
      <c r="D40" s="20">
        <f>テーブル37[[#This Row],[健康経営法人]]/テーブル37[[#This Row],[申告法人数]]</f>
        <v>4.3041978893873E-3</v>
      </c>
      <c r="E40">
        <f>テーブル5[[#This Row],[年間の一人当たり傷病休暇件数]]*テーブル5[[#This Row],[1件当たり
日数（日）]]</f>
        <v>2.6063842517800508</v>
      </c>
    </row>
    <row r="41" spans="1:5" ht="19.899999999999999">
      <c r="A41" s="1" t="s">
        <v>91</v>
      </c>
      <c r="B41">
        <v>147</v>
      </c>
      <c r="C41" s="16">
        <v>21594</v>
      </c>
      <c r="D41" s="20">
        <f>テーブル37[[#This Row],[健康経営法人]]/テーブル37[[#This Row],[申告法人数]]</f>
        <v>6.8074465129202557E-3</v>
      </c>
      <c r="E41">
        <f>テーブル5[[#This Row],[年間の一人当たり傷病休暇件数]]*テーブル5[[#This Row],[1件当たり
日数（日）]]</f>
        <v>2.3389840068891088</v>
      </c>
    </row>
    <row r="42" spans="1:5" ht="19.899999999999999">
      <c r="A42" s="1" t="s">
        <v>92</v>
      </c>
      <c r="B42">
        <v>107</v>
      </c>
      <c r="C42" s="15">
        <v>19824</v>
      </c>
      <c r="D42" s="20">
        <f>テーブル37[[#This Row],[健康経営法人]]/テーブル37[[#This Row],[申告法人数]]</f>
        <v>5.3974979822437449E-3</v>
      </c>
      <c r="E42">
        <f>テーブル5[[#This Row],[年間の一人当たり傷病休暇件数]]*テーブル5[[#This Row],[1件当たり
日数（日）]]</f>
        <v>2.8908698805177031</v>
      </c>
    </row>
    <row r="43" spans="1:5" ht="19.899999999999999">
      <c r="A43" s="1" t="s">
        <v>93</v>
      </c>
      <c r="B43">
        <v>132</v>
      </c>
      <c r="C43" s="15">
        <v>17050</v>
      </c>
      <c r="D43" s="20">
        <f>テーブル37[[#This Row],[健康経営法人]]/テーブル37[[#This Row],[申告法人数]]</f>
        <v>7.7419354838709677E-3</v>
      </c>
      <c r="E43">
        <f>テーブル5[[#This Row],[年間の一人当たり傷病休暇件数]]*テーブル5[[#This Row],[1件当たり
日数（日）]]</f>
        <v>2.5437983591059643</v>
      </c>
    </row>
    <row r="44" spans="1:5" ht="19.899999999999999">
      <c r="A44" s="1" t="s">
        <v>94</v>
      </c>
      <c r="B44">
        <v>419</v>
      </c>
      <c r="C44" s="16">
        <v>113017</v>
      </c>
      <c r="D44" s="20">
        <f>テーブル37[[#This Row],[健康経営法人]]/テーブル37[[#This Row],[申告法人数]]</f>
        <v>3.707406850296858E-3</v>
      </c>
      <c r="E44">
        <f>テーブル5[[#This Row],[年間の一人当たり傷病休暇件数]]*テーブル5[[#This Row],[1件当たり
日数（日）]]</f>
        <v>2.7259769066522939</v>
      </c>
    </row>
    <row r="45" spans="1:5" ht="19.899999999999999">
      <c r="A45" s="1" t="s">
        <v>95</v>
      </c>
      <c r="B45">
        <v>269</v>
      </c>
      <c r="C45" s="15">
        <v>37275</v>
      </c>
      <c r="D45" s="20">
        <f>テーブル37[[#This Row],[健康経営法人]]/テーブル37[[#This Row],[申告法人数]]</f>
        <v>7.2166331321260897E-3</v>
      </c>
      <c r="E45">
        <f>テーブル5[[#This Row],[年間の一人当たり傷病休暇件数]]*テーブル5[[#This Row],[1件当たり
日数（日）]]</f>
        <v>2.5418436109345199</v>
      </c>
    </row>
    <row r="46" spans="1:5" ht="19.899999999999999">
      <c r="A46" s="1" t="s">
        <v>96</v>
      </c>
      <c r="B46">
        <v>717</v>
      </c>
      <c r="C46" s="15">
        <v>108444</v>
      </c>
      <c r="D46" s="20">
        <f>テーブル37[[#This Row],[健康経営法人]]/テーブル37[[#This Row],[申告法人数]]</f>
        <v>6.6117074250304306E-3</v>
      </c>
      <c r="E46">
        <f>テーブル5[[#This Row],[年間の一人当たり傷病休暇件数]]*テーブル5[[#This Row],[1件当たり
日数（日）]]</f>
        <v>2.39866599486552</v>
      </c>
    </row>
    <row r="47" spans="1:5" ht="19.899999999999999">
      <c r="A47" s="1" t="s">
        <v>48</v>
      </c>
      <c r="B47">
        <v>515</v>
      </c>
      <c r="C47" s="13">
        <v>115878</v>
      </c>
      <c r="D47" s="20">
        <f>テーブル37[[#This Row],[健康経営法人]]/テーブル37[[#This Row],[申告法人数]]</f>
        <v>4.4443293809006022E-3</v>
      </c>
      <c r="E47">
        <f>テーブル5[[#This Row],[年間の一人当たり傷病休暇件数]]*テーブル5[[#This Row],[1件当たり
日数（日）]]</f>
        <v>2.8156688572424566</v>
      </c>
    </row>
    <row r="48" spans="1:5" ht="19.899999999999999">
      <c r="A48" s="1" t="s">
        <v>97</v>
      </c>
      <c r="B48">
        <v>91</v>
      </c>
      <c r="C48" s="16">
        <v>16253</v>
      </c>
      <c r="D48" s="20">
        <f>テーブル37[[#This Row],[健康経営法人]]/テーブル37[[#This Row],[申告法人数]]</f>
        <v>5.598966344674829E-3</v>
      </c>
      <c r="E48">
        <f>テーブル5[[#This Row],[年間の一人当たり傷病休暇件数]]*テーブル5[[#This Row],[1件当たり
日数（日）]]</f>
        <v>2.748616134884958</v>
      </c>
    </row>
  </sheetData>
  <phoneticPr fontId="3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E27661-1847-4B29-8D60-36AACAE4C80D}"/>
</file>

<file path=customXml/itemProps2.xml><?xml version="1.0" encoding="utf-8"?>
<ds:datastoreItem xmlns:ds="http://schemas.openxmlformats.org/officeDocument/2006/customXml" ds:itemID="{C225127E-0915-4DDA-8A07-23501B9195E0}"/>
</file>

<file path=customXml/itemProps3.xml><?xml version="1.0" encoding="utf-8"?>
<ds:datastoreItem xmlns:ds="http://schemas.openxmlformats.org/officeDocument/2006/customXml" ds:itemID="{CF8A7BDF-53CA-41B4-9166-B9C5312554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辻本航</dc:creator>
  <cp:keywords/>
  <dc:description/>
  <cp:lastModifiedBy>辻本　航</cp:lastModifiedBy>
  <cp:revision/>
  <dcterms:created xsi:type="dcterms:W3CDTF">2015-06-05T18:19:34Z</dcterms:created>
  <dcterms:modified xsi:type="dcterms:W3CDTF">2026-07-10T05:19:15Z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