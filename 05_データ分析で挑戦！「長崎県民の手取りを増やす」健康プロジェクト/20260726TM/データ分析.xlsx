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7" documentId="11_C4034F51AA1CC7CB2DA556236937915A4D3EDE36" xr6:coauthVersionLast="47" xr6:coauthVersionMax="47" xr10:uidLastSave="{0CC23DA5-4AC0-4D0E-8A8B-9DC69E64B9BF}"/>
  <bookViews>
    <workbookView xWindow="0" yWindow="0" windowWidth="16384" windowHeight="8192" tabRatio="500" firstSheet="6" activeTab="2" xr2:uid="{00000000-000D-0000-FFFF-FFFF00000000}"/>
  </bookViews>
  <sheets>
    <sheet name="要約" sheetId="1" r:id="rId1"/>
    <sheet name="分析_1" sheetId="2" r:id="rId2"/>
    <sheet name="分析_2" sheetId="3" r:id="rId3"/>
    <sheet name="分析_3" sheetId="4" r:id="rId4"/>
    <sheet name="分析用データ" sheetId="5" r:id="rId5"/>
    <sheet name="データソース" sheetId="6" r:id="rId6"/>
    <sheet name="保険料率に係る参考資料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V284" i="7" l="1"/>
  <c r="O284" i="7"/>
  <c r="W284" i="7" s="1"/>
  <c r="V283" i="7"/>
  <c r="O283" i="7"/>
  <c r="W283" i="7" s="1"/>
  <c r="V282" i="7"/>
  <c r="O282" i="7"/>
  <c r="W282" i="7" s="1"/>
  <c r="V281" i="7"/>
  <c r="O281" i="7"/>
  <c r="W281" i="7" s="1"/>
  <c r="V280" i="7"/>
  <c r="O280" i="7"/>
  <c r="W280" i="7" s="1"/>
  <c r="V279" i="7"/>
  <c r="O279" i="7"/>
  <c r="W279" i="7" s="1"/>
  <c r="V278" i="7"/>
  <c r="O278" i="7"/>
  <c r="W278" i="7" s="1"/>
  <c r="V277" i="7"/>
  <c r="O277" i="7"/>
  <c r="W277" i="7" s="1"/>
  <c r="V276" i="7"/>
  <c r="O276" i="7"/>
  <c r="W276" i="7" s="1"/>
  <c r="V275" i="7"/>
  <c r="O275" i="7"/>
  <c r="W275" i="7" s="1"/>
  <c r="V274" i="7"/>
  <c r="O274" i="7"/>
  <c r="W274" i="7" s="1"/>
  <c r="V273" i="7"/>
  <c r="O273" i="7"/>
  <c r="W273" i="7" s="1"/>
  <c r="V272" i="7"/>
  <c r="O272" i="7"/>
  <c r="W272" i="7" s="1"/>
  <c r="V271" i="7"/>
  <c r="O271" i="7"/>
  <c r="W271" i="7" s="1"/>
  <c r="V270" i="7"/>
  <c r="O270" i="7"/>
  <c r="W270" i="7" s="1"/>
  <c r="V269" i="7"/>
  <c r="O269" i="7"/>
  <c r="W269" i="7" s="1"/>
  <c r="V268" i="7"/>
  <c r="O268" i="7"/>
  <c r="W268" i="7" s="1"/>
  <c r="V267" i="7"/>
  <c r="O267" i="7"/>
  <c r="W267" i="7" s="1"/>
  <c r="V266" i="7"/>
  <c r="O266" i="7"/>
  <c r="W266" i="7" s="1"/>
  <c r="V265" i="7"/>
  <c r="O265" i="7"/>
  <c r="W265" i="7" s="1"/>
  <c r="V264" i="7"/>
  <c r="O264" i="7"/>
  <c r="W264" i="7" s="1"/>
  <c r="V263" i="7"/>
  <c r="O263" i="7"/>
  <c r="W263" i="7" s="1"/>
  <c r="V262" i="7"/>
  <c r="O262" i="7"/>
  <c r="W262" i="7" s="1"/>
  <c r="V261" i="7"/>
  <c r="O261" i="7"/>
  <c r="W261" i="7" s="1"/>
  <c r="V260" i="7"/>
  <c r="O260" i="7"/>
  <c r="W260" i="7" s="1"/>
  <c r="V259" i="7"/>
  <c r="O259" i="7"/>
  <c r="W259" i="7" s="1"/>
  <c r="V258" i="7"/>
  <c r="O258" i="7"/>
  <c r="W258" i="7" s="1"/>
  <c r="V257" i="7"/>
  <c r="O257" i="7"/>
  <c r="W257" i="7" s="1"/>
  <c r="V256" i="7"/>
  <c r="O256" i="7"/>
  <c r="W256" i="7" s="1"/>
  <c r="V255" i="7"/>
  <c r="O255" i="7"/>
  <c r="W255" i="7" s="1"/>
  <c r="V254" i="7"/>
  <c r="O254" i="7"/>
  <c r="W254" i="7" s="1"/>
  <c r="V253" i="7"/>
  <c r="O253" i="7"/>
  <c r="W253" i="7" s="1"/>
  <c r="V252" i="7"/>
  <c r="O252" i="7"/>
  <c r="W252" i="7" s="1"/>
  <c r="V251" i="7"/>
  <c r="O251" i="7"/>
  <c r="W251" i="7" s="1"/>
  <c r="V250" i="7"/>
  <c r="O250" i="7"/>
  <c r="W250" i="7" s="1"/>
  <c r="V249" i="7"/>
  <c r="O249" i="7"/>
  <c r="W249" i="7" s="1"/>
  <c r="V248" i="7"/>
  <c r="O248" i="7"/>
  <c r="W248" i="7" s="1"/>
  <c r="V247" i="7"/>
  <c r="O247" i="7"/>
  <c r="W247" i="7" s="1"/>
  <c r="V246" i="7"/>
  <c r="O246" i="7"/>
  <c r="W246" i="7" s="1"/>
  <c r="V245" i="7"/>
  <c r="O245" i="7"/>
  <c r="W245" i="7" s="1"/>
  <c r="V244" i="7"/>
  <c r="O244" i="7"/>
  <c r="W244" i="7" s="1"/>
  <c r="V243" i="7"/>
  <c r="O243" i="7"/>
  <c r="W243" i="7" s="1"/>
  <c r="V242" i="7"/>
  <c r="O242" i="7"/>
  <c r="W242" i="7" s="1"/>
  <c r="V241" i="7"/>
  <c r="O241" i="7"/>
  <c r="W241" i="7" s="1"/>
  <c r="V240" i="7"/>
  <c r="O240" i="7"/>
  <c r="W240" i="7" s="1"/>
  <c r="V239" i="7"/>
  <c r="O239" i="7"/>
  <c r="W239" i="7" s="1"/>
  <c r="V238" i="7"/>
  <c r="O238" i="7"/>
  <c r="W238" i="7" s="1"/>
  <c r="V237" i="7"/>
  <c r="O237" i="7"/>
  <c r="W237" i="7" s="1"/>
  <c r="V236" i="7"/>
  <c r="O236" i="7"/>
  <c r="W236" i="7" s="1"/>
  <c r="V235" i="7"/>
  <c r="O235" i="7"/>
  <c r="W235" i="7" s="1"/>
  <c r="V234" i="7"/>
  <c r="O234" i="7"/>
  <c r="W234" i="7" s="1"/>
  <c r="V233" i="7"/>
  <c r="O233" i="7"/>
  <c r="W233" i="7" s="1"/>
  <c r="V232" i="7"/>
  <c r="O232" i="7"/>
  <c r="W232" i="7" s="1"/>
  <c r="V231" i="7"/>
  <c r="O231" i="7"/>
  <c r="W231" i="7" s="1"/>
  <c r="V230" i="7"/>
  <c r="O230" i="7"/>
  <c r="W230" i="7" s="1"/>
  <c r="V229" i="7"/>
  <c r="O229" i="7"/>
  <c r="W229" i="7" s="1"/>
  <c r="V228" i="7"/>
  <c r="O228" i="7"/>
  <c r="W228" i="7" s="1"/>
  <c r="V227" i="7"/>
  <c r="O227" i="7"/>
  <c r="W227" i="7" s="1"/>
  <c r="V226" i="7"/>
  <c r="O226" i="7"/>
  <c r="W226" i="7" s="1"/>
  <c r="V225" i="7"/>
  <c r="O225" i="7"/>
  <c r="W225" i="7" s="1"/>
  <c r="V224" i="7"/>
  <c r="O224" i="7"/>
  <c r="W224" i="7" s="1"/>
  <c r="V223" i="7"/>
  <c r="O223" i="7"/>
  <c r="W223" i="7" s="1"/>
  <c r="V222" i="7"/>
  <c r="O222" i="7"/>
  <c r="W222" i="7" s="1"/>
  <c r="V221" i="7"/>
  <c r="O221" i="7"/>
  <c r="W221" i="7" s="1"/>
  <c r="V220" i="7"/>
  <c r="O220" i="7"/>
  <c r="W220" i="7" s="1"/>
  <c r="V219" i="7"/>
  <c r="O219" i="7"/>
  <c r="W219" i="7" s="1"/>
  <c r="V218" i="7"/>
  <c r="O218" i="7"/>
  <c r="W218" i="7" s="1"/>
  <c r="V217" i="7"/>
  <c r="O217" i="7"/>
  <c r="W217" i="7" s="1"/>
  <c r="V216" i="7"/>
  <c r="O216" i="7"/>
  <c r="W216" i="7" s="1"/>
  <c r="V215" i="7"/>
  <c r="O215" i="7"/>
  <c r="W215" i="7" s="1"/>
  <c r="V214" i="7"/>
  <c r="O214" i="7"/>
  <c r="W214" i="7" s="1"/>
  <c r="V213" i="7"/>
  <c r="O213" i="7"/>
  <c r="W213" i="7" s="1"/>
  <c r="V212" i="7"/>
  <c r="O212" i="7"/>
  <c r="W212" i="7" s="1"/>
  <c r="V211" i="7"/>
  <c r="O211" i="7"/>
  <c r="W211" i="7" s="1"/>
  <c r="V210" i="7"/>
  <c r="O210" i="7"/>
  <c r="W210" i="7" s="1"/>
  <c r="V209" i="7"/>
  <c r="O209" i="7"/>
  <c r="W209" i="7" s="1"/>
  <c r="V208" i="7"/>
  <c r="O208" i="7"/>
  <c r="W208" i="7" s="1"/>
  <c r="V207" i="7"/>
  <c r="O207" i="7"/>
  <c r="W207" i="7" s="1"/>
  <c r="V206" i="7"/>
  <c r="O206" i="7"/>
  <c r="W206" i="7" s="1"/>
  <c r="V205" i="7"/>
  <c r="O205" i="7"/>
  <c r="W205" i="7" s="1"/>
  <c r="V204" i="7"/>
  <c r="O204" i="7"/>
  <c r="W204" i="7" s="1"/>
  <c r="V203" i="7"/>
  <c r="O203" i="7"/>
  <c r="W203" i="7" s="1"/>
  <c r="V202" i="7"/>
  <c r="O202" i="7"/>
  <c r="W202" i="7" s="1"/>
  <c r="V201" i="7"/>
  <c r="O201" i="7"/>
  <c r="W201" i="7" s="1"/>
  <c r="V200" i="7"/>
  <c r="O200" i="7"/>
  <c r="W200" i="7" s="1"/>
  <c r="V199" i="7"/>
  <c r="O199" i="7"/>
  <c r="W199" i="7" s="1"/>
  <c r="V198" i="7"/>
  <c r="O198" i="7"/>
  <c r="W198" i="7" s="1"/>
  <c r="V197" i="7"/>
  <c r="O197" i="7"/>
  <c r="W197" i="7" s="1"/>
  <c r="V196" i="7"/>
  <c r="O196" i="7"/>
  <c r="W196" i="7" s="1"/>
  <c r="V195" i="7"/>
  <c r="O195" i="7"/>
  <c r="W195" i="7" s="1"/>
  <c r="V194" i="7"/>
  <c r="O194" i="7"/>
  <c r="W194" i="7" s="1"/>
  <c r="V193" i="7"/>
  <c r="O193" i="7"/>
  <c r="W193" i="7" s="1"/>
  <c r="V192" i="7"/>
  <c r="O192" i="7"/>
  <c r="W192" i="7" s="1"/>
  <c r="V191" i="7"/>
  <c r="O191" i="7"/>
  <c r="W191" i="7" s="1"/>
  <c r="V190" i="7"/>
  <c r="O190" i="7"/>
  <c r="W190" i="7" s="1"/>
  <c r="V189" i="7"/>
  <c r="O189" i="7"/>
  <c r="W189" i="7" s="1"/>
  <c r="V188" i="7"/>
  <c r="O188" i="7"/>
  <c r="W188" i="7" s="1"/>
  <c r="V187" i="7"/>
  <c r="O187" i="7"/>
  <c r="W187" i="7" s="1"/>
  <c r="V186" i="7"/>
  <c r="O186" i="7"/>
  <c r="W186" i="7" s="1"/>
  <c r="V185" i="7"/>
  <c r="O185" i="7"/>
  <c r="W185" i="7" s="1"/>
  <c r="V184" i="7"/>
  <c r="O184" i="7"/>
  <c r="W184" i="7" s="1"/>
  <c r="V183" i="7"/>
  <c r="O183" i="7"/>
  <c r="W183" i="7" s="1"/>
  <c r="V182" i="7"/>
  <c r="O182" i="7"/>
  <c r="W182" i="7" s="1"/>
  <c r="V181" i="7"/>
  <c r="O181" i="7"/>
  <c r="W181" i="7" s="1"/>
  <c r="V180" i="7"/>
  <c r="O180" i="7"/>
  <c r="W180" i="7" s="1"/>
  <c r="V179" i="7"/>
  <c r="O179" i="7"/>
  <c r="W179" i="7" s="1"/>
  <c r="V178" i="7"/>
  <c r="O178" i="7"/>
  <c r="W178" i="7" s="1"/>
  <c r="V177" i="7"/>
  <c r="O177" i="7"/>
  <c r="W177" i="7" s="1"/>
  <c r="V176" i="7"/>
  <c r="O176" i="7"/>
  <c r="W176" i="7" s="1"/>
  <c r="V175" i="7"/>
  <c r="O175" i="7"/>
  <c r="W175" i="7" s="1"/>
  <c r="V174" i="7"/>
  <c r="O174" i="7"/>
  <c r="W174" i="7" s="1"/>
  <c r="V173" i="7"/>
  <c r="O173" i="7"/>
  <c r="W173" i="7" s="1"/>
  <c r="V172" i="7"/>
  <c r="O172" i="7"/>
  <c r="W172" i="7" s="1"/>
  <c r="V171" i="7"/>
  <c r="O171" i="7"/>
  <c r="W171" i="7" s="1"/>
  <c r="V170" i="7"/>
  <c r="O170" i="7"/>
  <c r="W170" i="7" s="1"/>
  <c r="V169" i="7"/>
  <c r="O169" i="7"/>
  <c r="W169" i="7" s="1"/>
  <c r="V168" i="7"/>
  <c r="O168" i="7"/>
  <c r="W168" i="7" s="1"/>
  <c r="V167" i="7"/>
  <c r="O167" i="7"/>
  <c r="W167" i="7" s="1"/>
  <c r="V166" i="7"/>
  <c r="O166" i="7"/>
  <c r="W166" i="7" s="1"/>
  <c r="V165" i="7"/>
  <c r="O165" i="7"/>
  <c r="W165" i="7" s="1"/>
  <c r="V164" i="7"/>
  <c r="O164" i="7"/>
  <c r="W164" i="7" s="1"/>
  <c r="V163" i="7"/>
  <c r="O163" i="7"/>
  <c r="W163" i="7" s="1"/>
  <c r="V162" i="7"/>
  <c r="O162" i="7"/>
  <c r="W162" i="7" s="1"/>
  <c r="V161" i="7"/>
  <c r="O161" i="7"/>
  <c r="W161" i="7" s="1"/>
  <c r="V160" i="7"/>
  <c r="O160" i="7"/>
  <c r="W160" i="7" s="1"/>
  <c r="V159" i="7"/>
  <c r="O159" i="7"/>
  <c r="W159" i="7" s="1"/>
  <c r="V158" i="7"/>
  <c r="O158" i="7"/>
  <c r="W158" i="7" s="1"/>
  <c r="V157" i="7"/>
  <c r="O157" i="7"/>
  <c r="W157" i="7" s="1"/>
  <c r="V156" i="7"/>
  <c r="O156" i="7"/>
  <c r="W156" i="7" s="1"/>
  <c r="V155" i="7"/>
  <c r="O155" i="7"/>
  <c r="W155" i="7" s="1"/>
  <c r="V154" i="7"/>
  <c r="O154" i="7"/>
  <c r="W154" i="7" s="1"/>
  <c r="V153" i="7"/>
  <c r="O153" i="7"/>
  <c r="W153" i="7" s="1"/>
  <c r="V152" i="7"/>
  <c r="O152" i="7"/>
  <c r="W152" i="7" s="1"/>
  <c r="V151" i="7"/>
  <c r="O151" i="7"/>
  <c r="W151" i="7" s="1"/>
  <c r="V150" i="7"/>
  <c r="O150" i="7"/>
  <c r="W150" i="7" s="1"/>
  <c r="V149" i="7"/>
  <c r="O149" i="7"/>
  <c r="W149" i="7" s="1"/>
  <c r="V148" i="7"/>
  <c r="O148" i="7"/>
  <c r="W148" i="7" s="1"/>
  <c r="V147" i="7"/>
  <c r="O147" i="7"/>
  <c r="W147" i="7" s="1"/>
  <c r="V146" i="7"/>
  <c r="O146" i="7"/>
  <c r="W146" i="7" s="1"/>
  <c r="V145" i="7"/>
  <c r="O145" i="7"/>
  <c r="W145" i="7" s="1"/>
  <c r="V144" i="7"/>
  <c r="O144" i="7"/>
  <c r="W144" i="7" s="1"/>
  <c r="V143" i="7"/>
  <c r="O143" i="7"/>
  <c r="W143" i="7" s="1"/>
  <c r="V142" i="7"/>
  <c r="O142" i="7"/>
  <c r="W142" i="7" s="1"/>
  <c r="V141" i="7"/>
  <c r="O141" i="7"/>
  <c r="W141" i="7" s="1"/>
  <c r="V140" i="7"/>
  <c r="O140" i="7"/>
  <c r="W140" i="7" s="1"/>
  <c r="V139" i="7"/>
  <c r="O139" i="7"/>
  <c r="W139" i="7" s="1"/>
  <c r="V138" i="7"/>
  <c r="O138" i="7"/>
  <c r="W138" i="7" s="1"/>
  <c r="V137" i="7"/>
  <c r="O137" i="7"/>
  <c r="W137" i="7" s="1"/>
  <c r="V136" i="7"/>
  <c r="O136" i="7"/>
  <c r="W136" i="7" s="1"/>
  <c r="V135" i="7"/>
  <c r="O135" i="7"/>
  <c r="W135" i="7" s="1"/>
  <c r="V134" i="7"/>
  <c r="O134" i="7"/>
  <c r="W134" i="7" s="1"/>
  <c r="V133" i="7"/>
  <c r="O133" i="7"/>
  <c r="W133" i="7" s="1"/>
  <c r="V132" i="7"/>
  <c r="O132" i="7"/>
  <c r="W132" i="7" s="1"/>
  <c r="V131" i="7"/>
  <c r="O131" i="7"/>
  <c r="W131" i="7" s="1"/>
  <c r="V130" i="7"/>
  <c r="O130" i="7"/>
  <c r="W130" i="7" s="1"/>
  <c r="V129" i="7"/>
  <c r="O129" i="7"/>
  <c r="W129" i="7" s="1"/>
  <c r="V128" i="7"/>
  <c r="O128" i="7"/>
  <c r="W128" i="7" s="1"/>
  <c r="V127" i="7"/>
  <c r="O127" i="7"/>
  <c r="W127" i="7" s="1"/>
  <c r="V126" i="7"/>
  <c r="O126" i="7"/>
  <c r="W126" i="7" s="1"/>
  <c r="V125" i="7"/>
  <c r="O125" i="7"/>
  <c r="W125" i="7" s="1"/>
  <c r="V124" i="7"/>
  <c r="O124" i="7"/>
  <c r="W124" i="7" s="1"/>
  <c r="V123" i="7"/>
  <c r="O123" i="7"/>
  <c r="W123" i="7" s="1"/>
  <c r="V122" i="7"/>
  <c r="O122" i="7"/>
  <c r="W122" i="7" s="1"/>
  <c r="V121" i="7"/>
  <c r="O121" i="7"/>
  <c r="W121" i="7" s="1"/>
  <c r="V120" i="7"/>
  <c r="O120" i="7"/>
  <c r="W120" i="7" s="1"/>
  <c r="V119" i="7"/>
  <c r="O119" i="7"/>
  <c r="W119" i="7" s="1"/>
  <c r="V118" i="7"/>
  <c r="O118" i="7"/>
  <c r="W118" i="7" s="1"/>
  <c r="V117" i="7"/>
  <c r="O117" i="7"/>
  <c r="W117" i="7" s="1"/>
  <c r="V116" i="7"/>
  <c r="O116" i="7"/>
  <c r="W116" i="7" s="1"/>
  <c r="V115" i="7"/>
  <c r="O115" i="7"/>
  <c r="W115" i="7" s="1"/>
  <c r="V114" i="7"/>
  <c r="O114" i="7"/>
  <c r="W114" i="7" s="1"/>
  <c r="V113" i="7"/>
  <c r="O113" i="7"/>
  <c r="W113" i="7" s="1"/>
  <c r="V112" i="7"/>
  <c r="O112" i="7"/>
  <c r="W112" i="7" s="1"/>
  <c r="V111" i="7"/>
  <c r="O111" i="7"/>
  <c r="W111" i="7" s="1"/>
  <c r="V110" i="7"/>
  <c r="O110" i="7"/>
  <c r="W110" i="7" s="1"/>
  <c r="V109" i="7"/>
  <c r="O109" i="7"/>
  <c r="W109" i="7" s="1"/>
  <c r="V108" i="7"/>
  <c r="O108" i="7"/>
  <c r="W108" i="7" s="1"/>
  <c r="V107" i="7"/>
  <c r="O107" i="7"/>
  <c r="W107" i="7" s="1"/>
  <c r="V106" i="7"/>
  <c r="O106" i="7"/>
  <c r="W106" i="7" s="1"/>
  <c r="V105" i="7"/>
  <c r="O105" i="7"/>
  <c r="W105" i="7" s="1"/>
  <c r="V104" i="7"/>
  <c r="O104" i="7"/>
  <c r="W104" i="7" s="1"/>
  <c r="V103" i="7"/>
  <c r="O103" i="7"/>
  <c r="W103" i="7" s="1"/>
  <c r="V102" i="7"/>
  <c r="O102" i="7"/>
  <c r="W102" i="7" s="1"/>
  <c r="V101" i="7"/>
  <c r="O101" i="7"/>
  <c r="W101" i="7" s="1"/>
  <c r="V100" i="7"/>
  <c r="O100" i="7"/>
  <c r="W100" i="7" s="1"/>
  <c r="V99" i="7"/>
  <c r="O99" i="7"/>
  <c r="W99" i="7" s="1"/>
  <c r="V98" i="7"/>
  <c r="O98" i="7"/>
  <c r="W98" i="7" s="1"/>
  <c r="V97" i="7"/>
  <c r="O97" i="7"/>
  <c r="W97" i="7" s="1"/>
  <c r="V96" i="7"/>
  <c r="O96" i="7"/>
  <c r="W96" i="7" s="1"/>
  <c r="V95" i="7"/>
  <c r="O95" i="7"/>
  <c r="W95" i="7" s="1"/>
  <c r="V94" i="7"/>
  <c r="O94" i="7"/>
  <c r="W94" i="7" s="1"/>
  <c r="V93" i="7"/>
  <c r="O93" i="7"/>
  <c r="W93" i="7" s="1"/>
  <c r="V92" i="7"/>
  <c r="O92" i="7"/>
  <c r="W92" i="7" s="1"/>
  <c r="V91" i="7"/>
  <c r="O91" i="7"/>
  <c r="W91" i="7" s="1"/>
  <c r="V90" i="7"/>
  <c r="O90" i="7"/>
  <c r="W90" i="7" s="1"/>
  <c r="V89" i="7"/>
  <c r="O89" i="7"/>
  <c r="W89" i="7" s="1"/>
  <c r="V88" i="7"/>
  <c r="O88" i="7"/>
  <c r="W88" i="7" s="1"/>
  <c r="V87" i="7"/>
  <c r="O87" i="7"/>
  <c r="W87" i="7" s="1"/>
  <c r="V86" i="7"/>
  <c r="O86" i="7"/>
  <c r="W86" i="7" s="1"/>
  <c r="V85" i="7"/>
  <c r="O85" i="7"/>
  <c r="W85" i="7" s="1"/>
  <c r="V84" i="7"/>
  <c r="O84" i="7"/>
  <c r="W84" i="7" s="1"/>
  <c r="V83" i="7"/>
  <c r="O83" i="7"/>
  <c r="W83" i="7" s="1"/>
  <c r="V82" i="7"/>
  <c r="O82" i="7"/>
  <c r="W82" i="7" s="1"/>
  <c r="V81" i="7"/>
  <c r="O81" i="7"/>
  <c r="W81" i="7" s="1"/>
  <c r="V80" i="7"/>
  <c r="O80" i="7"/>
  <c r="W80" i="7" s="1"/>
  <c r="V79" i="7"/>
  <c r="O79" i="7"/>
  <c r="W79" i="7" s="1"/>
  <c r="V78" i="7"/>
  <c r="O78" i="7"/>
  <c r="W78" i="7" s="1"/>
  <c r="V77" i="7"/>
  <c r="O77" i="7"/>
  <c r="W77" i="7" s="1"/>
  <c r="V76" i="7"/>
  <c r="O76" i="7"/>
  <c r="W76" i="7" s="1"/>
  <c r="V75" i="7"/>
  <c r="O75" i="7"/>
  <c r="W75" i="7" s="1"/>
  <c r="V74" i="7"/>
  <c r="O74" i="7"/>
  <c r="W74" i="7" s="1"/>
  <c r="V73" i="7"/>
  <c r="O73" i="7"/>
  <c r="W73" i="7" s="1"/>
  <c r="V72" i="7"/>
  <c r="O72" i="7"/>
  <c r="W72" i="7" s="1"/>
  <c r="V71" i="7"/>
  <c r="O71" i="7"/>
  <c r="W71" i="7" s="1"/>
  <c r="V70" i="7"/>
  <c r="O70" i="7"/>
  <c r="W70" i="7" s="1"/>
  <c r="V69" i="7"/>
  <c r="O69" i="7"/>
  <c r="W69" i="7" s="1"/>
  <c r="V68" i="7"/>
  <c r="O68" i="7"/>
  <c r="W68" i="7" s="1"/>
  <c r="V67" i="7"/>
  <c r="O67" i="7"/>
  <c r="W67" i="7" s="1"/>
  <c r="V66" i="7"/>
  <c r="O66" i="7"/>
  <c r="W66" i="7" s="1"/>
  <c r="V65" i="7"/>
  <c r="O65" i="7"/>
  <c r="W65" i="7" s="1"/>
  <c r="V64" i="7"/>
  <c r="O64" i="7"/>
  <c r="W64" i="7" s="1"/>
  <c r="V63" i="7"/>
  <c r="O63" i="7"/>
  <c r="W63" i="7" s="1"/>
  <c r="V62" i="7"/>
  <c r="O62" i="7"/>
  <c r="W62" i="7" s="1"/>
  <c r="V61" i="7"/>
  <c r="O61" i="7"/>
  <c r="W61" i="7" s="1"/>
  <c r="V60" i="7"/>
  <c r="O60" i="7"/>
  <c r="W60" i="7" s="1"/>
  <c r="V59" i="7"/>
  <c r="O59" i="7"/>
  <c r="W59" i="7" s="1"/>
  <c r="V58" i="7"/>
  <c r="O58" i="7"/>
  <c r="W58" i="7" s="1"/>
  <c r="V57" i="7"/>
  <c r="O57" i="7"/>
  <c r="W57" i="7" s="1"/>
  <c r="V56" i="7"/>
  <c r="O56" i="7"/>
  <c r="W56" i="7" s="1"/>
  <c r="V55" i="7"/>
  <c r="O55" i="7"/>
  <c r="W55" i="7" s="1"/>
  <c r="V54" i="7"/>
  <c r="O54" i="7"/>
  <c r="W54" i="7" s="1"/>
  <c r="V53" i="7"/>
  <c r="O53" i="7"/>
  <c r="W53" i="7" s="1"/>
  <c r="V52" i="7"/>
  <c r="O52" i="7"/>
  <c r="W52" i="7" s="1"/>
  <c r="V51" i="7"/>
  <c r="O51" i="7"/>
  <c r="W51" i="7" s="1"/>
  <c r="V50" i="7"/>
  <c r="O50" i="7"/>
  <c r="W50" i="7" s="1"/>
  <c r="V49" i="7"/>
  <c r="O49" i="7"/>
  <c r="W49" i="7" s="1"/>
  <c r="V48" i="7"/>
  <c r="O48" i="7"/>
  <c r="W48" i="7" s="1"/>
  <c r="V47" i="7"/>
  <c r="O47" i="7"/>
  <c r="W47" i="7" s="1"/>
  <c r="V46" i="7"/>
  <c r="O46" i="7"/>
  <c r="W46" i="7" s="1"/>
  <c r="V45" i="7"/>
  <c r="O45" i="7"/>
  <c r="W45" i="7" s="1"/>
  <c r="V44" i="7"/>
  <c r="O44" i="7"/>
  <c r="W44" i="7" s="1"/>
  <c r="V43" i="7"/>
  <c r="O43" i="7"/>
  <c r="W43" i="7" s="1"/>
  <c r="V42" i="7"/>
  <c r="O42" i="7"/>
  <c r="W42" i="7" s="1"/>
  <c r="V41" i="7"/>
  <c r="O41" i="7"/>
  <c r="W41" i="7" s="1"/>
  <c r="V40" i="7"/>
  <c r="O40" i="7"/>
  <c r="W40" i="7" s="1"/>
  <c r="V39" i="7"/>
  <c r="O39" i="7"/>
  <c r="W39" i="7" s="1"/>
  <c r="V38" i="7"/>
  <c r="O38" i="7"/>
  <c r="W38" i="7" s="1"/>
  <c r="V37" i="7"/>
  <c r="O37" i="7"/>
  <c r="W37" i="7" s="1"/>
  <c r="V36" i="7"/>
  <c r="O36" i="7"/>
  <c r="W36" i="7" s="1"/>
  <c r="V35" i="7"/>
  <c r="O35" i="7"/>
  <c r="W35" i="7" s="1"/>
  <c r="V34" i="7"/>
  <c r="O34" i="7"/>
  <c r="W34" i="7" s="1"/>
  <c r="V33" i="7"/>
  <c r="O33" i="7"/>
  <c r="W33" i="7" s="1"/>
  <c r="V32" i="7"/>
  <c r="O32" i="7"/>
  <c r="W32" i="7" s="1"/>
  <c r="V31" i="7"/>
  <c r="O31" i="7"/>
  <c r="W31" i="7" s="1"/>
  <c r="V30" i="7"/>
  <c r="O30" i="7"/>
  <c r="W30" i="7" s="1"/>
  <c r="V29" i="7"/>
  <c r="O29" i="7"/>
  <c r="W29" i="7" s="1"/>
  <c r="V28" i="7"/>
  <c r="O28" i="7"/>
  <c r="W28" i="7" s="1"/>
  <c r="V27" i="7"/>
  <c r="O27" i="7"/>
  <c r="W27" i="7" s="1"/>
  <c r="V26" i="7"/>
  <c r="O26" i="7"/>
  <c r="W26" i="7" s="1"/>
  <c r="V25" i="7"/>
  <c r="O25" i="7"/>
  <c r="W25" i="7" s="1"/>
  <c r="V24" i="7"/>
  <c r="O24" i="7"/>
  <c r="W24" i="7" s="1"/>
  <c r="V23" i="7"/>
  <c r="O23" i="7"/>
  <c r="W23" i="7" s="1"/>
  <c r="V22" i="7"/>
  <c r="O22" i="7"/>
  <c r="W22" i="7" s="1"/>
  <c r="V21" i="7"/>
  <c r="O21" i="7"/>
  <c r="W21" i="7" s="1"/>
  <c r="V20" i="7"/>
  <c r="O20" i="7"/>
  <c r="W20" i="7" s="1"/>
  <c r="V19" i="7"/>
  <c r="O19" i="7"/>
  <c r="W19" i="7" s="1"/>
  <c r="V18" i="7"/>
  <c r="O18" i="7"/>
  <c r="W18" i="7" s="1"/>
  <c r="V17" i="7"/>
  <c r="O17" i="7"/>
  <c r="W17" i="7" s="1"/>
  <c r="V16" i="7"/>
  <c r="O16" i="7"/>
  <c r="W16" i="7" s="1"/>
  <c r="V15" i="7"/>
  <c r="O15" i="7"/>
  <c r="W15" i="7" s="1"/>
  <c r="V14" i="7"/>
  <c r="O14" i="7"/>
  <c r="W14" i="7" s="1"/>
  <c r="V13" i="7"/>
  <c r="O13" i="7"/>
  <c r="W13" i="7" s="1"/>
  <c r="V12" i="7"/>
  <c r="O12" i="7"/>
  <c r="W12" i="7" s="1"/>
  <c r="V11" i="7"/>
  <c r="O11" i="7"/>
  <c r="W11" i="7" s="1"/>
  <c r="V10" i="7"/>
  <c r="O10" i="7"/>
  <c r="W10" i="7" s="1"/>
  <c r="V9" i="7"/>
  <c r="O9" i="7"/>
  <c r="W9" i="7" s="1"/>
  <c r="V8" i="7"/>
  <c r="O8" i="7"/>
  <c r="W8" i="7" s="1"/>
  <c r="V7" i="7"/>
  <c r="O7" i="7"/>
  <c r="W7" i="7" s="1"/>
  <c r="V6" i="7"/>
  <c r="O6" i="7"/>
  <c r="W6" i="7" s="1"/>
  <c r="V5" i="7"/>
  <c r="O5" i="7"/>
  <c r="W5" i="7" s="1"/>
  <c r="V4" i="7"/>
  <c r="O4" i="7"/>
  <c r="W4" i="7" s="1"/>
  <c r="V3" i="7"/>
  <c r="O3" i="7"/>
  <c r="W3" i="7" s="1"/>
  <c r="W285" i="7" s="1"/>
  <c r="L42" i="4" a="1"/>
  <c r="L42" i="4"/>
  <c r="A42" i="4" a="1"/>
  <c r="A42" i="4"/>
  <c r="L41" i="4"/>
  <c r="J41" i="4"/>
  <c r="I41" i="4"/>
  <c r="H41" i="4"/>
  <c r="G41" i="4"/>
  <c r="F41" i="4"/>
  <c r="E41" i="4"/>
  <c r="D41" i="4"/>
  <c r="C41" i="4"/>
  <c r="B41" i="4"/>
  <c r="A41" i="4"/>
  <c r="A39" i="4"/>
  <c r="A38" i="4"/>
  <c r="A37" i="4"/>
  <c r="A36" i="4"/>
  <c r="A35" i="4"/>
  <c r="A34" i="4"/>
  <c r="A33" i="4"/>
  <c r="A32" i="4"/>
  <c r="A31" i="4"/>
  <c r="A30" i="4"/>
  <c r="A29" i="4"/>
  <c r="G28" i="4"/>
  <c r="F28" i="4"/>
  <c r="B17" i="4"/>
  <c r="B16" i="4"/>
  <c r="B22" i="4" s="1"/>
  <c r="A7" i="4" a="1"/>
  <c r="A7" i="4"/>
  <c r="B29" i="4" s="1" a="1"/>
  <c r="H38" i="3" a="1"/>
  <c r="H38" i="3"/>
  <c r="A38" i="3" a="1"/>
  <c r="A38" i="3"/>
  <c r="H37" i="3"/>
  <c r="F37" i="3"/>
  <c r="E37" i="3"/>
  <c r="D37" i="3"/>
  <c r="C37" i="3"/>
  <c r="B37" i="3"/>
  <c r="A37" i="3"/>
  <c r="A35" i="3"/>
  <c r="A34" i="3"/>
  <c r="A33" i="3"/>
  <c r="A32" i="3"/>
  <c r="A31" i="3"/>
  <c r="A30" i="3"/>
  <c r="A29" i="3"/>
  <c r="G28" i="3"/>
  <c r="F28" i="3"/>
  <c r="B17" i="3"/>
  <c r="B16" i="3"/>
  <c r="B22" i="3" s="1"/>
  <c r="A7" i="3" a="1"/>
  <c r="A7" i="3"/>
  <c r="B29" i="3" s="1" a="1"/>
  <c r="G37" i="2" a="1"/>
  <c r="G37" i="2"/>
  <c r="A37" i="2" a="1"/>
  <c r="A37" i="2"/>
  <c r="G36" i="2"/>
  <c r="E36" i="2"/>
  <c r="D36" i="2"/>
  <c r="C36" i="2"/>
  <c r="B36" i="2"/>
  <c r="A36" i="2"/>
  <c r="A34" i="2"/>
  <c r="A33" i="2"/>
  <c r="A32" i="2"/>
  <c r="A31" i="2"/>
  <c r="A30" i="2"/>
  <c r="A29" i="2"/>
  <c r="G28" i="2"/>
  <c r="F28" i="2"/>
  <c r="B17" i="2"/>
  <c r="B16" i="2"/>
  <c r="B22" i="2" s="1"/>
  <c r="A7" i="2" a="1"/>
  <c r="A7" i="2"/>
  <c r="B29" i="2" s="1" a="1"/>
  <c r="B34" i="2" l="1"/>
  <c r="F11" i="2"/>
  <c r="E11" i="2"/>
  <c r="D11" i="2"/>
  <c r="C11" i="2"/>
  <c r="B11" i="2"/>
  <c r="A11" i="2"/>
  <c r="F10" i="2"/>
  <c r="E10" i="2"/>
  <c r="D10" i="2"/>
  <c r="C10" i="2"/>
  <c r="B10" i="2"/>
  <c r="B23" i="2" s="1"/>
  <c r="A10" i="2"/>
  <c r="F9" i="2"/>
  <c r="E9" i="2"/>
  <c r="D9" i="2"/>
  <c r="C9" i="2"/>
  <c r="B9" i="2"/>
  <c r="B15" i="2" s="1"/>
  <c r="A9" i="2"/>
  <c r="F8" i="2"/>
  <c r="E8" i="2"/>
  <c r="D8" i="2"/>
  <c r="C8" i="2"/>
  <c r="B8" i="2"/>
  <c r="A8" i="2"/>
  <c r="C29" i="2" s="1" a="1"/>
  <c r="F7" i="2"/>
  <c r="B29" i="2" s="1"/>
  <c r="E7" i="2"/>
  <c r="B30" i="2" s="1"/>
  <c r="D7" i="2"/>
  <c r="B31" i="2" s="1"/>
  <c r="C7" i="2"/>
  <c r="B32" i="2" s="1"/>
  <c r="B7" i="2"/>
  <c r="B33" i="2" s="1"/>
  <c r="B24" i="2"/>
  <c r="E318" i="2"/>
  <c r="D318" i="2"/>
  <c r="C318" i="2"/>
  <c r="B318" i="2"/>
  <c r="A318" i="2"/>
  <c r="E317" i="2"/>
  <c r="D317" i="2"/>
  <c r="C317" i="2"/>
  <c r="B317" i="2"/>
  <c r="A317" i="2"/>
  <c r="E316" i="2"/>
  <c r="D316" i="2"/>
  <c r="C316" i="2"/>
  <c r="B316" i="2"/>
  <c r="A316" i="2"/>
  <c r="E315" i="2"/>
  <c r="D315" i="2"/>
  <c r="C315" i="2"/>
  <c r="B315" i="2"/>
  <c r="A315" i="2"/>
  <c r="E314" i="2"/>
  <c r="D314" i="2"/>
  <c r="C314" i="2"/>
  <c r="B314" i="2"/>
  <c r="A314" i="2"/>
  <c r="E313" i="2"/>
  <c r="D313" i="2"/>
  <c r="C313" i="2"/>
  <c r="B313" i="2"/>
  <c r="A313" i="2"/>
  <c r="E312" i="2"/>
  <c r="D312" i="2"/>
  <c r="C312" i="2"/>
  <c r="B312" i="2"/>
  <c r="A312" i="2"/>
  <c r="E311" i="2"/>
  <c r="D311" i="2"/>
  <c r="C311" i="2"/>
  <c r="B311" i="2"/>
  <c r="A311" i="2"/>
  <c r="E310" i="2"/>
  <c r="D310" i="2"/>
  <c r="C310" i="2"/>
  <c r="B310" i="2"/>
  <c r="A310" i="2"/>
  <c r="E309" i="2"/>
  <c r="D309" i="2"/>
  <c r="C309" i="2"/>
  <c r="B309" i="2"/>
  <c r="A309" i="2"/>
  <c r="E308" i="2"/>
  <c r="D308" i="2"/>
  <c r="C308" i="2"/>
  <c r="B308" i="2"/>
  <c r="A308" i="2"/>
  <c r="E307" i="2"/>
  <c r="D307" i="2"/>
  <c r="C307" i="2"/>
  <c r="B307" i="2"/>
  <c r="A307" i="2"/>
  <c r="E306" i="2"/>
  <c r="D306" i="2"/>
  <c r="C306" i="2"/>
  <c r="B306" i="2"/>
  <c r="A306" i="2"/>
  <c r="E305" i="2"/>
  <c r="D305" i="2"/>
  <c r="C305" i="2"/>
  <c r="B305" i="2"/>
  <c r="A305" i="2"/>
  <c r="E304" i="2"/>
  <c r="D304" i="2"/>
  <c r="C304" i="2"/>
  <c r="B304" i="2"/>
  <c r="A304" i="2"/>
  <c r="E303" i="2"/>
  <c r="D303" i="2"/>
  <c r="C303" i="2"/>
  <c r="B303" i="2"/>
  <c r="A303" i="2"/>
  <c r="E302" i="2"/>
  <c r="D302" i="2"/>
  <c r="C302" i="2"/>
  <c r="B302" i="2"/>
  <c r="A302" i="2"/>
  <c r="E301" i="2"/>
  <c r="D301" i="2"/>
  <c r="C301" i="2"/>
  <c r="B301" i="2"/>
  <c r="A301" i="2"/>
  <c r="E300" i="2"/>
  <c r="D300" i="2"/>
  <c r="C300" i="2"/>
  <c r="B300" i="2"/>
  <c r="A300" i="2"/>
  <c r="E299" i="2"/>
  <c r="D299" i="2"/>
  <c r="C299" i="2"/>
  <c r="B299" i="2"/>
  <c r="A299" i="2"/>
  <c r="E298" i="2"/>
  <c r="D298" i="2"/>
  <c r="C298" i="2"/>
  <c r="B298" i="2"/>
  <c r="A298" i="2"/>
  <c r="E297" i="2"/>
  <c r="D297" i="2"/>
  <c r="C297" i="2"/>
  <c r="B297" i="2"/>
  <c r="A297" i="2"/>
  <c r="E296" i="2"/>
  <c r="D296" i="2"/>
  <c r="C296" i="2"/>
  <c r="B296" i="2"/>
  <c r="A296" i="2"/>
  <c r="E295" i="2"/>
  <c r="D295" i="2"/>
  <c r="C295" i="2"/>
  <c r="B295" i="2"/>
  <c r="A295" i="2"/>
  <c r="E294" i="2"/>
  <c r="D294" i="2"/>
  <c r="C294" i="2"/>
  <c r="B294" i="2"/>
  <c r="A294" i="2"/>
  <c r="E293" i="2"/>
  <c r="D293" i="2"/>
  <c r="C293" i="2"/>
  <c r="B293" i="2"/>
  <c r="A293" i="2"/>
  <c r="E292" i="2"/>
  <c r="D292" i="2"/>
  <c r="C292" i="2"/>
  <c r="B292" i="2"/>
  <c r="A292" i="2"/>
  <c r="E291" i="2"/>
  <c r="D291" i="2"/>
  <c r="C291" i="2"/>
  <c r="B291" i="2"/>
  <c r="A291" i="2"/>
  <c r="E290" i="2"/>
  <c r="D290" i="2"/>
  <c r="C290" i="2"/>
  <c r="B290" i="2"/>
  <c r="A290" i="2"/>
  <c r="E289" i="2"/>
  <c r="D289" i="2"/>
  <c r="C289" i="2"/>
  <c r="B289" i="2"/>
  <c r="A289" i="2"/>
  <c r="E288" i="2"/>
  <c r="D288" i="2"/>
  <c r="C288" i="2"/>
  <c r="B288" i="2"/>
  <c r="A288" i="2"/>
  <c r="E287" i="2"/>
  <c r="D287" i="2"/>
  <c r="C287" i="2"/>
  <c r="B287" i="2"/>
  <c r="A287" i="2"/>
  <c r="E286" i="2"/>
  <c r="D286" i="2"/>
  <c r="C286" i="2"/>
  <c r="B286" i="2"/>
  <c r="A286" i="2"/>
  <c r="E285" i="2"/>
  <c r="D285" i="2"/>
  <c r="C285" i="2"/>
  <c r="B285" i="2"/>
  <c r="A285" i="2"/>
  <c r="E284" i="2"/>
  <c r="D284" i="2"/>
  <c r="C284" i="2"/>
  <c r="B284" i="2"/>
  <c r="A284" i="2"/>
  <c r="E283" i="2"/>
  <c r="D283" i="2"/>
  <c r="C283" i="2"/>
  <c r="B283" i="2"/>
  <c r="A283" i="2"/>
  <c r="E282" i="2"/>
  <c r="D282" i="2"/>
  <c r="C282" i="2"/>
  <c r="B282" i="2"/>
  <c r="A282" i="2"/>
  <c r="E281" i="2"/>
  <c r="D281" i="2"/>
  <c r="C281" i="2"/>
  <c r="B281" i="2"/>
  <c r="A281" i="2"/>
  <c r="E280" i="2"/>
  <c r="D280" i="2"/>
  <c r="C280" i="2"/>
  <c r="B280" i="2"/>
  <c r="A280" i="2"/>
  <c r="E279" i="2"/>
  <c r="D279" i="2"/>
  <c r="C279" i="2"/>
  <c r="B279" i="2"/>
  <c r="A279" i="2"/>
  <c r="E278" i="2"/>
  <c r="D278" i="2"/>
  <c r="C278" i="2"/>
  <c r="B278" i="2"/>
  <c r="A278" i="2"/>
  <c r="E277" i="2"/>
  <c r="D277" i="2"/>
  <c r="C277" i="2"/>
  <c r="B277" i="2"/>
  <c r="A277" i="2"/>
  <c r="E276" i="2"/>
  <c r="D276" i="2"/>
  <c r="C276" i="2"/>
  <c r="B276" i="2"/>
  <c r="A276" i="2"/>
  <c r="E275" i="2"/>
  <c r="D275" i="2"/>
  <c r="C275" i="2"/>
  <c r="B275" i="2"/>
  <c r="A275" i="2"/>
  <c r="E274" i="2"/>
  <c r="D274" i="2"/>
  <c r="C274" i="2"/>
  <c r="B274" i="2"/>
  <c r="A274" i="2"/>
  <c r="E273" i="2"/>
  <c r="D273" i="2"/>
  <c r="C273" i="2"/>
  <c r="B273" i="2"/>
  <c r="A273" i="2"/>
  <c r="E272" i="2"/>
  <c r="D272" i="2"/>
  <c r="C272" i="2"/>
  <c r="B272" i="2"/>
  <c r="A272" i="2"/>
  <c r="E271" i="2"/>
  <c r="D271" i="2"/>
  <c r="C271" i="2"/>
  <c r="B271" i="2"/>
  <c r="A271" i="2"/>
  <c r="E270" i="2"/>
  <c r="D270" i="2"/>
  <c r="C270" i="2"/>
  <c r="B270" i="2"/>
  <c r="A270" i="2"/>
  <c r="E269" i="2"/>
  <c r="D269" i="2"/>
  <c r="C269" i="2"/>
  <c r="B269" i="2"/>
  <c r="A269" i="2"/>
  <c r="E268" i="2"/>
  <c r="D268" i="2"/>
  <c r="C268" i="2"/>
  <c r="B268" i="2"/>
  <c r="A268" i="2"/>
  <c r="E267" i="2"/>
  <c r="D267" i="2"/>
  <c r="C267" i="2"/>
  <c r="B267" i="2"/>
  <c r="A267" i="2"/>
  <c r="E266" i="2"/>
  <c r="D266" i="2"/>
  <c r="C266" i="2"/>
  <c r="B266" i="2"/>
  <c r="A266" i="2"/>
  <c r="E265" i="2"/>
  <c r="D265" i="2"/>
  <c r="C265" i="2"/>
  <c r="B265" i="2"/>
  <c r="A265" i="2"/>
  <c r="E264" i="2"/>
  <c r="D264" i="2"/>
  <c r="C264" i="2"/>
  <c r="B264" i="2"/>
  <c r="A264" i="2"/>
  <c r="E263" i="2"/>
  <c r="D263" i="2"/>
  <c r="C263" i="2"/>
  <c r="B263" i="2"/>
  <c r="A263" i="2"/>
  <c r="E262" i="2"/>
  <c r="D262" i="2"/>
  <c r="C262" i="2"/>
  <c r="B262" i="2"/>
  <c r="A262" i="2"/>
  <c r="E261" i="2"/>
  <c r="D261" i="2"/>
  <c r="C261" i="2"/>
  <c r="B261" i="2"/>
  <c r="A261" i="2"/>
  <c r="E260" i="2"/>
  <c r="D260" i="2"/>
  <c r="C260" i="2"/>
  <c r="B260" i="2"/>
  <c r="A260" i="2"/>
  <c r="E259" i="2"/>
  <c r="D259" i="2"/>
  <c r="C259" i="2"/>
  <c r="B259" i="2"/>
  <c r="A259" i="2"/>
  <c r="E258" i="2"/>
  <c r="D258" i="2"/>
  <c r="C258" i="2"/>
  <c r="B258" i="2"/>
  <c r="A258" i="2"/>
  <c r="E257" i="2"/>
  <c r="D257" i="2"/>
  <c r="C257" i="2"/>
  <c r="B257" i="2"/>
  <c r="A257" i="2"/>
  <c r="E256" i="2"/>
  <c r="D256" i="2"/>
  <c r="C256" i="2"/>
  <c r="B256" i="2"/>
  <c r="A256" i="2"/>
  <c r="E255" i="2"/>
  <c r="D255" i="2"/>
  <c r="C255" i="2"/>
  <c r="B255" i="2"/>
  <c r="A255" i="2"/>
  <c r="E254" i="2"/>
  <c r="D254" i="2"/>
  <c r="C254" i="2"/>
  <c r="B254" i="2"/>
  <c r="A254" i="2"/>
  <c r="E253" i="2"/>
  <c r="D253" i="2"/>
  <c r="C253" i="2"/>
  <c r="B253" i="2"/>
  <c r="A253" i="2"/>
  <c r="E252" i="2"/>
  <c r="D252" i="2"/>
  <c r="C252" i="2"/>
  <c r="B252" i="2"/>
  <c r="A252" i="2"/>
  <c r="E251" i="2"/>
  <c r="D251" i="2"/>
  <c r="C251" i="2"/>
  <c r="B251" i="2"/>
  <c r="A251" i="2"/>
  <c r="E250" i="2"/>
  <c r="D250" i="2"/>
  <c r="C250" i="2"/>
  <c r="B250" i="2"/>
  <c r="A250" i="2"/>
  <c r="E249" i="2"/>
  <c r="D249" i="2"/>
  <c r="C249" i="2"/>
  <c r="B249" i="2"/>
  <c r="A249" i="2"/>
  <c r="E248" i="2"/>
  <c r="D248" i="2"/>
  <c r="C248" i="2"/>
  <c r="B248" i="2"/>
  <c r="A248" i="2"/>
  <c r="E247" i="2"/>
  <c r="D247" i="2"/>
  <c r="C247" i="2"/>
  <c r="B247" i="2"/>
  <c r="A247" i="2"/>
  <c r="E246" i="2"/>
  <c r="D246" i="2"/>
  <c r="C246" i="2"/>
  <c r="B246" i="2"/>
  <c r="A246" i="2"/>
  <c r="E245" i="2"/>
  <c r="D245" i="2"/>
  <c r="C245" i="2"/>
  <c r="B245" i="2"/>
  <c r="A245" i="2"/>
  <c r="E244" i="2"/>
  <c r="D244" i="2"/>
  <c r="C244" i="2"/>
  <c r="B244" i="2"/>
  <c r="A244" i="2"/>
  <c r="E243" i="2"/>
  <c r="D243" i="2"/>
  <c r="C243" i="2"/>
  <c r="B243" i="2"/>
  <c r="A243" i="2"/>
  <c r="E242" i="2"/>
  <c r="D242" i="2"/>
  <c r="C242" i="2"/>
  <c r="B242" i="2"/>
  <c r="A242" i="2"/>
  <c r="E241" i="2"/>
  <c r="D241" i="2"/>
  <c r="C241" i="2"/>
  <c r="B241" i="2"/>
  <c r="A241" i="2"/>
  <c r="E240" i="2"/>
  <c r="D240" i="2"/>
  <c r="C240" i="2"/>
  <c r="B240" i="2"/>
  <c r="A240" i="2"/>
  <c r="E239" i="2"/>
  <c r="D239" i="2"/>
  <c r="C239" i="2"/>
  <c r="B239" i="2"/>
  <c r="A239" i="2"/>
  <c r="E238" i="2"/>
  <c r="D238" i="2"/>
  <c r="C238" i="2"/>
  <c r="B238" i="2"/>
  <c r="A238" i="2"/>
  <c r="E237" i="2"/>
  <c r="D237" i="2"/>
  <c r="C237" i="2"/>
  <c r="B237" i="2"/>
  <c r="A237" i="2"/>
  <c r="E236" i="2"/>
  <c r="D236" i="2"/>
  <c r="C236" i="2"/>
  <c r="B236" i="2"/>
  <c r="A236" i="2"/>
  <c r="E235" i="2"/>
  <c r="D235" i="2"/>
  <c r="C235" i="2"/>
  <c r="B235" i="2"/>
  <c r="A235" i="2"/>
  <c r="E234" i="2"/>
  <c r="D234" i="2"/>
  <c r="C234" i="2"/>
  <c r="B234" i="2"/>
  <c r="A234" i="2"/>
  <c r="E233" i="2"/>
  <c r="D233" i="2"/>
  <c r="C233" i="2"/>
  <c r="B233" i="2"/>
  <c r="A233" i="2"/>
  <c r="E232" i="2"/>
  <c r="D232" i="2"/>
  <c r="C232" i="2"/>
  <c r="B232" i="2"/>
  <c r="A232" i="2"/>
  <c r="E231" i="2"/>
  <c r="D231" i="2"/>
  <c r="C231" i="2"/>
  <c r="B231" i="2"/>
  <c r="A231" i="2"/>
  <c r="E230" i="2"/>
  <c r="D230" i="2"/>
  <c r="C230" i="2"/>
  <c r="B230" i="2"/>
  <c r="A230" i="2"/>
  <c r="E229" i="2"/>
  <c r="D229" i="2"/>
  <c r="C229" i="2"/>
  <c r="B229" i="2"/>
  <c r="A229" i="2"/>
  <c r="E228" i="2"/>
  <c r="D228" i="2"/>
  <c r="C228" i="2"/>
  <c r="B228" i="2"/>
  <c r="A228" i="2"/>
  <c r="E227" i="2"/>
  <c r="D227" i="2"/>
  <c r="C227" i="2"/>
  <c r="B227" i="2"/>
  <c r="A227" i="2"/>
  <c r="E226" i="2"/>
  <c r="D226" i="2"/>
  <c r="C226" i="2"/>
  <c r="B226" i="2"/>
  <c r="A226" i="2"/>
  <c r="E225" i="2"/>
  <c r="D225" i="2"/>
  <c r="C225" i="2"/>
  <c r="B225" i="2"/>
  <c r="A225" i="2"/>
  <c r="E224" i="2"/>
  <c r="D224" i="2"/>
  <c r="C224" i="2"/>
  <c r="B224" i="2"/>
  <c r="A224" i="2"/>
  <c r="E223" i="2"/>
  <c r="D223" i="2"/>
  <c r="C223" i="2"/>
  <c r="B223" i="2"/>
  <c r="A223" i="2"/>
  <c r="E222" i="2"/>
  <c r="D222" i="2"/>
  <c r="C222" i="2"/>
  <c r="B222" i="2"/>
  <c r="A222" i="2"/>
  <c r="E221" i="2"/>
  <c r="D221" i="2"/>
  <c r="C221" i="2"/>
  <c r="B221" i="2"/>
  <c r="A221" i="2"/>
  <c r="E220" i="2"/>
  <c r="D220" i="2"/>
  <c r="C220" i="2"/>
  <c r="B220" i="2"/>
  <c r="A220" i="2"/>
  <c r="E219" i="2"/>
  <c r="D219" i="2"/>
  <c r="C219" i="2"/>
  <c r="B219" i="2"/>
  <c r="A219" i="2"/>
  <c r="E218" i="2"/>
  <c r="D218" i="2"/>
  <c r="C218" i="2"/>
  <c r="B218" i="2"/>
  <c r="A218" i="2"/>
  <c r="E217" i="2"/>
  <c r="D217" i="2"/>
  <c r="C217" i="2"/>
  <c r="B217" i="2"/>
  <c r="A217" i="2"/>
  <c r="E216" i="2"/>
  <c r="D216" i="2"/>
  <c r="C216" i="2"/>
  <c r="B216" i="2"/>
  <c r="A216" i="2"/>
  <c r="E215" i="2"/>
  <c r="D215" i="2"/>
  <c r="C215" i="2"/>
  <c r="B215" i="2"/>
  <c r="A215" i="2"/>
  <c r="E214" i="2"/>
  <c r="D214" i="2"/>
  <c r="C214" i="2"/>
  <c r="B214" i="2"/>
  <c r="A214" i="2"/>
  <c r="E213" i="2"/>
  <c r="D213" i="2"/>
  <c r="C213" i="2"/>
  <c r="B213" i="2"/>
  <c r="A213" i="2"/>
  <c r="E212" i="2"/>
  <c r="D212" i="2"/>
  <c r="C212" i="2"/>
  <c r="B212" i="2"/>
  <c r="A212" i="2"/>
  <c r="E211" i="2"/>
  <c r="D211" i="2"/>
  <c r="C211" i="2"/>
  <c r="B211" i="2"/>
  <c r="A211" i="2"/>
  <c r="E210" i="2"/>
  <c r="D210" i="2"/>
  <c r="C210" i="2"/>
  <c r="B210" i="2"/>
  <c r="A210" i="2"/>
  <c r="E209" i="2"/>
  <c r="D209" i="2"/>
  <c r="C209" i="2"/>
  <c r="B209" i="2"/>
  <c r="A209" i="2"/>
  <c r="E208" i="2"/>
  <c r="D208" i="2"/>
  <c r="C208" i="2"/>
  <c r="B208" i="2"/>
  <c r="A208" i="2"/>
  <c r="E207" i="2"/>
  <c r="D207" i="2"/>
  <c r="C207" i="2"/>
  <c r="B207" i="2"/>
  <c r="A207" i="2"/>
  <c r="E206" i="2"/>
  <c r="D206" i="2"/>
  <c r="C206" i="2"/>
  <c r="B206" i="2"/>
  <c r="A206" i="2"/>
  <c r="E205" i="2"/>
  <c r="D205" i="2"/>
  <c r="C205" i="2"/>
  <c r="B205" i="2"/>
  <c r="A205" i="2"/>
  <c r="E204" i="2"/>
  <c r="D204" i="2"/>
  <c r="C204" i="2"/>
  <c r="B204" i="2"/>
  <c r="A204" i="2"/>
  <c r="E203" i="2"/>
  <c r="D203" i="2"/>
  <c r="C203" i="2"/>
  <c r="B203" i="2"/>
  <c r="A203" i="2"/>
  <c r="E202" i="2"/>
  <c r="D202" i="2"/>
  <c r="C202" i="2"/>
  <c r="B202" i="2"/>
  <c r="A202" i="2"/>
  <c r="E201" i="2"/>
  <c r="D201" i="2"/>
  <c r="C201" i="2"/>
  <c r="B201" i="2"/>
  <c r="A201" i="2"/>
  <c r="E200" i="2"/>
  <c r="D200" i="2"/>
  <c r="C200" i="2"/>
  <c r="B200" i="2"/>
  <c r="A200" i="2"/>
  <c r="E199" i="2"/>
  <c r="D199" i="2"/>
  <c r="C199" i="2"/>
  <c r="B199" i="2"/>
  <c r="A199" i="2"/>
  <c r="E198" i="2"/>
  <c r="D198" i="2"/>
  <c r="C198" i="2"/>
  <c r="B198" i="2"/>
  <c r="A198" i="2"/>
  <c r="E197" i="2"/>
  <c r="D197" i="2"/>
  <c r="C197" i="2"/>
  <c r="B197" i="2"/>
  <c r="A197" i="2"/>
  <c r="E196" i="2"/>
  <c r="D196" i="2"/>
  <c r="C196" i="2"/>
  <c r="B196" i="2"/>
  <c r="A196" i="2"/>
  <c r="E195" i="2"/>
  <c r="D195" i="2"/>
  <c r="C195" i="2"/>
  <c r="B195" i="2"/>
  <c r="A195" i="2"/>
  <c r="E194" i="2"/>
  <c r="D194" i="2"/>
  <c r="C194" i="2"/>
  <c r="B194" i="2"/>
  <c r="A194" i="2"/>
  <c r="E193" i="2"/>
  <c r="D193" i="2"/>
  <c r="C193" i="2"/>
  <c r="B193" i="2"/>
  <c r="A193" i="2"/>
  <c r="E192" i="2"/>
  <c r="D192" i="2"/>
  <c r="C192" i="2"/>
  <c r="B192" i="2"/>
  <c r="A192" i="2"/>
  <c r="E191" i="2"/>
  <c r="D191" i="2"/>
  <c r="C191" i="2"/>
  <c r="B191" i="2"/>
  <c r="A191" i="2"/>
  <c r="E190" i="2"/>
  <c r="D190" i="2"/>
  <c r="C190" i="2"/>
  <c r="B190" i="2"/>
  <c r="A190" i="2"/>
  <c r="E189" i="2"/>
  <c r="D189" i="2"/>
  <c r="C189" i="2"/>
  <c r="B189" i="2"/>
  <c r="A189" i="2"/>
  <c r="E188" i="2"/>
  <c r="D188" i="2"/>
  <c r="C188" i="2"/>
  <c r="B188" i="2"/>
  <c r="A188" i="2"/>
  <c r="E187" i="2"/>
  <c r="D187" i="2"/>
  <c r="C187" i="2"/>
  <c r="B187" i="2"/>
  <c r="A187" i="2"/>
  <c r="E186" i="2"/>
  <c r="D186" i="2"/>
  <c r="C186" i="2"/>
  <c r="B186" i="2"/>
  <c r="A186" i="2"/>
  <c r="E185" i="2"/>
  <c r="D185" i="2"/>
  <c r="C185" i="2"/>
  <c r="B185" i="2"/>
  <c r="A185" i="2"/>
  <c r="E184" i="2"/>
  <c r="D184" i="2"/>
  <c r="C184" i="2"/>
  <c r="B184" i="2"/>
  <c r="A184" i="2"/>
  <c r="E183" i="2"/>
  <c r="D183" i="2"/>
  <c r="C183" i="2"/>
  <c r="B183" i="2"/>
  <c r="A183" i="2"/>
  <c r="E182" i="2"/>
  <c r="D182" i="2"/>
  <c r="C182" i="2"/>
  <c r="B182" i="2"/>
  <c r="A182" i="2"/>
  <c r="E181" i="2"/>
  <c r="D181" i="2"/>
  <c r="C181" i="2"/>
  <c r="B181" i="2"/>
  <c r="A181" i="2"/>
  <c r="E180" i="2"/>
  <c r="D180" i="2"/>
  <c r="C180" i="2"/>
  <c r="B180" i="2"/>
  <c r="A180" i="2"/>
  <c r="E179" i="2"/>
  <c r="D179" i="2"/>
  <c r="C179" i="2"/>
  <c r="B179" i="2"/>
  <c r="A179" i="2"/>
  <c r="E178" i="2"/>
  <c r="D178" i="2"/>
  <c r="C178" i="2"/>
  <c r="B178" i="2"/>
  <c r="A178" i="2"/>
  <c r="E177" i="2"/>
  <c r="D177" i="2"/>
  <c r="C177" i="2"/>
  <c r="B177" i="2"/>
  <c r="A177" i="2"/>
  <c r="E176" i="2"/>
  <c r="D176" i="2"/>
  <c r="C176" i="2"/>
  <c r="B176" i="2"/>
  <c r="A176" i="2"/>
  <c r="E175" i="2"/>
  <c r="D175" i="2"/>
  <c r="C175" i="2"/>
  <c r="B175" i="2"/>
  <c r="A175" i="2"/>
  <c r="E174" i="2"/>
  <c r="D174" i="2"/>
  <c r="C174" i="2"/>
  <c r="B174" i="2"/>
  <c r="A174" i="2"/>
  <c r="E173" i="2"/>
  <c r="D173" i="2"/>
  <c r="C173" i="2"/>
  <c r="B173" i="2"/>
  <c r="A173" i="2"/>
  <c r="E172" i="2"/>
  <c r="D172" i="2"/>
  <c r="C172" i="2"/>
  <c r="B172" i="2"/>
  <c r="A172" i="2"/>
  <c r="E171" i="2"/>
  <c r="D171" i="2"/>
  <c r="C171" i="2"/>
  <c r="B171" i="2"/>
  <c r="A171" i="2"/>
  <c r="E170" i="2"/>
  <c r="D170" i="2"/>
  <c r="C170" i="2"/>
  <c r="B170" i="2"/>
  <c r="A170" i="2"/>
  <c r="E169" i="2"/>
  <c r="D169" i="2"/>
  <c r="C169" i="2"/>
  <c r="B169" i="2"/>
  <c r="A169" i="2"/>
  <c r="E168" i="2"/>
  <c r="D168" i="2"/>
  <c r="C168" i="2"/>
  <c r="B168" i="2"/>
  <c r="A168" i="2"/>
  <c r="E167" i="2"/>
  <c r="D167" i="2"/>
  <c r="C167" i="2"/>
  <c r="B167" i="2"/>
  <c r="A167" i="2"/>
  <c r="E166" i="2"/>
  <c r="D166" i="2"/>
  <c r="C166" i="2"/>
  <c r="B166" i="2"/>
  <c r="A166" i="2"/>
  <c r="E165" i="2"/>
  <c r="D165" i="2"/>
  <c r="C165" i="2"/>
  <c r="B165" i="2"/>
  <c r="A165" i="2"/>
  <c r="E164" i="2"/>
  <c r="D164" i="2"/>
  <c r="C164" i="2"/>
  <c r="B164" i="2"/>
  <c r="A164" i="2"/>
  <c r="E163" i="2"/>
  <c r="D163" i="2"/>
  <c r="C163" i="2"/>
  <c r="B163" i="2"/>
  <c r="A163" i="2"/>
  <c r="E162" i="2"/>
  <c r="D162" i="2"/>
  <c r="C162" i="2"/>
  <c r="B162" i="2"/>
  <c r="A162" i="2"/>
  <c r="E161" i="2"/>
  <c r="D161" i="2"/>
  <c r="C161" i="2"/>
  <c r="B161" i="2"/>
  <c r="A161" i="2"/>
  <c r="E160" i="2"/>
  <c r="D160" i="2"/>
  <c r="C160" i="2"/>
  <c r="B160" i="2"/>
  <c r="A160" i="2"/>
  <c r="E159" i="2"/>
  <c r="D159" i="2"/>
  <c r="C159" i="2"/>
  <c r="B159" i="2"/>
  <c r="A159" i="2"/>
  <c r="E158" i="2"/>
  <c r="D158" i="2"/>
  <c r="C158" i="2"/>
  <c r="B158" i="2"/>
  <c r="A158" i="2"/>
  <c r="E157" i="2"/>
  <c r="D157" i="2"/>
  <c r="C157" i="2"/>
  <c r="B157" i="2"/>
  <c r="A157" i="2"/>
  <c r="E156" i="2"/>
  <c r="D156" i="2"/>
  <c r="C156" i="2"/>
  <c r="B156" i="2"/>
  <c r="A156" i="2"/>
  <c r="E155" i="2"/>
  <c r="D155" i="2"/>
  <c r="C155" i="2"/>
  <c r="B155" i="2"/>
  <c r="A155" i="2"/>
  <c r="E154" i="2"/>
  <c r="D154" i="2"/>
  <c r="C154" i="2"/>
  <c r="B154" i="2"/>
  <c r="A154" i="2"/>
  <c r="E153" i="2"/>
  <c r="D153" i="2"/>
  <c r="C153" i="2"/>
  <c r="B153" i="2"/>
  <c r="A153" i="2"/>
  <c r="E152" i="2"/>
  <c r="D152" i="2"/>
  <c r="C152" i="2"/>
  <c r="B152" i="2"/>
  <c r="A152" i="2"/>
  <c r="E151" i="2"/>
  <c r="D151" i="2"/>
  <c r="C151" i="2"/>
  <c r="B151" i="2"/>
  <c r="A151" i="2"/>
  <c r="E150" i="2"/>
  <c r="D150" i="2"/>
  <c r="C150" i="2"/>
  <c r="B150" i="2"/>
  <c r="A150" i="2"/>
  <c r="E149" i="2"/>
  <c r="D149" i="2"/>
  <c r="C149" i="2"/>
  <c r="B149" i="2"/>
  <c r="A149" i="2"/>
  <c r="E148" i="2"/>
  <c r="D148" i="2"/>
  <c r="C148" i="2"/>
  <c r="B148" i="2"/>
  <c r="A148" i="2"/>
  <c r="E147" i="2"/>
  <c r="D147" i="2"/>
  <c r="C147" i="2"/>
  <c r="B147" i="2"/>
  <c r="A147" i="2"/>
  <c r="E146" i="2"/>
  <c r="D146" i="2"/>
  <c r="C146" i="2"/>
  <c r="B146" i="2"/>
  <c r="A146" i="2"/>
  <c r="E145" i="2"/>
  <c r="D145" i="2"/>
  <c r="C145" i="2"/>
  <c r="B145" i="2"/>
  <c r="A145" i="2"/>
  <c r="E144" i="2"/>
  <c r="D144" i="2"/>
  <c r="C144" i="2"/>
  <c r="B144" i="2"/>
  <c r="A144" i="2"/>
  <c r="E143" i="2"/>
  <c r="D143" i="2"/>
  <c r="C143" i="2"/>
  <c r="B143" i="2"/>
  <c r="A143" i="2"/>
  <c r="E142" i="2"/>
  <c r="D142" i="2"/>
  <c r="C142" i="2"/>
  <c r="B142" i="2"/>
  <c r="A142" i="2"/>
  <c r="E141" i="2"/>
  <c r="D141" i="2"/>
  <c r="C141" i="2"/>
  <c r="B141" i="2"/>
  <c r="A141" i="2"/>
  <c r="E140" i="2"/>
  <c r="D140" i="2"/>
  <c r="C140" i="2"/>
  <c r="B140" i="2"/>
  <c r="A140" i="2"/>
  <c r="E139" i="2"/>
  <c r="D139" i="2"/>
  <c r="C139" i="2"/>
  <c r="B139" i="2"/>
  <c r="A139" i="2"/>
  <c r="E138" i="2"/>
  <c r="D138" i="2"/>
  <c r="C138" i="2"/>
  <c r="B138" i="2"/>
  <c r="A138" i="2"/>
  <c r="E137" i="2"/>
  <c r="D137" i="2"/>
  <c r="C137" i="2"/>
  <c r="B137" i="2"/>
  <c r="A137" i="2"/>
  <c r="E136" i="2"/>
  <c r="D136" i="2"/>
  <c r="C136" i="2"/>
  <c r="B136" i="2"/>
  <c r="A136" i="2"/>
  <c r="E135" i="2"/>
  <c r="D135" i="2"/>
  <c r="C135" i="2"/>
  <c r="B135" i="2"/>
  <c r="A135" i="2"/>
  <c r="E134" i="2"/>
  <c r="D134" i="2"/>
  <c r="C134" i="2"/>
  <c r="B134" i="2"/>
  <c r="A134" i="2"/>
  <c r="E133" i="2"/>
  <c r="D133" i="2"/>
  <c r="C133" i="2"/>
  <c r="B133" i="2"/>
  <c r="A133" i="2"/>
  <c r="E132" i="2"/>
  <c r="D132" i="2"/>
  <c r="C132" i="2"/>
  <c r="B132" i="2"/>
  <c r="A132" i="2"/>
  <c r="E131" i="2"/>
  <c r="D131" i="2"/>
  <c r="C131" i="2"/>
  <c r="B131" i="2"/>
  <c r="A131" i="2"/>
  <c r="E130" i="2"/>
  <c r="D130" i="2"/>
  <c r="C130" i="2"/>
  <c r="B130" i="2"/>
  <c r="A130" i="2"/>
  <c r="E129" i="2"/>
  <c r="D129" i="2"/>
  <c r="C129" i="2"/>
  <c r="B129" i="2"/>
  <c r="A129" i="2"/>
  <c r="E128" i="2"/>
  <c r="D128" i="2"/>
  <c r="C128" i="2"/>
  <c r="B128" i="2"/>
  <c r="A128" i="2"/>
  <c r="E127" i="2"/>
  <c r="D127" i="2"/>
  <c r="C127" i="2"/>
  <c r="B127" i="2"/>
  <c r="A127" i="2"/>
  <c r="E126" i="2"/>
  <c r="D126" i="2"/>
  <c r="C126" i="2"/>
  <c r="B126" i="2"/>
  <c r="A126" i="2"/>
  <c r="E125" i="2"/>
  <c r="D125" i="2"/>
  <c r="C125" i="2"/>
  <c r="B125" i="2"/>
  <c r="A125" i="2"/>
  <c r="E124" i="2"/>
  <c r="D124" i="2"/>
  <c r="C124" i="2"/>
  <c r="B124" i="2"/>
  <c r="A124" i="2"/>
  <c r="E123" i="2"/>
  <c r="D123" i="2"/>
  <c r="C123" i="2"/>
  <c r="B123" i="2"/>
  <c r="A123" i="2"/>
  <c r="E122" i="2"/>
  <c r="D122" i="2"/>
  <c r="C122" i="2"/>
  <c r="B122" i="2"/>
  <c r="A122" i="2"/>
  <c r="E121" i="2"/>
  <c r="D121" i="2"/>
  <c r="C121" i="2"/>
  <c r="B121" i="2"/>
  <c r="A121" i="2"/>
  <c r="E120" i="2"/>
  <c r="D120" i="2"/>
  <c r="C120" i="2"/>
  <c r="B120" i="2"/>
  <c r="A120" i="2"/>
  <c r="E119" i="2"/>
  <c r="D119" i="2"/>
  <c r="C119" i="2"/>
  <c r="B119" i="2"/>
  <c r="A119" i="2"/>
  <c r="E118" i="2"/>
  <c r="D118" i="2"/>
  <c r="C118" i="2"/>
  <c r="B118" i="2"/>
  <c r="A118" i="2"/>
  <c r="E117" i="2"/>
  <c r="D117" i="2"/>
  <c r="C117" i="2"/>
  <c r="B117" i="2"/>
  <c r="A117" i="2"/>
  <c r="E116" i="2"/>
  <c r="D116" i="2"/>
  <c r="C116" i="2"/>
  <c r="B116" i="2"/>
  <c r="A116" i="2"/>
  <c r="E115" i="2"/>
  <c r="D115" i="2"/>
  <c r="C115" i="2"/>
  <c r="B115" i="2"/>
  <c r="A115" i="2"/>
  <c r="E114" i="2"/>
  <c r="D114" i="2"/>
  <c r="C114" i="2"/>
  <c r="B114" i="2"/>
  <c r="A114" i="2"/>
  <c r="E113" i="2"/>
  <c r="D113" i="2"/>
  <c r="C113" i="2"/>
  <c r="B113" i="2"/>
  <c r="A113" i="2"/>
  <c r="E112" i="2"/>
  <c r="D112" i="2"/>
  <c r="C112" i="2"/>
  <c r="B112" i="2"/>
  <c r="A112" i="2"/>
  <c r="E111" i="2"/>
  <c r="D111" i="2"/>
  <c r="C111" i="2"/>
  <c r="B111" i="2"/>
  <c r="A111" i="2"/>
  <c r="E110" i="2"/>
  <c r="D110" i="2"/>
  <c r="C110" i="2"/>
  <c r="B110" i="2"/>
  <c r="A110" i="2"/>
  <c r="E109" i="2"/>
  <c r="D109" i="2"/>
  <c r="C109" i="2"/>
  <c r="B109" i="2"/>
  <c r="A109" i="2"/>
  <c r="E108" i="2"/>
  <c r="D108" i="2"/>
  <c r="C108" i="2"/>
  <c r="B108" i="2"/>
  <c r="A108" i="2"/>
  <c r="E107" i="2"/>
  <c r="D107" i="2"/>
  <c r="C107" i="2"/>
  <c r="B107" i="2"/>
  <c r="A107" i="2"/>
  <c r="E106" i="2"/>
  <c r="D106" i="2"/>
  <c r="C106" i="2"/>
  <c r="B106" i="2"/>
  <c r="A106" i="2"/>
  <c r="E105" i="2"/>
  <c r="D105" i="2"/>
  <c r="C105" i="2"/>
  <c r="B105" i="2"/>
  <c r="A105" i="2"/>
  <c r="E104" i="2"/>
  <c r="D104" i="2"/>
  <c r="C104" i="2"/>
  <c r="B104" i="2"/>
  <c r="A104" i="2"/>
  <c r="E103" i="2"/>
  <c r="D103" i="2"/>
  <c r="C103" i="2"/>
  <c r="B103" i="2"/>
  <c r="A103" i="2"/>
  <c r="E102" i="2"/>
  <c r="D102" i="2"/>
  <c r="C102" i="2"/>
  <c r="B102" i="2"/>
  <c r="A102" i="2"/>
  <c r="E101" i="2"/>
  <c r="D101" i="2"/>
  <c r="C101" i="2"/>
  <c r="B101" i="2"/>
  <c r="A101" i="2"/>
  <c r="E100" i="2"/>
  <c r="D100" i="2"/>
  <c r="C100" i="2"/>
  <c r="B100" i="2"/>
  <c r="A100" i="2"/>
  <c r="E99" i="2"/>
  <c r="D99" i="2"/>
  <c r="C99" i="2"/>
  <c r="B99" i="2"/>
  <c r="A99" i="2"/>
  <c r="E98" i="2"/>
  <c r="D98" i="2"/>
  <c r="C98" i="2"/>
  <c r="B98" i="2"/>
  <c r="A98" i="2"/>
  <c r="E97" i="2"/>
  <c r="D97" i="2"/>
  <c r="C97" i="2"/>
  <c r="B97" i="2"/>
  <c r="A97" i="2"/>
  <c r="E96" i="2"/>
  <c r="D96" i="2"/>
  <c r="C96" i="2"/>
  <c r="B96" i="2"/>
  <c r="A96" i="2"/>
  <c r="E95" i="2"/>
  <c r="D95" i="2"/>
  <c r="C95" i="2"/>
  <c r="B95" i="2"/>
  <c r="A95" i="2"/>
  <c r="E94" i="2"/>
  <c r="D94" i="2"/>
  <c r="C94" i="2"/>
  <c r="B94" i="2"/>
  <c r="A94" i="2"/>
  <c r="E93" i="2"/>
  <c r="D93" i="2"/>
  <c r="C93" i="2"/>
  <c r="B93" i="2"/>
  <c r="A93" i="2"/>
  <c r="E92" i="2"/>
  <c r="D92" i="2"/>
  <c r="C92" i="2"/>
  <c r="B92" i="2"/>
  <c r="A92" i="2"/>
  <c r="E91" i="2"/>
  <c r="D91" i="2"/>
  <c r="C91" i="2"/>
  <c r="B91" i="2"/>
  <c r="A91" i="2"/>
  <c r="E90" i="2"/>
  <c r="D90" i="2"/>
  <c r="C90" i="2"/>
  <c r="B90" i="2"/>
  <c r="A90" i="2"/>
  <c r="E89" i="2"/>
  <c r="D89" i="2"/>
  <c r="C89" i="2"/>
  <c r="B89" i="2"/>
  <c r="A89" i="2"/>
  <c r="E88" i="2"/>
  <c r="D88" i="2"/>
  <c r="C88" i="2"/>
  <c r="B88" i="2"/>
  <c r="A88" i="2"/>
  <c r="E87" i="2"/>
  <c r="D87" i="2"/>
  <c r="C87" i="2"/>
  <c r="B87" i="2"/>
  <c r="A87" i="2"/>
  <c r="E86" i="2"/>
  <c r="D86" i="2"/>
  <c r="C86" i="2"/>
  <c r="B86" i="2"/>
  <c r="A86" i="2"/>
  <c r="E85" i="2"/>
  <c r="D85" i="2"/>
  <c r="C85" i="2"/>
  <c r="B85" i="2"/>
  <c r="A85" i="2"/>
  <c r="E84" i="2"/>
  <c r="D84" i="2"/>
  <c r="C84" i="2"/>
  <c r="B84" i="2"/>
  <c r="A84" i="2"/>
  <c r="E83" i="2"/>
  <c r="D83" i="2"/>
  <c r="C83" i="2"/>
  <c r="B83" i="2"/>
  <c r="A83" i="2"/>
  <c r="E82" i="2"/>
  <c r="D82" i="2"/>
  <c r="C82" i="2"/>
  <c r="B82" i="2"/>
  <c r="A82" i="2"/>
  <c r="E81" i="2"/>
  <c r="D81" i="2"/>
  <c r="C81" i="2"/>
  <c r="B81" i="2"/>
  <c r="A81" i="2"/>
  <c r="E80" i="2"/>
  <c r="D80" i="2"/>
  <c r="C80" i="2"/>
  <c r="B80" i="2"/>
  <c r="A80" i="2"/>
  <c r="E79" i="2"/>
  <c r="D79" i="2"/>
  <c r="C79" i="2"/>
  <c r="B79" i="2"/>
  <c r="A79" i="2"/>
  <c r="E78" i="2"/>
  <c r="D78" i="2"/>
  <c r="C78" i="2"/>
  <c r="B78" i="2"/>
  <c r="A78" i="2"/>
  <c r="E77" i="2"/>
  <c r="D77" i="2"/>
  <c r="C77" i="2"/>
  <c r="B77" i="2"/>
  <c r="A77" i="2"/>
  <c r="E76" i="2"/>
  <c r="D76" i="2"/>
  <c r="C76" i="2"/>
  <c r="B76" i="2"/>
  <c r="A76" i="2"/>
  <c r="E75" i="2"/>
  <c r="D75" i="2"/>
  <c r="C75" i="2"/>
  <c r="B75" i="2"/>
  <c r="A75" i="2"/>
  <c r="E74" i="2"/>
  <c r="D74" i="2"/>
  <c r="C74" i="2"/>
  <c r="B74" i="2"/>
  <c r="A74" i="2"/>
  <c r="E73" i="2"/>
  <c r="D73" i="2"/>
  <c r="C73" i="2"/>
  <c r="B73" i="2"/>
  <c r="A73" i="2"/>
  <c r="E72" i="2"/>
  <c r="D72" i="2"/>
  <c r="C72" i="2"/>
  <c r="B72" i="2"/>
  <c r="A72" i="2"/>
  <c r="E71" i="2"/>
  <c r="D71" i="2"/>
  <c r="C71" i="2"/>
  <c r="B71" i="2"/>
  <c r="A71" i="2"/>
  <c r="E70" i="2"/>
  <c r="D70" i="2"/>
  <c r="C70" i="2"/>
  <c r="B70" i="2"/>
  <c r="A70" i="2"/>
  <c r="E69" i="2"/>
  <c r="D69" i="2"/>
  <c r="C69" i="2"/>
  <c r="B69" i="2"/>
  <c r="A69" i="2"/>
  <c r="E68" i="2"/>
  <c r="D68" i="2"/>
  <c r="C68" i="2"/>
  <c r="B68" i="2"/>
  <c r="A68" i="2"/>
  <c r="E67" i="2"/>
  <c r="D67" i="2"/>
  <c r="C67" i="2"/>
  <c r="B67" i="2"/>
  <c r="A67" i="2"/>
  <c r="E66" i="2"/>
  <c r="D66" i="2"/>
  <c r="C66" i="2"/>
  <c r="B66" i="2"/>
  <c r="A66" i="2"/>
  <c r="E65" i="2"/>
  <c r="D65" i="2"/>
  <c r="C65" i="2"/>
  <c r="B65" i="2"/>
  <c r="A65" i="2"/>
  <c r="E64" i="2"/>
  <c r="D64" i="2"/>
  <c r="C64" i="2"/>
  <c r="B64" i="2"/>
  <c r="A64" i="2"/>
  <c r="E63" i="2"/>
  <c r="D63" i="2"/>
  <c r="C63" i="2"/>
  <c r="B63" i="2"/>
  <c r="A63" i="2"/>
  <c r="E62" i="2"/>
  <c r="D62" i="2"/>
  <c r="C62" i="2"/>
  <c r="B62" i="2"/>
  <c r="A62" i="2"/>
  <c r="E61" i="2"/>
  <c r="D61" i="2"/>
  <c r="C61" i="2"/>
  <c r="B61" i="2"/>
  <c r="A61" i="2"/>
  <c r="E60" i="2"/>
  <c r="D60" i="2"/>
  <c r="C60" i="2"/>
  <c r="B60" i="2"/>
  <c r="A60" i="2"/>
  <c r="E59" i="2"/>
  <c r="D59" i="2"/>
  <c r="C59" i="2"/>
  <c r="B59" i="2"/>
  <c r="A59" i="2"/>
  <c r="E58" i="2"/>
  <c r="D58" i="2"/>
  <c r="C58" i="2"/>
  <c r="B58" i="2"/>
  <c r="A58" i="2"/>
  <c r="E57" i="2"/>
  <c r="D57" i="2"/>
  <c r="C57" i="2"/>
  <c r="B57" i="2"/>
  <c r="A57" i="2"/>
  <c r="E56" i="2"/>
  <c r="D56" i="2"/>
  <c r="C56" i="2"/>
  <c r="B56" i="2"/>
  <c r="A56" i="2"/>
  <c r="E55" i="2"/>
  <c r="D55" i="2"/>
  <c r="C55" i="2"/>
  <c r="B55" i="2"/>
  <c r="A55" i="2"/>
  <c r="E54" i="2"/>
  <c r="D54" i="2"/>
  <c r="C54" i="2"/>
  <c r="B54" i="2"/>
  <c r="A54" i="2"/>
  <c r="E53" i="2"/>
  <c r="D53" i="2"/>
  <c r="C53" i="2"/>
  <c r="B53" i="2"/>
  <c r="A53" i="2"/>
  <c r="E52" i="2"/>
  <c r="D52" i="2"/>
  <c r="C52" i="2"/>
  <c r="B52" i="2"/>
  <c r="A52" i="2"/>
  <c r="E51" i="2"/>
  <c r="D51" i="2"/>
  <c r="C51" i="2"/>
  <c r="B51" i="2"/>
  <c r="A51" i="2"/>
  <c r="E50" i="2"/>
  <c r="D50" i="2"/>
  <c r="C50" i="2"/>
  <c r="B50" i="2"/>
  <c r="A50" i="2"/>
  <c r="E49" i="2"/>
  <c r="D49" i="2"/>
  <c r="C49" i="2"/>
  <c r="B49" i="2"/>
  <c r="A49" i="2"/>
  <c r="E48" i="2"/>
  <c r="D48" i="2"/>
  <c r="C48" i="2"/>
  <c r="B48" i="2"/>
  <c r="A48" i="2"/>
  <c r="E47" i="2"/>
  <c r="D47" i="2"/>
  <c r="C47" i="2"/>
  <c r="B47" i="2"/>
  <c r="A47" i="2"/>
  <c r="E46" i="2"/>
  <c r="D46" i="2"/>
  <c r="C46" i="2"/>
  <c r="B46" i="2"/>
  <c r="A46" i="2"/>
  <c r="E45" i="2"/>
  <c r="D45" i="2"/>
  <c r="C45" i="2"/>
  <c r="B45" i="2"/>
  <c r="A45" i="2"/>
  <c r="E44" i="2"/>
  <c r="D44" i="2"/>
  <c r="C44" i="2"/>
  <c r="B44" i="2"/>
  <c r="A44" i="2"/>
  <c r="E43" i="2"/>
  <c r="D43" i="2"/>
  <c r="C43" i="2"/>
  <c r="B43" i="2"/>
  <c r="A43" i="2"/>
  <c r="E42" i="2"/>
  <c r="D42" i="2"/>
  <c r="C42" i="2"/>
  <c r="B42" i="2"/>
  <c r="A42" i="2"/>
  <c r="E41" i="2"/>
  <c r="D41" i="2"/>
  <c r="C41" i="2"/>
  <c r="B41" i="2"/>
  <c r="A41" i="2"/>
  <c r="E40" i="2"/>
  <c r="D40" i="2"/>
  <c r="C40" i="2"/>
  <c r="B40" i="2"/>
  <c r="A40" i="2"/>
  <c r="E39" i="2"/>
  <c r="D39" i="2"/>
  <c r="C39" i="2"/>
  <c r="B39" i="2"/>
  <c r="A39" i="2"/>
  <c r="E38" i="2"/>
  <c r="D38" i="2"/>
  <c r="C38" i="2"/>
  <c r="B38" i="2"/>
  <c r="A38" i="2"/>
  <c r="E37" i="2"/>
  <c r="D37" i="2"/>
  <c r="C37" i="2"/>
  <c r="B37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B35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B23" i="3" s="1"/>
  <c r="A10" i="3"/>
  <c r="G9" i="3"/>
  <c r="F9" i="3"/>
  <c r="E9" i="3"/>
  <c r="D9" i="3"/>
  <c r="C9" i="3"/>
  <c r="B9" i="3"/>
  <c r="B15" i="3" s="1"/>
  <c r="A9" i="3"/>
  <c r="G8" i="3"/>
  <c r="F8" i="3"/>
  <c r="E8" i="3"/>
  <c r="D8" i="3"/>
  <c r="C8" i="3"/>
  <c r="B8" i="3"/>
  <c r="A8" i="3"/>
  <c r="C29" i="3" s="1" a="1"/>
  <c r="G7" i="3"/>
  <c r="B29" i="3" s="1"/>
  <c r="F7" i="3"/>
  <c r="B30" i="3" s="1"/>
  <c r="E7" i="3"/>
  <c r="B31" i="3" s="1"/>
  <c r="D7" i="3"/>
  <c r="B32" i="3" s="1"/>
  <c r="C7" i="3"/>
  <c r="B33" i="3" s="1"/>
  <c r="B7" i="3"/>
  <c r="B34" i="3" s="1"/>
  <c r="B24" i="3"/>
  <c r="F319" i="3"/>
  <c r="E319" i="3"/>
  <c r="D319" i="3"/>
  <c r="C319" i="3"/>
  <c r="B319" i="3"/>
  <c r="A319" i="3"/>
  <c r="F318" i="3"/>
  <c r="E318" i="3"/>
  <c r="D318" i="3"/>
  <c r="C318" i="3"/>
  <c r="B318" i="3"/>
  <c r="A318" i="3"/>
  <c r="F317" i="3"/>
  <c r="E317" i="3"/>
  <c r="D317" i="3"/>
  <c r="C317" i="3"/>
  <c r="B317" i="3"/>
  <c r="A317" i="3"/>
  <c r="F316" i="3"/>
  <c r="E316" i="3"/>
  <c r="D316" i="3"/>
  <c r="C316" i="3"/>
  <c r="B316" i="3"/>
  <c r="A316" i="3"/>
  <c r="F315" i="3"/>
  <c r="E315" i="3"/>
  <c r="D315" i="3"/>
  <c r="C315" i="3"/>
  <c r="B315" i="3"/>
  <c r="A315" i="3"/>
  <c r="F314" i="3"/>
  <c r="E314" i="3"/>
  <c r="D314" i="3"/>
  <c r="C314" i="3"/>
  <c r="B314" i="3"/>
  <c r="A314" i="3"/>
  <c r="F313" i="3"/>
  <c r="E313" i="3"/>
  <c r="D313" i="3"/>
  <c r="C313" i="3"/>
  <c r="B313" i="3"/>
  <c r="A313" i="3"/>
  <c r="F312" i="3"/>
  <c r="E312" i="3"/>
  <c r="D312" i="3"/>
  <c r="C312" i="3"/>
  <c r="B312" i="3"/>
  <c r="A312" i="3"/>
  <c r="F311" i="3"/>
  <c r="E311" i="3"/>
  <c r="D311" i="3"/>
  <c r="C311" i="3"/>
  <c r="B311" i="3"/>
  <c r="A311" i="3"/>
  <c r="F310" i="3"/>
  <c r="E310" i="3"/>
  <c r="D310" i="3"/>
  <c r="C310" i="3"/>
  <c r="B310" i="3"/>
  <c r="A310" i="3"/>
  <c r="F309" i="3"/>
  <c r="E309" i="3"/>
  <c r="D309" i="3"/>
  <c r="C309" i="3"/>
  <c r="B309" i="3"/>
  <c r="A309" i="3"/>
  <c r="F308" i="3"/>
  <c r="E308" i="3"/>
  <c r="D308" i="3"/>
  <c r="C308" i="3"/>
  <c r="B308" i="3"/>
  <c r="A308" i="3"/>
  <c r="F307" i="3"/>
  <c r="E307" i="3"/>
  <c r="D307" i="3"/>
  <c r="C307" i="3"/>
  <c r="B307" i="3"/>
  <c r="A307" i="3"/>
  <c r="F306" i="3"/>
  <c r="E306" i="3"/>
  <c r="D306" i="3"/>
  <c r="C306" i="3"/>
  <c r="B306" i="3"/>
  <c r="A306" i="3"/>
  <c r="F305" i="3"/>
  <c r="E305" i="3"/>
  <c r="D305" i="3"/>
  <c r="C305" i="3"/>
  <c r="B305" i="3"/>
  <c r="A305" i="3"/>
  <c r="F304" i="3"/>
  <c r="E304" i="3"/>
  <c r="D304" i="3"/>
  <c r="C304" i="3"/>
  <c r="B304" i="3"/>
  <c r="A304" i="3"/>
  <c r="F303" i="3"/>
  <c r="E303" i="3"/>
  <c r="D303" i="3"/>
  <c r="C303" i="3"/>
  <c r="B303" i="3"/>
  <c r="A303" i="3"/>
  <c r="F302" i="3"/>
  <c r="E302" i="3"/>
  <c r="D302" i="3"/>
  <c r="C302" i="3"/>
  <c r="B302" i="3"/>
  <c r="A302" i="3"/>
  <c r="F301" i="3"/>
  <c r="E301" i="3"/>
  <c r="D301" i="3"/>
  <c r="C301" i="3"/>
  <c r="B301" i="3"/>
  <c r="A301" i="3"/>
  <c r="F300" i="3"/>
  <c r="E300" i="3"/>
  <c r="D300" i="3"/>
  <c r="C300" i="3"/>
  <c r="B300" i="3"/>
  <c r="A300" i="3"/>
  <c r="F299" i="3"/>
  <c r="E299" i="3"/>
  <c r="D299" i="3"/>
  <c r="C299" i="3"/>
  <c r="B299" i="3"/>
  <c r="A299" i="3"/>
  <c r="F298" i="3"/>
  <c r="E298" i="3"/>
  <c r="D298" i="3"/>
  <c r="C298" i="3"/>
  <c r="B298" i="3"/>
  <c r="A298" i="3"/>
  <c r="F297" i="3"/>
  <c r="E297" i="3"/>
  <c r="D297" i="3"/>
  <c r="C297" i="3"/>
  <c r="B297" i="3"/>
  <c r="A297" i="3"/>
  <c r="F296" i="3"/>
  <c r="E296" i="3"/>
  <c r="D296" i="3"/>
  <c r="C296" i="3"/>
  <c r="B296" i="3"/>
  <c r="A296" i="3"/>
  <c r="F295" i="3"/>
  <c r="E295" i="3"/>
  <c r="D295" i="3"/>
  <c r="C295" i="3"/>
  <c r="B295" i="3"/>
  <c r="A295" i="3"/>
  <c r="F294" i="3"/>
  <c r="E294" i="3"/>
  <c r="D294" i="3"/>
  <c r="C294" i="3"/>
  <c r="B294" i="3"/>
  <c r="A294" i="3"/>
  <c r="F293" i="3"/>
  <c r="E293" i="3"/>
  <c r="D293" i="3"/>
  <c r="C293" i="3"/>
  <c r="B293" i="3"/>
  <c r="A293" i="3"/>
  <c r="F292" i="3"/>
  <c r="E292" i="3"/>
  <c r="D292" i="3"/>
  <c r="C292" i="3"/>
  <c r="B292" i="3"/>
  <c r="A292" i="3"/>
  <c r="F291" i="3"/>
  <c r="E291" i="3"/>
  <c r="D291" i="3"/>
  <c r="C291" i="3"/>
  <c r="B291" i="3"/>
  <c r="A291" i="3"/>
  <c r="F290" i="3"/>
  <c r="E290" i="3"/>
  <c r="D290" i="3"/>
  <c r="C290" i="3"/>
  <c r="B290" i="3"/>
  <c r="A290" i="3"/>
  <c r="F289" i="3"/>
  <c r="E289" i="3"/>
  <c r="D289" i="3"/>
  <c r="C289" i="3"/>
  <c r="B289" i="3"/>
  <c r="A289" i="3"/>
  <c r="F288" i="3"/>
  <c r="E288" i="3"/>
  <c r="D288" i="3"/>
  <c r="C288" i="3"/>
  <c r="B288" i="3"/>
  <c r="A288" i="3"/>
  <c r="F287" i="3"/>
  <c r="E287" i="3"/>
  <c r="D287" i="3"/>
  <c r="C287" i="3"/>
  <c r="B287" i="3"/>
  <c r="A287" i="3"/>
  <c r="F286" i="3"/>
  <c r="E286" i="3"/>
  <c r="D286" i="3"/>
  <c r="C286" i="3"/>
  <c r="B286" i="3"/>
  <c r="A286" i="3"/>
  <c r="F285" i="3"/>
  <c r="E285" i="3"/>
  <c r="D285" i="3"/>
  <c r="C285" i="3"/>
  <c r="B285" i="3"/>
  <c r="A285" i="3"/>
  <c r="F284" i="3"/>
  <c r="E284" i="3"/>
  <c r="D284" i="3"/>
  <c r="C284" i="3"/>
  <c r="B284" i="3"/>
  <c r="A284" i="3"/>
  <c r="F283" i="3"/>
  <c r="E283" i="3"/>
  <c r="D283" i="3"/>
  <c r="C283" i="3"/>
  <c r="B283" i="3"/>
  <c r="A283" i="3"/>
  <c r="F282" i="3"/>
  <c r="E282" i="3"/>
  <c r="D282" i="3"/>
  <c r="C282" i="3"/>
  <c r="B282" i="3"/>
  <c r="A282" i="3"/>
  <c r="F281" i="3"/>
  <c r="E281" i="3"/>
  <c r="D281" i="3"/>
  <c r="C281" i="3"/>
  <c r="B281" i="3"/>
  <c r="A281" i="3"/>
  <c r="F280" i="3"/>
  <c r="E280" i="3"/>
  <c r="D280" i="3"/>
  <c r="C280" i="3"/>
  <c r="B280" i="3"/>
  <c r="A280" i="3"/>
  <c r="F279" i="3"/>
  <c r="E279" i="3"/>
  <c r="D279" i="3"/>
  <c r="C279" i="3"/>
  <c r="B279" i="3"/>
  <c r="A279" i="3"/>
  <c r="F278" i="3"/>
  <c r="E278" i="3"/>
  <c r="D278" i="3"/>
  <c r="C278" i="3"/>
  <c r="B278" i="3"/>
  <c r="A278" i="3"/>
  <c r="F277" i="3"/>
  <c r="E277" i="3"/>
  <c r="D277" i="3"/>
  <c r="C277" i="3"/>
  <c r="B277" i="3"/>
  <c r="A277" i="3"/>
  <c r="F276" i="3"/>
  <c r="E276" i="3"/>
  <c r="D276" i="3"/>
  <c r="C276" i="3"/>
  <c r="B276" i="3"/>
  <c r="A276" i="3"/>
  <c r="F275" i="3"/>
  <c r="E275" i="3"/>
  <c r="D275" i="3"/>
  <c r="C275" i="3"/>
  <c r="B275" i="3"/>
  <c r="A275" i="3"/>
  <c r="F274" i="3"/>
  <c r="E274" i="3"/>
  <c r="D274" i="3"/>
  <c r="C274" i="3"/>
  <c r="B274" i="3"/>
  <c r="A274" i="3"/>
  <c r="F273" i="3"/>
  <c r="E273" i="3"/>
  <c r="D273" i="3"/>
  <c r="C273" i="3"/>
  <c r="B273" i="3"/>
  <c r="A273" i="3"/>
  <c r="F272" i="3"/>
  <c r="E272" i="3"/>
  <c r="D272" i="3"/>
  <c r="C272" i="3"/>
  <c r="B272" i="3"/>
  <c r="A272" i="3"/>
  <c r="F271" i="3"/>
  <c r="E271" i="3"/>
  <c r="D271" i="3"/>
  <c r="C271" i="3"/>
  <c r="B271" i="3"/>
  <c r="A271" i="3"/>
  <c r="F270" i="3"/>
  <c r="E270" i="3"/>
  <c r="D270" i="3"/>
  <c r="C270" i="3"/>
  <c r="B270" i="3"/>
  <c r="A270" i="3"/>
  <c r="F269" i="3"/>
  <c r="E269" i="3"/>
  <c r="D269" i="3"/>
  <c r="C269" i="3"/>
  <c r="B269" i="3"/>
  <c r="A269" i="3"/>
  <c r="F268" i="3"/>
  <c r="E268" i="3"/>
  <c r="D268" i="3"/>
  <c r="C268" i="3"/>
  <c r="B268" i="3"/>
  <c r="A268" i="3"/>
  <c r="F267" i="3"/>
  <c r="E267" i="3"/>
  <c r="D267" i="3"/>
  <c r="C267" i="3"/>
  <c r="B267" i="3"/>
  <c r="A267" i="3"/>
  <c r="F266" i="3"/>
  <c r="E266" i="3"/>
  <c r="D266" i="3"/>
  <c r="C266" i="3"/>
  <c r="B266" i="3"/>
  <c r="A266" i="3"/>
  <c r="F265" i="3"/>
  <c r="E265" i="3"/>
  <c r="D265" i="3"/>
  <c r="C265" i="3"/>
  <c r="B265" i="3"/>
  <c r="A265" i="3"/>
  <c r="F264" i="3"/>
  <c r="E264" i="3"/>
  <c r="D264" i="3"/>
  <c r="C264" i="3"/>
  <c r="B264" i="3"/>
  <c r="A264" i="3"/>
  <c r="F263" i="3"/>
  <c r="E263" i="3"/>
  <c r="D263" i="3"/>
  <c r="C263" i="3"/>
  <c r="B263" i="3"/>
  <c r="A263" i="3"/>
  <c r="F262" i="3"/>
  <c r="E262" i="3"/>
  <c r="D262" i="3"/>
  <c r="C262" i="3"/>
  <c r="B262" i="3"/>
  <c r="A262" i="3"/>
  <c r="F261" i="3"/>
  <c r="E261" i="3"/>
  <c r="D261" i="3"/>
  <c r="C261" i="3"/>
  <c r="B261" i="3"/>
  <c r="A261" i="3"/>
  <c r="F260" i="3"/>
  <c r="E260" i="3"/>
  <c r="D260" i="3"/>
  <c r="C260" i="3"/>
  <c r="B260" i="3"/>
  <c r="A260" i="3"/>
  <c r="F259" i="3"/>
  <c r="E259" i="3"/>
  <c r="D259" i="3"/>
  <c r="C259" i="3"/>
  <c r="B259" i="3"/>
  <c r="A259" i="3"/>
  <c r="F258" i="3"/>
  <c r="E258" i="3"/>
  <c r="D258" i="3"/>
  <c r="C258" i="3"/>
  <c r="B258" i="3"/>
  <c r="A258" i="3"/>
  <c r="F257" i="3"/>
  <c r="E257" i="3"/>
  <c r="D257" i="3"/>
  <c r="C257" i="3"/>
  <c r="B257" i="3"/>
  <c r="A257" i="3"/>
  <c r="F256" i="3"/>
  <c r="E256" i="3"/>
  <c r="D256" i="3"/>
  <c r="C256" i="3"/>
  <c r="B256" i="3"/>
  <c r="A256" i="3"/>
  <c r="F255" i="3"/>
  <c r="E255" i="3"/>
  <c r="D255" i="3"/>
  <c r="C255" i="3"/>
  <c r="B255" i="3"/>
  <c r="A255" i="3"/>
  <c r="F254" i="3"/>
  <c r="E254" i="3"/>
  <c r="D254" i="3"/>
  <c r="C254" i="3"/>
  <c r="B254" i="3"/>
  <c r="A254" i="3"/>
  <c r="F253" i="3"/>
  <c r="E253" i="3"/>
  <c r="D253" i="3"/>
  <c r="C253" i="3"/>
  <c r="B253" i="3"/>
  <c r="A253" i="3"/>
  <c r="F252" i="3"/>
  <c r="E252" i="3"/>
  <c r="D252" i="3"/>
  <c r="C252" i="3"/>
  <c r="B252" i="3"/>
  <c r="A252" i="3"/>
  <c r="F251" i="3"/>
  <c r="E251" i="3"/>
  <c r="D251" i="3"/>
  <c r="C251" i="3"/>
  <c r="B251" i="3"/>
  <c r="A251" i="3"/>
  <c r="F250" i="3"/>
  <c r="E250" i="3"/>
  <c r="D250" i="3"/>
  <c r="C250" i="3"/>
  <c r="B250" i="3"/>
  <c r="A250" i="3"/>
  <c r="F249" i="3"/>
  <c r="E249" i="3"/>
  <c r="D249" i="3"/>
  <c r="C249" i="3"/>
  <c r="B249" i="3"/>
  <c r="A249" i="3"/>
  <c r="F248" i="3"/>
  <c r="E248" i="3"/>
  <c r="D248" i="3"/>
  <c r="C248" i="3"/>
  <c r="B248" i="3"/>
  <c r="A248" i="3"/>
  <c r="F247" i="3"/>
  <c r="E247" i="3"/>
  <c r="D247" i="3"/>
  <c r="C247" i="3"/>
  <c r="B247" i="3"/>
  <c r="A247" i="3"/>
  <c r="F246" i="3"/>
  <c r="E246" i="3"/>
  <c r="D246" i="3"/>
  <c r="C246" i="3"/>
  <c r="B246" i="3"/>
  <c r="A246" i="3"/>
  <c r="F245" i="3"/>
  <c r="E245" i="3"/>
  <c r="D245" i="3"/>
  <c r="C245" i="3"/>
  <c r="B245" i="3"/>
  <c r="A245" i="3"/>
  <c r="F244" i="3"/>
  <c r="E244" i="3"/>
  <c r="D244" i="3"/>
  <c r="C244" i="3"/>
  <c r="B244" i="3"/>
  <c r="A244" i="3"/>
  <c r="F243" i="3"/>
  <c r="E243" i="3"/>
  <c r="D243" i="3"/>
  <c r="C243" i="3"/>
  <c r="B243" i="3"/>
  <c r="A243" i="3"/>
  <c r="F242" i="3"/>
  <c r="E242" i="3"/>
  <c r="D242" i="3"/>
  <c r="C242" i="3"/>
  <c r="B242" i="3"/>
  <c r="A242" i="3"/>
  <c r="F241" i="3"/>
  <c r="E241" i="3"/>
  <c r="D241" i="3"/>
  <c r="C241" i="3"/>
  <c r="B241" i="3"/>
  <c r="A241" i="3"/>
  <c r="F240" i="3"/>
  <c r="E240" i="3"/>
  <c r="D240" i="3"/>
  <c r="C240" i="3"/>
  <c r="B240" i="3"/>
  <c r="A240" i="3"/>
  <c r="F239" i="3"/>
  <c r="E239" i="3"/>
  <c r="D239" i="3"/>
  <c r="C239" i="3"/>
  <c r="B239" i="3"/>
  <c r="A239" i="3"/>
  <c r="F238" i="3"/>
  <c r="E238" i="3"/>
  <c r="D238" i="3"/>
  <c r="C238" i="3"/>
  <c r="B238" i="3"/>
  <c r="A238" i="3"/>
  <c r="F237" i="3"/>
  <c r="E237" i="3"/>
  <c r="D237" i="3"/>
  <c r="C237" i="3"/>
  <c r="B237" i="3"/>
  <c r="A237" i="3"/>
  <c r="F236" i="3"/>
  <c r="E236" i="3"/>
  <c r="D236" i="3"/>
  <c r="C236" i="3"/>
  <c r="B236" i="3"/>
  <c r="A236" i="3"/>
  <c r="F235" i="3"/>
  <c r="E235" i="3"/>
  <c r="D235" i="3"/>
  <c r="C235" i="3"/>
  <c r="B235" i="3"/>
  <c r="A235" i="3"/>
  <c r="F234" i="3"/>
  <c r="E234" i="3"/>
  <c r="D234" i="3"/>
  <c r="C234" i="3"/>
  <c r="B234" i="3"/>
  <c r="A234" i="3"/>
  <c r="F233" i="3"/>
  <c r="E233" i="3"/>
  <c r="D233" i="3"/>
  <c r="C233" i="3"/>
  <c r="B233" i="3"/>
  <c r="A233" i="3"/>
  <c r="F232" i="3"/>
  <c r="E232" i="3"/>
  <c r="D232" i="3"/>
  <c r="C232" i="3"/>
  <c r="B232" i="3"/>
  <c r="A232" i="3"/>
  <c r="F231" i="3"/>
  <c r="E231" i="3"/>
  <c r="D231" i="3"/>
  <c r="C231" i="3"/>
  <c r="B231" i="3"/>
  <c r="A231" i="3"/>
  <c r="F230" i="3"/>
  <c r="E230" i="3"/>
  <c r="D230" i="3"/>
  <c r="C230" i="3"/>
  <c r="B230" i="3"/>
  <c r="A230" i="3"/>
  <c r="F229" i="3"/>
  <c r="E229" i="3"/>
  <c r="D229" i="3"/>
  <c r="C229" i="3"/>
  <c r="B229" i="3"/>
  <c r="A229" i="3"/>
  <c r="F228" i="3"/>
  <c r="E228" i="3"/>
  <c r="D228" i="3"/>
  <c r="C228" i="3"/>
  <c r="B228" i="3"/>
  <c r="A228" i="3"/>
  <c r="F227" i="3"/>
  <c r="E227" i="3"/>
  <c r="D227" i="3"/>
  <c r="C227" i="3"/>
  <c r="B227" i="3"/>
  <c r="A227" i="3"/>
  <c r="F226" i="3"/>
  <c r="E226" i="3"/>
  <c r="D226" i="3"/>
  <c r="C226" i="3"/>
  <c r="B226" i="3"/>
  <c r="A226" i="3"/>
  <c r="F225" i="3"/>
  <c r="E225" i="3"/>
  <c r="D225" i="3"/>
  <c r="C225" i="3"/>
  <c r="B225" i="3"/>
  <c r="A225" i="3"/>
  <c r="F224" i="3"/>
  <c r="E224" i="3"/>
  <c r="D224" i="3"/>
  <c r="C224" i="3"/>
  <c r="B224" i="3"/>
  <c r="A224" i="3"/>
  <c r="F223" i="3"/>
  <c r="E223" i="3"/>
  <c r="D223" i="3"/>
  <c r="C223" i="3"/>
  <c r="B223" i="3"/>
  <c r="A223" i="3"/>
  <c r="F222" i="3"/>
  <c r="E222" i="3"/>
  <c r="D222" i="3"/>
  <c r="C222" i="3"/>
  <c r="B222" i="3"/>
  <c r="A222" i="3"/>
  <c r="F221" i="3"/>
  <c r="E221" i="3"/>
  <c r="D221" i="3"/>
  <c r="C221" i="3"/>
  <c r="B221" i="3"/>
  <c r="A221" i="3"/>
  <c r="F220" i="3"/>
  <c r="E220" i="3"/>
  <c r="D220" i="3"/>
  <c r="C220" i="3"/>
  <c r="B220" i="3"/>
  <c r="A220" i="3"/>
  <c r="F219" i="3"/>
  <c r="E219" i="3"/>
  <c r="D219" i="3"/>
  <c r="C219" i="3"/>
  <c r="B219" i="3"/>
  <c r="A219" i="3"/>
  <c r="F218" i="3"/>
  <c r="E218" i="3"/>
  <c r="D218" i="3"/>
  <c r="C218" i="3"/>
  <c r="B218" i="3"/>
  <c r="A218" i="3"/>
  <c r="F217" i="3"/>
  <c r="E217" i="3"/>
  <c r="D217" i="3"/>
  <c r="C217" i="3"/>
  <c r="B217" i="3"/>
  <c r="A217" i="3"/>
  <c r="F216" i="3"/>
  <c r="E216" i="3"/>
  <c r="D216" i="3"/>
  <c r="C216" i="3"/>
  <c r="B216" i="3"/>
  <c r="A216" i="3"/>
  <c r="F215" i="3"/>
  <c r="E215" i="3"/>
  <c r="D215" i="3"/>
  <c r="C215" i="3"/>
  <c r="B215" i="3"/>
  <c r="A215" i="3"/>
  <c r="F214" i="3"/>
  <c r="E214" i="3"/>
  <c r="D214" i="3"/>
  <c r="C214" i="3"/>
  <c r="B214" i="3"/>
  <c r="A214" i="3"/>
  <c r="F213" i="3"/>
  <c r="E213" i="3"/>
  <c r="D213" i="3"/>
  <c r="C213" i="3"/>
  <c r="B213" i="3"/>
  <c r="A213" i="3"/>
  <c r="F212" i="3"/>
  <c r="E212" i="3"/>
  <c r="D212" i="3"/>
  <c r="C212" i="3"/>
  <c r="B212" i="3"/>
  <c r="A212" i="3"/>
  <c r="F211" i="3"/>
  <c r="E211" i="3"/>
  <c r="D211" i="3"/>
  <c r="C211" i="3"/>
  <c r="B211" i="3"/>
  <c r="A211" i="3"/>
  <c r="F210" i="3"/>
  <c r="E210" i="3"/>
  <c r="D210" i="3"/>
  <c r="C210" i="3"/>
  <c r="B210" i="3"/>
  <c r="A210" i="3"/>
  <c r="F209" i="3"/>
  <c r="E209" i="3"/>
  <c r="D209" i="3"/>
  <c r="C209" i="3"/>
  <c r="B209" i="3"/>
  <c r="A209" i="3"/>
  <c r="F208" i="3"/>
  <c r="E208" i="3"/>
  <c r="D208" i="3"/>
  <c r="C208" i="3"/>
  <c r="B208" i="3"/>
  <c r="A208" i="3"/>
  <c r="F207" i="3"/>
  <c r="E207" i="3"/>
  <c r="D207" i="3"/>
  <c r="C207" i="3"/>
  <c r="B207" i="3"/>
  <c r="A207" i="3"/>
  <c r="F206" i="3"/>
  <c r="E206" i="3"/>
  <c r="D206" i="3"/>
  <c r="C206" i="3"/>
  <c r="B206" i="3"/>
  <c r="A206" i="3"/>
  <c r="F205" i="3"/>
  <c r="E205" i="3"/>
  <c r="D205" i="3"/>
  <c r="C205" i="3"/>
  <c r="B205" i="3"/>
  <c r="A205" i="3"/>
  <c r="F204" i="3"/>
  <c r="E204" i="3"/>
  <c r="D204" i="3"/>
  <c r="C204" i="3"/>
  <c r="B204" i="3"/>
  <c r="A204" i="3"/>
  <c r="F203" i="3"/>
  <c r="E203" i="3"/>
  <c r="D203" i="3"/>
  <c r="C203" i="3"/>
  <c r="B203" i="3"/>
  <c r="A203" i="3"/>
  <c r="F202" i="3"/>
  <c r="E202" i="3"/>
  <c r="D202" i="3"/>
  <c r="C202" i="3"/>
  <c r="B202" i="3"/>
  <c r="A202" i="3"/>
  <c r="F201" i="3"/>
  <c r="E201" i="3"/>
  <c r="D201" i="3"/>
  <c r="C201" i="3"/>
  <c r="B201" i="3"/>
  <c r="A201" i="3"/>
  <c r="F200" i="3"/>
  <c r="E200" i="3"/>
  <c r="D200" i="3"/>
  <c r="C200" i="3"/>
  <c r="B200" i="3"/>
  <c r="A200" i="3"/>
  <c r="F199" i="3"/>
  <c r="E199" i="3"/>
  <c r="D199" i="3"/>
  <c r="C199" i="3"/>
  <c r="B199" i="3"/>
  <c r="A199" i="3"/>
  <c r="F198" i="3"/>
  <c r="E198" i="3"/>
  <c r="D198" i="3"/>
  <c r="C198" i="3"/>
  <c r="B198" i="3"/>
  <c r="A198" i="3"/>
  <c r="F197" i="3"/>
  <c r="E197" i="3"/>
  <c r="D197" i="3"/>
  <c r="C197" i="3"/>
  <c r="B197" i="3"/>
  <c r="A197" i="3"/>
  <c r="F196" i="3"/>
  <c r="E196" i="3"/>
  <c r="D196" i="3"/>
  <c r="C196" i="3"/>
  <c r="B196" i="3"/>
  <c r="A196" i="3"/>
  <c r="F195" i="3"/>
  <c r="E195" i="3"/>
  <c r="D195" i="3"/>
  <c r="C195" i="3"/>
  <c r="B195" i="3"/>
  <c r="A195" i="3"/>
  <c r="F194" i="3"/>
  <c r="E194" i="3"/>
  <c r="D194" i="3"/>
  <c r="C194" i="3"/>
  <c r="B194" i="3"/>
  <c r="A194" i="3"/>
  <c r="F193" i="3"/>
  <c r="E193" i="3"/>
  <c r="D193" i="3"/>
  <c r="C193" i="3"/>
  <c r="B193" i="3"/>
  <c r="A193" i="3"/>
  <c r="F192" i="3"/>
  <c r="E192" i="3"/>
  <c r="D192" i="3"/>
  <c r="C192" i="3"/>
  <c r="B192" i="3"/>
  <c r="A192" i="3"/>
  <c r="F191" i="3"/>
  <c r="E191" i="3"/>
  <c r="D191" i="3"/>
  <c r="C191" i="3"/>
  <c r="B191" i="3"/>
  <c r="A191" i="3"/>
  <c r="F190" i="3"/>
  <c r="E190" i="3"/>
  <c r="D190" i="3"/>
  <c r="C190" i="3"/>
  <c r="B190" i="3"/>
  <c r="A190" i="3"/>
  <c r="F189" i="3"/>
  <c r="E189" i="3"/>
  <c r="D189" i="3"/>
  <c r="C189" i="3"/>
  <c r="B189" i="3"/>
  <c r="A189" i="3"/>
  <c r="F188" i="3"/>
  <c r="E188" i="3"/>
  <c r="D188" i="3"/>
  <c r="C188" i="3"/>
  <c r="B188" i="3"/>
  <c r="A188" i="3"/>
  <c r="F187" i="3"/>
  <c r="E187" i="3"/>
  <c r="D187" i="3"/>
  <c r="C187" i="3"/>
  <c r="B187" i="3"/>
  <c r="A187" i="3"/>
  <c r="F186" i="3"/>
  <c r="E186" i="3"/>
  <c r="D186" i="3"/>
  <c r="C186" i="3"/>
  <c r="B186" i="3"/>
  <c r="A186" i="3"/>
  <c r="F185" i="3"/>
  <c r="E185" i="3"/>
  <c r="D185" i="3"/>
  <c r="C185" i="3"/>
  <c r="B185" i="3"/>
  <c r="A185" i="3"/>
  <c r="F184" i="3"/>
  <c r="E184" i="3"/>
  <c r="D184" i="3"/>
  <c r="C184" i="3"/>
  <c r="B184" i="3"/>
  <c r="A184" i="3"/>
  <c r="F183" i="3"/>
  <c r="E183" i="3"/>
  <c r="D183" i="3"/>
  <c r="C183" i="3"/>
  <c r="B183" i="3"/>
  <c r="A183" i="3"/>
  <c r="F182" i="3"/>
  <c r="E182" i="3"/>
  <c r="D182" i="3"/>
  <c r="C182" i="3"/>
  <c r="B182" i="3"/>
  <c r="A182" i="3"/>
  <c r="F181" i="3"/>
  <c r="E181" i="3"/>
  <c r="D181" i="3"/>
  <c r="C181" i="3"/>
  <c r="B181" i="3"/>
  <c r="A181" i="3"/>
  <c r="F180" i="3"/>
  <c r="E180" i="3"/>
  <c r="D180" i="3"/>
  <c r="C180" i="3"/>
  <c r="B180" i="3"/>
  <c r="A180" i="3"/>
  <c r="F179" i="3"/>
  <c r="E179" i="3"/>
  <c r="D179" i="3"/>
  <c r="C179" i="3"/>
  <c r="B179" i="3"/>
  <c r="A179" i="3"/>
  <c r="F178" i="3"/>
  <c r="E178" i="3"/>
  <c r="D178" i="3"/>
  <c r="C178" i="3"/>
  <c r="B178" i="3"/>
  <c r="A178" i="3"/>
  <c r="F177" i="3"/>
  <c r="E177" i="3"/>
  <c r="D177" i="3"/>
  <c r="C177" i="3"/>
  <c r="B177" i="3"/>
  <c r="A177" i="3"/>
  <c r="F176" i="3"/>
  <c r="E176" i="3"/>
  <c r="D176" i="3"/>
  <c r="C176" i="3"/>
  <c r="B176" i="3"/>
  <c r="A176" i="3"/>
  <c r="F175" i="3"/>
  <c r="E175" i="3"/>
  <c r="D175" i="3"/>
  <c r="C175" i="3"/>
  <c r="B175" i="3"/>
  <c r="A175" i="3"/>
  <c r="F174" i="3"/>
  <c r="E174" i="3"/>
  <c r="D174" i="3"/>
  <c r="C174" i="3"/>
  <c r="B174" i="3"/>
  <c r="A174" i="3"/>
  <c r="F173" i="3"/>
  <c r="E173" i="3"/>
  <c r="D173" i="3"/>
  <c r="C173" i="3"/>
  <c r="B173" i="3"/>
  <c r="A173" i="3"/>
  <c r="F172" i="3"/>
  <c r="E172" i="3"/>
  <c r="D172" i="3"/>
  <c r="C172" i="3"/>
  <c r="B172" i="3"/>
  <c r="A172" i="3"/>
  <c r="F171" i="3"/>
  <c r="E171" i="3"/>
  <c r="D171" i="3"/>
  <c r="C171" i="3"/>
  <c r="B171" i="3"/>
  <c r="A171" i="3"/>
  <c r="F170" i="3"/>
  <c r="E170" i="3"/>
  <c r="D170" i="3"/>
  <c r="C170" i="3"/>
  <c r="B170" i="3"/>
  <c r="A170" i="3"/>
  <c r="F169" i="3"/>
  <c r="E169" i="3"/>
  <c r="D169" i="3"/>
  <c r="C169" i="3"/>
  <c r="B169" i="3"/>
  <c r="A169" i="3"/>
  <c r="F168" i="3"/>
  <c r="E168" i="3"/>
  <c r="D168" i="3"/>
  <c r="C168" i="3"/>
  <c r="B168" i="3"/>
  <c r="A168" i="3"/>
  <c r="F167" i="3"/>
  <c r="E167" i="3"/>
  <c r="D167" i="3"/>
  <c r="C167" i="3"/>
  <c r="B167" i="3"/>
  <c r="A167" i="3"/>
  <c r="F166" i="3"/>
  <c r="E166" i="3"/>
  <c r="D166" i="3"/>
  <c r="C166" i="3"/>
  <c r="B166" i="3"/>
  <c r="A166" i="3"/>
  <c r="F165" i="3"/>
  <c r="E165" i="3"/>
  <c r="D165" i="3"/>
  <c r="C165" i="3"/>
  <c r="B165" i="3"/>
  <c r="A165" i="3"/>
  <c r="F164" i="3"/>
  <c r="E164" i="3"/>
  <c r="D164" i="3"/>
  <c r="C164" i="3"/>
  <c r="B164" i="3"/>
  <c r="A164" i="3"/>
  <c r="F163" i="3"/>
  <c r="E163" i="3"/>
  <c r="D163" i="3"/>
  <c r="C163" i="3"/>
  <c r="B163" i="3"/>
  <c r="A163" i="3"/>
  <c r="F162" i="3"/>
  <c r="E162" i="3"/>
  <c r="D162" i="3"/>
  <c r="C162" i="3"/>
  <c r="B162" i="3"/>
  <c r="A162" i="3"/>
  <c r="F161" i="3"/>
  <c r="E161" i="3"/>
  <c r="D161" i="3"/>
  <c r="C161" i="3"/>
  <c r="B161" i="3"/>
  <c r="A161" i="3"/>
  <c r="F160" i="3"/>
  <c r="E160" i="3"/>
  <c r="D160" i="3"/>
  <c r="C160" i="3"/>
  <c r="B160" i="3"/>
  <c r="A160" i="3"/>
  <c r="F159" i="3"/>
  <c r="E159" i="3"/>
  <c r="D159" i="3"/>
  <c r="C159" i="3"/>
  <c r="B159" i="3"/>
  <c r="A159" i="3"/>
  <c r="F158" i="3"/>
  <c r="E158" i="3"/>
  <c r="D158" i="3"/>
  <c r="C158" i="3"/>
  <c r="B158" i="3"/>
  <c r="A158" i="3"/>
  <c r="F157" i="3"/>
  <c r="E157" i="3"/>
  <c r="D157" i="3"/>
  <c r="C157" i="3"/>
  <c r="B157" i="3"/>
  <c r="A157" i="3"/>
  <c r="F156" i="3"/>
  <c r="E156" i="3"/>
  <c r="D156" i="3"/>
  <c r="C156" i="3"/>
  <c r="B156" i="3"/>
  <c r="A156" i="3"/>
  <c r="F155" i="3"/>
  <c r="E155" i="3"/>
  <c r="D155" i="3"/>
  <c r="C155" i="3"/>
  <c r="B155" i="3"/>
  <c r="A155" i="3"/>
  <c r="F154" i="3"/>
  <c r="E154" i="3"/>
  <c r="D154" i="3"/>
  <c r="C154" i="3"/>
  <c r="B154" i="3"/>
  <c r="A154" i="3"/>
  <c r="F153" i="3"/>
  <c r="E153" i="3"/>
  <c r="D153" i="3"/>
  <c r="C153" i="3"/>
  <c r="B153" i="3"/>
  <c r="A153" i="3"/>
  <c r="F152" i="3"/>
  <c r="E152" i="3"/>
  <c r="D152" i="3"/>
  <c r="C152" i="3"/>
  <c r="B152" i="3"/>
  <c r="A152" i="3"/>
  <c r="F151" i="3"/>
  <c r="E151" i="3"/>
  <c r="D151" i="3"/>
  <c r="C151" i="3"/>
  <c r="B151" i="3"/>
  <c r="A151" i="3"/>
  <c r="F150" i="3"/>
  <c r="E150" i="3"/>
  <c r="D150" i="3"/>
  <c r="C150" i="3"/>
  <c r="B150" i="3"/>
  <c r="A150" i="3"/>
  <c r="F149" i="3"/>
  <c r="E149" i="3"/>
  <c r="D149" i="3"/>
  <c r="C149" i="3"/>
  <c r="B149" i="3"/>
  <c r="A149" i="3"/>
  <c r="F148" i="3"/>
  <c r="E148" i="3"/>
  <c r="D148" i="3"/>
  <c r="C148" i="3"/>
  <c r="B148" i="3"/>
  <c r="A148" i="3"/>
  <c r="F147" i="3"/>
  <c r="E147" i="3"/>
  <c r="D147" i="3"/>
  <c r="C147" i="3"/>
  <c r="B147" i="3"/>
  <c r="A147" i="3"/>
  <c r="F146" i="3"/>
  <c r="E146" i="3"/>
  <c r="D146" i="3"/>
  <c r="C146" i="3"/>
  <c r="B146" i="3"/>
  <c r="A146" i="3"/>
  <c r="F145" i="3"/>
  <c r="E145" i="3"/>
  <c r="D145" i="3"/>
  <c r="C145" i="3"/>
  <c r="B145" i="3"/>
  <c r="A145" i="3"/>
  <c r="F144" i="3"/>
  <c r="E144" i="3"/>
  <c r="D144" i="3"/>
  <c r="C144" i="3"/>
  <c r="B144" i="3"/>
  <c r="A144" i="3"/>
  <c r="F143" i="3"/>
  <c r="E143" i="3"/>
  <c r="D143" i="3"/>
  <c r="C143" i="3"/>
  <c r="B143" i="3"/>
  <c r="A143" i="3"/>
  <c r="F142" i="3"/>
  <c r="E142" i="3"/>
  <c r="D142" i="3"/>
  <c r="C142" i="3"/>
  <c r="B142" i="3"/>
  <c r="A142" i="3"/>
  <c r="F141" i="3"/>
  <c r="E141" i="3"/>
  <c r="D141" i="3"/>
  <c r="C141" i="3"/>
  <c r="B141" i="3"/>
  <c r="A141" i="3"/>
  <c r="F140" i="3"/>
  <c r="E140" i="3"/>
  <c r="D140" i="3"/>
  <c r="C140" i="3"/>
  <c r="B140" i="3"/>
  <c r="A140" i="3"/>
  <c r="F139" i="3"/>
  <c r="E139" i="3"/>
  <c r="D139" i="3"/>
  <c r="C139" i="3"/>
  <c r="B139" i="3"/>
  <c r="A139" i="3"/>
  <c r="F138" i="3"/>
  <c r="E138" i="3"/>
  <c r="D138" i="3"/>
  <c r="C138" i="3"/>
  <c r="B138" i="3"/>
  <c r="A138" i="3"/>
  <c r="F137" i="3"/>
  <c r="E137" i="3"/>
  <c r="D137" i="3"/>
  <c r="C137" i="3"/>
  <c r="B137" i="3"/>
  <c r="A137" i="3"/>
  <c r="F136" i="3"/>
  <c r="E136" i="3"/>
  <c r="D136" i="3"/>
  <c r="C136" i="3"/>
  <c r="B136" i="3"/>
  <c r="A136" i="3"/>
  <c r="F135" i="3"/>
  <c r="E135" i="3"/>
  <c r="D135" i="3"/>
  <c r="C135" i="3"/>
  <c r="B135" i="3"/>
  <c r="A135" i="3"/>
  <c r="F134" i="3"/>
  <c r="E134" i="3"/>
  <c r="D134" i="3"/>
  <c r="C134" i="3"/>
  <c r="B134" i="3"/>
  <c r="A134" i="3"/>
  <c r="F133" i="3"/>
  <c r="E133" i="3"/>
  <c r="D133" i="3"/>
  <c r="C133" i="3"/>
  <c r="B133" i="3"/>
  <c r="A133" i="3"/>
  <c r="F132" i="3"/>
  <c r="E132" i="3"/>
  <c r="D132" i="3"/>
  <c r="C132" i="3"/>
  <c r="B132" i="3"/>
  <c r="A132" i="3"/>
  <c r="F131" i="3"/>
  <c r="E131" i="3"/>
  <c r="D131" i="3"/>
  <c r="C131" i="3"/>
  <c r="B131" i="3"/>
  <c r="A131" i="3"/>
  <c r="F130" i="3"/>
  <c r="E130" i="3"/>
  <c r="D130" i="3"/>
  <c r="C130" i="3"/>
  <c r="B130" i="3"/>
  <c r="A130" i="3"/>
  <c r="F129" i="3"/>
  <c r="E129" i="3"/>
  <c r="D129" i="3"/>
  <c r="C129" i="3"/>
  <c r="B129" i="3"/>
  <c r="A129" i="3"/>
  <c r="F128" i="3"/>
  <c r="E128" i="3"/>
  <c r="D128" i="3"/>
  <c r="C128" i="3"/>
  <c r="B128" i="3"/>
  <c r="A128" i="3"/>
  <c r="F127" i="3"/>
  <c r="E127" i="3"/>
  <c r="D127" i="3"/>
  <c r="C127" i="3"/>
  <c r="B127" i="3"/>
  <c r="A127" i="3"/>
  <c r="F126" i="3"/>
  <c r="E126" i="3"/>
  <c r="D126" i="3"/>
  <c r="C126" i="3"/>
  <c r="B126" i="3"/>
  <c r="A126" i="3"/>
  <c r="F125" i="3"/>
  <c r="E125" i="3"/>
  <c r="D125" i="3"/>
  <c r="C125" i="3"/>
  <c r="B125" i="3"/>
  <c r="A125" i="3"/>
  <c r="F124" i="3"/>
  <c r="E124" i="3"/>
  <c r="D124" i="3"/>
  <c r="C124" i="3"/>
  <c r="B124" i="3"/>
  <c r="A124" i="3"/>
  <c r="F123" i="3"/>
  <c r="E123" i="3"/>
  <c r="D123" i="3"/>
  <c r="C123" i="3"/>
  <c r="B123" i="3"/>
  <c r="A123" i="3"/>
  <c r="F122" i="3"/>
  <c r="E122" i="3"/>
  <c r="D122" i="3"/>
  <c r="C122" i="3"/>
  <c r="B122" i="3"/>
  <c r="A122" i="3"/>
  <c r="F121" i="3"/>
  <c r="E121" i="3"/>
  <c r="D121" i="3"/>
  <c r="C121" i="3"/>
  <c r="B121" i="3"/>
  <c r="A121" i="3"/>
  <c r="F120" i="3"/>
  <c r="E120" i="3"/>
  <c r="D120" i="3"/>
  <c r="C120" i="3"/>
  <c r="B120" i="3"/>
  <c r="A120" i="3"/>
  <c r="F119" i="3"/>
  <c r="E119" i="3"/>
  <c r="D119" i="3"/>
  <c r="C119" i="3"/>
  <c r="B119" i="3"/>
  <c r="A119" i="3"/>
  <c r="F118" i="3"/>
  <c r="E118" i="3"/>
  <c r="D118" i="3"/>
  <c r="C118" i="3"/>
  <c r="B118" i="3"/>
  <c r="A118" i="3"/>
  <c r="F117" i="3"/>
  <c r="E117" i="3"/>
  <c r="D117" i="3"/>
  <c r="C117" i="3"/>
  <c r="B117" i="3"/>
  <c r="A117" i="3"/>
  <c r="F116" i="3"/>
  <c r="E116" i="3"/>
  <c r="D116" i="3"/>
  <c r="C116" i="3"/>
  <c r="B116" i="3"/>
  <c r="A116" i="3"/>
  <c r="F115" i="3"/>
  <c r="E115" i="3"/>
  <c r="D115" i="3"/>
  <c r="C115" i="3"/>
  <c r="B115" i="3"/>
  <c r="A115" i="3"/>
  <c r="F114" i="3"/>
  <c r="E114" i="3"/>
  <c r="D114" i="3"/>
  <c r="C114" i="3"/>
  <c r="B114" i="3"/>
  <c r="A114" i="3"/>
  <c r="F113" i="3"/>
  <c r="E113" i="3"/>
  <c r="D113" i="3"/>
  <c r="C113" i="3"/>
  <c r="B113" i="3"/>
  <c r="A113" i="3"/>
  <c r="F112" i="3"/>
  <c r="E112" i="3"/>
  <c r="D112" i="3"/>
  <c r="C112" i="3"/>
  <c r="B112" i="3"/>
  <c r="A112" i="3"/>
  <c r="F111" i="3"/>
  <c r="E111" i="3"/>
  <c r="D111" i="3"/>
  <c r="C111" i="3"/>
  <c r="B111" i="3"/>
  <c r="A111" i="3"/>
  <c r="F110" i="3"/>
  <c r="E110" i="3"/>
  <c r="D110" i="3"/>
  <c r="C110" i="3"/>
  <c r="B110" i="3"/>
  <c r="A110" i="3"/>
  <c r="F109" i="3"/>
  <c r="E109" i="3"/>
  <c r="D109" i="3"/>
  <c r="C109" i="3"/>
  <c r="B109" i="3"/>
  <c r="A109" i="3"/>
  <c r="F108" i="3"/>
  <c r="E108" i="3"/>
  <c r="D108" i="3"/>
  <c r="C108" i="3"/>
  <c r="B108" i="3"/>
  <c r="A108" i="3"/>
  <c r="F107" i="3"/>
  <c r="E107" i="3"/>
  <c r="D107" i="3"/>
  <c r="C107" i="3"/>
  <c r="B107" i="3"/>
  <c r="A107" i="3"/>
  <c r="F106" i="3"/>
  <c r="E106" i="3"/>
  <c r="D106" i="3"/>
  <c r="C106" i="3"/>
  <c r="B106" i="3"/>
  <c r="A106" i="3"/>
  <c r="F105" i="3"/>
  <c r="E105" i="3"/>
  <c r="D105" i="3"/>
  <c r="C105" i="3"/>
  <c r="B105" i="3"/>
  <c r="A105" i="3"/>
  <c r="F104" i="3"/>
  <c r="E104" i="3"/>
  <c r="D104" i="3"/>
  <c r="C104" i="3"/>
  <c r="B104" i="3"/>
  <c r="A104" i="3"/>
  <c r="F103" i="3"/>
  <c r="E103" i="3"/>
  <c r="D103" i="3"/>
  <c r="C103" i="3"/>
  <c r="B103" i="3"/>
  <c r="A103" i="3"/>
  <c r="F102" i="3"/>
  <c r="E102" i="3"/>
  <c r="D102" i="3"/>
  <c r="C102" i="3"/>
  <c r="B102" i="3"/>
  <c r="A102" i="3"/>
  <c r="F101" i="3"/>
  <c r="E101" i="3"/>
  <c r="D101" i="3"/>
  <c r="C101" i="3"/>
  <c r="B101" i="3"/>
  <c r="A101" i="3"/>
  <c r="F100" i="3"/>
  <c r="E100" i="3"/>
  <c r="D100" i="3"/>
  <c r="C100" i="3"/>
  <c r="B100" i="3"/>
  <c r="A100" i="3"/>
  <c r="F99" i="3"/>
  <c r="E99" i="3"/>
  <c r="D99" i="3"/>
  <c r="C99" i="3"/>
  <c r="B99" i="3"/>
  <c r="A99" i="3"/>
  <c r="F98" i="3"/>
  <c r="E98" i="3"/>
  <c r="D98" i="3"/>
  <c r="C98" i="3"/>
  <c r="B98" i="3"/>
  <c r="A98" i="3"/>
  <c r="F97" i="3"/>
  <c r="E97" i="3"/>
  <c r="D97" i="3"/>
  <c r="C97" i="3"/>
  <c r="B97" i="3"/>
  <c r="A97" i="3"/>
  <c r="F96" i="3"/>
  <c r="E96" i="3"/>
  <c r="D96" i="3"/>
  <c r="C96" i="3"/>
  <c r="B96" i="3"/>
  <c r="A96" i="3"/>
  <c r="F95" i="3"/>
  <c r="E95" i="3"/>
  <c r="D95" i="3"/>
  <c r="C95" i="3"/>
  <c r="B95" i="3"/>
  <c r="A95" i="3"/>
  <c r="F94" i="3"/>
  <c r="E94" i="3"/>
  <c r="D94" i="3"/>
  <c r="C94" i="3"/>
  <c r="B94" i="3"/>
  <c r="A94" i="3"/>
  <c r="F93" i="3"/>
  <c r="E93" i="3"/>
  <c r="D93" i="3"/>
  <c r="C93" i="3"/>
  <c r="B93" i="3"/>
  <c r="A93" i="3"/>
  <c r="F92" i="3"/>
  <c r="E92" i="3"/>
  <c r="D92" i="3"/>
  <c r="C92" i="3"/>
  <c r="B92" i="3"/>
  <c r="A92" i="3"/>
  <c r="F91" i="3"/>
  <c r="E91" i="3"/>
  <c r="D91" i="3"/>
  <c r="C91" i="3"/>
  <c r="B91" i="3"/>
  <c r="A91" i="3"/>
  <c r="F90" i="3"/>
  <c r="E90" i="3"/>
  <c r="D90" i="3"/>
  <c r="C90" i="3"/>
  <c r="B90" i="3"/>
  <c r="A90" i="3"/>
  <c r="F89" i="3"/>
  <c r="E89" i="3"/>
  <c r="D89" i="3"/>
  <c r="C89" i="3"/>
  <c r="B89" i="3"/>
  <c r="A89" i="3"/>
  <c r="F88" i="3"/>
  <c r="E88" i="3"/>
  <c r="D88" i="3"/>
  <c r="C88" i="3"/>
  <c r="B88" i="3"/>
  <c r="A88" i="3"/>
  <c r="F87" i="3"/>
  <c r="E87" i="3"/>
  <c r="D87" i="3"/>
  <c r="C87" i="3"/>
  <c r="B87" i="3"/>
  <c r="A87" i="3"/>
  <c r="F86" i="3"/>
  <c r="E86" i="3"/>
  <c r="D86" i="3"/>
  <c r="C86" i="3"/>
  <c r="B86" i="3"/>
  <c r="A86" i="3"/>
  <c r="F85" i="3"/>
  <c r="E85" i="3"/>
  <c r="D85" i="3"/>
  <c r="C85" i="3"/>
  <c r="B85" i="3"/>
  <c r="A85" i="3"/>
  <c r="F84" i="3"/>
  <c r="E84" i="3"/>
  <c r="D84" i="3"/>
  <c r="C84" i="3"/>
  <c r="B84" i="3"/>
  <c r="A84" i="3"/>
  <c r="F83" i="3"/>
  <c r="E83" i="3"/>
  <c r="D83" i="3"/>
  <c r="C83" i="3"/>
  <c r="B83" i="3"/>
  <c r="A83" i="3"/>
  <c r="F82" i="3"/>
  <c r="E82" i="3"/>
  <c r="D82" i="3"/>
  <c r="C82" i="3"/>
  <c r="B82" i="3"/>
  <c r="A82" i="3"/>
  <c r="F81" i="3"/>
  <c r="E81" i="3"/>
  <c r="D81" i="3"/>
  <c r="C81" i="3"/>
  <c r="B81" i="3"/>
  <c r="A81" i="3"/>
  <c r="F80" i="3"/>
  <c r="E80" i="3"/>
  <c r="D80" i="3"/>
  <c r="C80" i="3"/>
  <c r="B80" i="3"/>
  <c r="A80" i="3"/>
  <c r="F79" i="3"/>
  <c r="E79" i="3"/>
  <c r="D79" i="3"/>
  <c r="C79" i="3"/>
  <c r="B79" i="3"/>
  <c r="A79" i="3"/>
  <c r="F78" i="3"/>
  <c r="E78" i="3"/>
  <c r="D78" i="3"/>
  <c r="C78" i="3"/>
  <c r="B78" i="3"/>
  <c r="A78" i="3"/>
  <c r="F77" i="3"/>
  <c r="E77" i="3"/>
  <c r="D77" i="3"/>
  <c r="C77" i="3"/>
  <c r="B77" i="3"/>
  <c r="A77" i="3"/>
  <c r="F76" i="3"/>
  <c r="E76" i="3"/>
  <c r="D76" i="3"/>
  <c r="C76" i="3"/>
  <c r="B76" i="3"/>
  <c r="A76" i="3"/>
  <c r="F75" i="3"/>
  <c r="E75" i="3"/>
  <c r="D75" i="3"/>
  <c r="C75" i="3"/>
  <c r="B75" i="3"/>
  <c r="A75" i="3"/>
  <c r="F74" i="3"/>
  <c r="E74" i="3"/>
  <c r="D74" i="3"/>
  <c r="C74" i="3"/>
  <c r="B74" i="3"/>
  <c r="A74" i="3"/>
  <c r="F73" i="3"/>
  <c r="E73" i="3"/>
  <c r="D73" i="3"/>
  <c r="C73" i="3"/>
  <c r="B73" i="3"/>
  <c r="A73" i="3"/>
  <c r="F72" i="3"/>
  <c r="E72" i="3"/>
  <c r="D72" i="3"/>
  <c r="C72" i="3"/>
  <c r="B72" i="3"/>
  <c r="A72" i="3"/>
  <c r="F71" i="3"/>
  <c r="E71" i="3"/>
  <c r="D71" i="3"/>
  <c r="C71" i="3"/>
  <c r="B71" i="3"/>
  <c r="A71" i="3"/>
  <c r="F70" i="3"/>
  <c r="E70" i="3"/>
  <c r="D70" i="3"/>
  <c r="C70" i="3"/>
  <c r="B70" i="3"/>
  <c r="A70" i="3"/>
  <c r="F69" i="3"/>
  <c r="E69" i="3"/>
  <c r="D69" i="3"/>
  <c r="C69" i="3"/>
  <c r="B69" i="3"/>
  <c r="A69" i="3"/>
  <c r="F68" i="3"/>
  <c r="E68" i="3"/>
  <c r="D68" i="3"/>
  <c r="C68" i="3"/>
  <c r="B68" i="3"/>
  <c r="A68" i="3"/>
  <c r="F67" i="3"/>
  <c r="E67" i="3"/>
  <c r="D67" i="3"/>
  <c r="C67" i="3"/>
  <c r="B67" i="3"/>
  <c r="A67" i="3"/>
  <c r="F66" i="3"/>
  <c r="E66" i="3"/>
  <c r="D66" i="3"/>
  <c r="C66" i="3"/>
  <c r="B66" i="3"/>
  <c r="A66" i="3"/>
  <c r="F65" i="3"/>
  <c r="E65" i="3"/>
  <c r="D65" i="3"/>
  <c r="C65" i="3"/>
  <c r="B65" i="3"/>
  <c r="A65" i="3"/>
  <c r="F64" i="3"/>
  <c r="E64" i="3"/>
  <c r="D64" i="3"/>
  <c r="C64" i="3"/>
  <c r="B64" i="3"/>
  <c r="A64" i="3"/>
  <c r="F63" i="3"/>
  <c r="E63" i="3"/>
  <c r="D63" i="3"/>
  <c r="C63" i="3"/>
  <c r="B63" i="3"/>
  <c r="A63" i="3"/>
  <c r="F62" i="3"/>
  <c r="E62" i="3"/>
  <c r="D62" i="3"/>
  <c r="C62" i="3"/>
  <c r="B62" i="3"/>
  <c r="A62" i="3"/>
  <c r="F61" i="3"/>
  <c r="E61" i="3"/>
  <c r="D61" i="3"/>
  <c r="C61" i="3"/>
  <c r="B61" i="3"/>
  <c r="A61" i="3"/>
  <c r="F60" i="3"/>
  <c r="E60" i="3"/>
  <c r="D60" i="3"/>
  <c r="C60" i="3"/>
  <c r="B60" i="3"/>
  <c r="A60" i="3"/>
  <c r="F59" i="3"/>
  <c r="E59" i="3"/>
  <c r="D59" i="3"/>
  <c r="C59" i="3"/>
  <c r="B59" i="3"/>
  <c r="A59" i="3"/>
  <c r="F58" i="3"/>
  <c r="E58" i="3"/>
  <c r="D58" i="3"/>
  <c r="C58" i="3"/>
  <c r="B58" i="3"/>
  <c r="A58" i="3"/>
  <c r="F57" i="3"/>
  <c r="E57" i="3"/>
  <c r="D57" i="3"/>
  <c r="C57" i="3"/>
  <c r="B57" i="3"/>
  <c r="A57" i="3"/>
  <c r="F56" i="3"/>
  <c r="E56" i="3"/>
  <c r="D56" i="3"/>
  <c r="C56" i="3"/>
  <c r="B56" i="3"/>
  <c r="A56" i="3"/>
  <c r="F55" i="3"/>
  <c r="E55" i="3"/>
  <c r="D55" i="3"/>
  <c r="C55" i="3"/>
  <c r="B55" i="3"/>
  <c r="A55" i="3"/>
  <c r="F54" i="3"/>
  <c r="E54" i="3"/>
  <c r="D54" i="3"/>
  <c r="C54" i="3"/>
  <c r="B54" i="3"/>
  <c r="A54" i="3"/>
  <c r="F53" i="3"/>
  <c r="E53" i="3"/>
  <c r="D53" i="3"/>
  <c r="C53" i="3"/>
  <c r="B53" i="3"/>
  <c r="A53" i="3"/>
  <c r="F52" i="3"/>
  <c r="E52" i="3"/>
  <c r="D52" i="3"/>
  <c r="C52" i="3"/>
  <c r="B52" i="3"/>
  <c r="A52" i="3"/>
  <c r="F51" i="3"/>
  <c r="E51" i="3"/>
  <c r="D51" i="3"/>
  <c r="C51" i="3"/>
  <c r="B51" i="3"/>
  <c r="A51" i="3"/>
  <c r="F50" i="3"/>
  <c r="E50" i="3"/>
  <c r="D50" i="3"/>
  <c r="C50" i="3"/>
  <c r="B50" i="3"/>
  <c r="A50" i="3"/>
  <c r="F49" i="3"/>
  <c r="E49" i="3"/>
  <c r="D49" i="3"/>
  <c r="C49" i="3"/>
  <c r="B49" i="3"/>
  <c r="A49" i="3"/>
  <c r="F48" i="3"/>
  <c r="E48" i="3"/>
  <c r="D48" i="3"/>
  <c r="C48" i="3"/>
  <c r="B48" i="3"/>
  <c r="A48" i="3"/>
  <c r="F47" i="3"/>
  <c r="E47" i="3"/>
  <c r="D47" i="3"/>
  <c r="C47" i="3"/>
  <c r="B47" i="3"/>
  <c r="A47" i="3"/>
  <c r="F46" i="3"/>
  <c r="E46" i="3"/>
  <c r="D46" i="3"/>
  <c r="C46" i="3"/>
  <c r="B46" i="3"/>
  <c r="A46" i="3"/>
  <c r="F45" i="3"/>
  <c r="E45" i="3"/>
  <c r="D45" i="3"/>
  <c r="C45" i="3"/>
  <c r="B45" i="3"/>
  <c r="A45" i="3"/>
  <c r="F44" i="3"/>
  <c r="E44" i="3"/>
  <c r="D44" i="3"/>
  <c r="C44" i="3"/>
  <c r="B44" i="3"/>
  <c r="A44" i="3"/>
  <c r="F43" i="3"/>
  <c r="E43" i="3"/>
  <c r="D43" i="3"/>
  <c r="C43" i="3"/>
  <c r="B43" i="3"/>
  <c r="A43" i="3"/>
  <c r="F42" i="3"/>
  <c r="E42" i="3"/>
  <c r="D42" i="3"/>
  <c r="C42" i="3"/>
  <c r="B42" i="3"/>
  <c r="A42" i="3"/>
  <c r="F41" i="3"/>
  <c r="E41" i="3"/>
  <c r="D41" i="3"/>
  <c r="C41" i="3"/>
  <c r="B41" i="3"/>
  <c r="A41" i="3"/>
  <c r="F40" i="3"/>
  <c r="E40" i="3"/>
  <c r="D40" i="3"/>
  <c r="C40" i="3"/>
  <c r="B40" i="3"/>
  <c r="A40" i="3"/>
  <c r="F39" i="3"/>
  <c r="E39" i="3"/>
  <c r="D39" i="3"/>
  <c r="C39" i="3"/>
  <c r="B39" i="3"/>
  <c r="A39" i="3"/>
  <c r="F38" i="3"/>
  <c r="E38" i="3"/>
  <c r="D38" i="3"/>
  <c r="C38" i="3"/>
  <c r="B38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B39" i="4"/>
  <c r="K11" i="4"/>
  <c r="J11" i="4"/>
  <c r="I11" i="4"/>
  <c r="H11" i="4"/>
  <c r="G11" i="4"/>
  <c r="F11" i="4"/>
  <c r="E11" i="4"/>
  <c r="D11" i="4"/>
  <c r="C11" i="4"/>
  <c r="B11" i="4"/>
  <c r="A11" i="4"/>
  <c r="K10" i="4"/>
  <c r="J10" i="4"/>
  <c r="I10" i="4"/>
  <c r="H10" i="4"/>
  <c r="G10" i="4"/>
  <c r="F10" i="4"/>
  <c r="E10" i="4"/>
  <c r="D10" i="4"/>
  <c r="C10" i="4"/>
  <c r="B10" i="4"/>
  <c r="B23" i="4" s="1"/>
  <c r="A10" i="4"/>
  <c r="K9" i="4"/>
  <c r="J9" i="4"/>
  <c r="I9" i="4"/>
  <c r="H9" i="4"/>
  <c r="G9" i="4"/>
  <c r="F9" i="4"/>
  <c r="E9" i="4"/>
  <c r="D9" i="4"/>
  <c r="C9" i="4"/>
  <c r="B9" i="4"/>
  <c r="B15" i="4" s="1"/>
  <c r="A9" i="4"/>
  <c r="K8" i="4"/>
  <c r="J8" i="4"/>
  <c r="I8" i="4"/>
  <c r="H8" i="4"/>
  <c r="G8" i="4"/>
  <c r="F8" i="4"/>
  <c r="E8" i="4"/>
  <c r="D8" i="4"/>
  <c r="C8" i="4"/>
  <c r="B8" i="4"/>
  <c r="A8" i="4"/>
  <c r="C29" i="4" s="1" a="1"/>
  <c r="K7" i="4"/>
  <c r="B29" i="4" s="1"/>
  <c r="J7" i="4"/>
  <c r="B30" i="4" s="1"/>
  <c r="I7" i="4"/>
  <c r="B31" i="4" s="1"/>
  <c r="H7" i="4"/>
  <c r="B32" i="4" s="1"/>
  <c r="G7" i="4"/>
  <c r="B33" i="4" s="1"/>
  <c r="F7" i="4"/>
  <c r="B34" i="4" s="1"/>
  <c r="E7" i="4"/>
  <c r="B35" i="4" s="1"/>
  <c r="D7" i="4"/>
  <c r="B36" i="4" s="1"/>
  <c r="C7" i="4"/>
  <c r="B37" i="4" s="1"/>
  <c r="B7" i="4"/>
  <c r="B38" i="4" s="1"/>
  <c r="B24" i="4"/>
  <c r="J323" i="4"/>
  <c r="I323" i="4"/>
  <c r="H323" i="4"/>
  <c r="G323" i="4"/>
  <c r="F323" i="4"/>
  <c r="E323" i="4"/>
  <c r="D323" i="4"/>
  <c r="C323" i="4"/>
  <c r="B323" i="4"/>
  <c r="A323" i="4"/>
  <c r="J322" i="4"/>
  <c r="I322" i="4"/>
  <c r="H322" i="4"/>
  <c r="G322" i="4"/>
  <c r="F322" i="4"/>
  <c r="E322" i="4"/>
  <c r="D322" i="4"/>
  <c r="C322" i="4"/>
  <c r="B322" i="4"/>
  <c r="A322" i="4"/>
  <c r="J321" i="4"/>
  <c r="I321" i="4"/>
  <c r="H321" i="4"/>
  <c r="G321" i="4"/>
  <c r="F321" i="4"/>
  <c r="E321" i="4"/>
  <c r="D321" i="4"/>
  <c r="C321" i="4"/>
  <c r="B321" i="4"/>
  <c r="A321" i="4"/>
  <c r="J320" i="4"/>
  <c r="I320" i="4"/>
  <c r="H320" i="4"/>
  <c r="G320" i="4"/>
  <c r="F320" i="4"/>
  <c r="E320" i="4"/>
  <c r="D320" i="4"/>
  <c r="C320" i="4"/>
  <c r="B320" i="4"/>
  <c r="A320" i="4"/>
  <c r="J319" i="4"/>
  <c r="I319" i="4"/>
  <c r="H319" i="4"/>
  <c r="G319" i="4"/>
  <c r="F319" i="4"/>
  <c r="E319" i="4"/>
  <c r="D319" i="4"/>
  <c r="C319" i="4"/>
  <c r="B319" i="4"/>
  <c r="A319" i="4"/>
  <c r="J318" i="4"/>
  <c r="I318" i="4"/>
  <c r="H318" i="4"/>
  <c r="G318" i="4"/>
  <c r="F318" i="4"/>
  <c r="E318" i="4"/>
  <c r="D318" i="4"/>
  <c r="C318" i="4"/>
  <c r="B318" i="4"/>
  <c r="A318" i="4"/>
  <c r="J317" i="4"/>
  <c r="I317" i="4"/>
  <c r="H317" i="4"/>
  <c r="G317" i="4"/>
  <c r="F317" i="4"/>
  <c r="E317" i="4"/>
  <c r="D317" i="4"/>
  <c r="C317" i="4"/>
  <c r="B317" i="4"/>
  <c r="A317" i="4"/>
  <c r="J316" i="4"/>
  <c r="I316" i="4"/>
  <c r="H316" i="4"/>
  <c r="G316" i="4"/>
  <c r="F316" i="4"/>
  <c r="E316" i="4"/>
  <c r="D316" i="4"/>
  <c r="C316" i="4"/>
  <c r="B316" i="4"/>
  <c r="A316" i="4"/>
  <c r="J315" i="4"/>
  <c r="I315" i="4"/>
  <c r="H315" i="4"/>
  <c r="G315" i="4"/>
  <c r="F315" i="4"/>
  <c r="E315" i="4"/>
  <c r="D315" i="4"/>
  <c r="C315" i="4"/>
  <c r="B315" i="4"/>
  <c r="A315" i="4"/>
  <c r="J314" i="4"/>
  <c r="I314" i="4"/>
  <c r="H314" i="4"/>
  <c r="G314" i="4"/>
  <c r="F314" i="4"/>
  <c r="E314" i="4"/>
  <c r="D314" i="4"/>
  <c r="C314" i="4"/>
  <c r="B314" i="4"/>
  <c r="A314" i="4"/>
  <c r="J313" i="4"/>
  <c r="I313" i="4"/>
  <c r="H313" i="4"/>
  <c r="G313" i="4"/>
  <c r="F313" i="4"/>
  <c r="E313" i="4"/>
  <c r="D313" i="4"/>
  <c r="C313" i="4"/>
  <c r="B313" i="4"/>
  <c r="A313" i="4"/>
  <c r="J312" i="4"/>
  <c r="I312" i="4"/>
  <c r="H312" i="4"/>
  <c r="G312" i="4"/>
  <c r="F312" i="4"/>
  <c r="E312" i="4"/>
  <c r="D312" i="4"/>
  <c r="C312" i="4"/>
  <c r="B312" i="4"/>
  <c r="A312" i="4"/>
  <c r="J311" i="4"/>
  <c r="I311" i="4"/>
  <c r="H311" i="4"/>
  <c r="G311" i="4"/>
  <c r="F311" i="4"/>
  <c r="E311" i="4"/>
  <c r="D311" i="4"/>
  <c r="C311" i="4"/>
  <c r="B311" i="4"/>
  <c r="A311" i="4"/>
  <c r="J310" i="4"/>
  <c r="I310" i="4"/>
  <c r="H310" i="4"/>
  <c r="G310" i="4"/>
  <c r="F310" i="4"/>
  <c r="E310" i="4"/>
  <c r="D310" i="4"/>
  <c r="C310" i="4"/>
  <c r="B310" i="4"/>
  <c r="A310" i="4"/>
  <c r="J309" i="4"/>
  <c r="I309" i="4"/>
  <c r="H309" i="4"/>
  <c r="G309" i="4"/>
  <c r="F309" i="4"/>
  <c r="E309" i="4"/>
  <c r="D309" i="4"/>
  <c r="C309" i="4"/>
  <c r="B309" i="4"/>
  <c r="A309" i="4"/>
  <c r="J308" i="4"/>
  <c r="I308" i="4"/>
  <c r="H308" i="4"/>
  <c r="G308" i="4"/>
  <c r="F308" i="4"/>
  <c r="E308" i="4"/>
  <c r="D308" i="4"/>
  <c r="C308" i="4"/>
  <c r="B308" i="4"/>
  <c r="A308" i="4"/>
  <c r="J307" i="4"/>
  <c r="I307" i="4"/>
  <c r="H307" i="4"/>
  <c r="G307" i="4"/>
  <c r="F307" i="4"/>
  <c r="E307" i="4"/>
  <c r="D307" i="4"/>
  <c r="C307" i="4"/>
  <c r="B307" i="4"/>
  <c r="A307" i="4"/>
  <c r="J306" i="4"/>
  <c r="I306" i="4"/>
  <c r="H306" i="4"/>
  <c r="G306" i="4"/>
  <c r="F306" i="4"/>
  <c r="E306" i="4"/>
  <c r="D306" i="4"/>
  <c r="C306" i="4"/>
  <c r="B306" i="4"/>
  <c r="A306" i="4"/>
  <c r="J305" i="4"/>
  <c r="I305" i="4"/>
  <c r="H305" i="4"/>
  <c r="G305" i="4"/>
  <c r="F305" i="4"/>
  <c r="E305" i="4"/>
  <c r="D305" i="4"/>
  <c r="C305" i="4"/>
  <c r="B305" i="4"/>
  <c r="A305" i="4"/>
  <c r="J304" i="4"/>
  <c r="I304" i="4"/>
  <c r="H304" i="4"/>
  <c r="G304" i="4"/>
  <c r="F304" i="4"/>
  <c r="E304" i="4"/>
  <c r="D304" i="4"/>
  <c r="C304" i="4"/>
  <c r="B304" i="4"/>
  <c r="A304" i="4"/>
  <c r="J303" i="4"/>
  <c r="I303" i="4"/>
  <c r="H303" i="4"/>
  <c r="G303" i="4"/>
  <c r="F303" i="4"/>
  <c r="E303" i="4"/>
  <c r="D303" i="4"/>
  <c r="C303" i="4"/>
  <c r="B303" i="4"/>
  <c r="A303" i="4"/>
  <c r="J302" i="4"/>
  <c r="I302" i="4"/>
  <c r="H302" i="4"/>
  <c r="G302" i="4"/>
  <c r="F302" i="4"/>
  <c r="E302" i="4"/>
  <c r="D302" i="4"/>
  <c r="C302" i="4"/>
  <c r="B302" i="4"/>
  <c r="A302" i="4"/>
  <c r="J301" i="4"/>
  <c r="I301" i="4"/>
  <c r="H301" i="4"/>
  <c r="G301" i="4"/>
  <c r="F301" i="4"/>
  <c r="E301" i="4"/>
  <c r="D301" i="4"/>
  <c r="C301" i="4"/>
  <c r="B301" i="4"/>
  <c r="A301" i="4"/>
  <c r="J300" i="4"/>
  <c r="I300" i="4"/>
  <c r="H300" i="4"/>
  <c r="G300" i="4"/>
  <c r="F300" i="4"/>
  <c r="E300" i="4"/>
  <c r="D300" i="4"/>
  <c r="C300" i="4"/>
  <c r="B300" i="4"/>
  <c r="A300" i="4"/>
  <c r="J299" i="4"/>
  <c r="I299" i="4"/>
  <c r="H299" i="4"/>
  <c r="G299" i="4"/>
  <c r="F299" i="4"/>
  <c r="E299" i="4"/>
  <c r="D299" i="4"/>
  <c r="C299" i="4"/>
  <c r="B299" i="4"/>
  <c r="A299" i="4"/>
  <c r="J298" i="4"/>
  <c r="I298" i="4"/>
  <c r="H298" i="4"/>
  <c r="G298" i="4"/>
  <c r="F298" i="4"/>
  <c r="E298" i="4"/>
  <c r="D298" i="4"/>
  <c r="C298" i="4"/>
  <c r="B298" i="4"/>
  <c r="A298" i="4"/>
  <c r="J297" i="4"/>
  <c r="I297" i="4"/>
  <c r="H297" i="4"/>
  <c r="G297" i="4"/>
  <c r="F297" i="4"/>
  <c r="E297" i="4"/>
  <c r="D297" i="4"/>
  <c r="C297" i="4"/>
  <c r="B297" i="4"/>
  <c r="A297" i="4"/>
  <c r="J296" i="4"/>
  <c r="I296" i="4"/>
  <c r="H296" i="4"/>
  <c r="G296" i="4"/>
  <c r="F296" i="4"/>
  <c r="E296" i="4"/>
  <c r="D296" i="4"/>
  <c r="C296" i="4"/>
  <c r="B296" i="4"/>
  <c r="A296" i="4"/>
  <c r="J295" i="4"/>
  <c r="I295" i="4"/>
  <c r="H295" i="4"/>
  <c r="G295" i="4"/>
  <c r="F295" i="4"/>
  <c r="E295" i="4"/>
  <c r="D295" i="4"/>
  <c r="C295" i="4"/>
  <c r="B295" i="4"/>
  <c r="A295" i="4"/>
  <c r="J294" i="4"/>
  <c r="I294" i="4"/>
  <c r="H294" i="4"/>
  <c r="G294" i="4"/>
  <c r="F294" i="4"/>
  <c r="E294" i="4"/>
  <c r="D294" i="4"/>
  <c r="C294" i="4"/>
  <c r="B294" i="4"/>
  <c r="A294" i="4"/>
  <c r="J293" i="4"/>
  <c r="I293" i="4"/>
  <c r="H293" i="4"/>
  <c r="G293" i="4"/>
  <c r="F293" i="4"/>
  <c r="E293" i="4"/>
  <c r="D293" i="4"/>
  <c r="C293" i="4"/>
  <c r="B293" i="4"/>
  <c r="A293" i="4"/>
  <c r="J292" i="4"/>
  <c r="I292" i="4"/>
  <c r="H292" i="4"/>
  <c r="G292" i="4"/>
  <c r="F292" i="4"/>
  <c r="E292" i="4"/>
  <c r="D292" i="4"/>
  <c r="C292" i="4"/>
  <c r="B292" i="4"/>
  <c r="A292" i="4"/>
  <c r="J291" i="4"/>
  <c r="I291" i="4"/>
  <c r="H291" i="4"/>
  <c r="G291" i="4"/>
  <c r="F291" i="4"/>
  <c r="E291" i="4"/>
  <c r="D291" i="4"/>
  <c r="C291" i="4"/>
  <c r="B291" i="4"/>
  <c r="A291" i="4"/>
  <c r="J290" i="4"/>
  <c r="I290" i="4"/>
  <c r="H290" i="4"/>
  <c r="G290" i="4"/>
  <c r="F290" i="4"/>
  <c r="E290" i="4"/>
  <c r="D290" i="4"/>
  <c r="C290" i="4"/>
  <c r="B290" i="4"/>
  <c r="A290" i="4"/>
  <c r="J289" i="4"/>
  <c r="I289" i="4"/>
  <c r="H289" i="4"/>
  <c r="G289" i="4"/>
  <c r="F289" i="4"/>
  <c r="E289" i="4"/>
  <c r="D289" i="4"/>
  <c r="C289" i="4"/>
  <c r="B289" i="4"/>
  <c r="A289" i="4"/>
  <c r="J288" i="4"/>
  <c r="I288" i="4"/>
  <c r="H288" i="4"/>
  <c r="G288" i="4"/>
  <c r="F288" i="4"/>
  <c r="E288" i="4"/>
  <c r="D288" i="4"/>
  <c r="C288" i="4"/>
  <c r="B288" i="4"/>
  <c r="A288" i="4"/>
  <c r="J287" i="4"/>
  <c r="I287" i="4"/>
  <c r="H287" i="4"/>
  <c r="G287" i="4"/>
  <c r="F287" i="4"/>
  <c r="E287" i="4"/>
  <c r="D287" i="4"/>
  <c r="C287" i="4"/>
  <c r="B287" i="4"/>
  <c r="A287" i="4"/>
  <c r="J286" i="4"/>
  <c r="I286" i="4"/>
  <c r="H286" i="4"/>
  <c r="G286" i="4"/>
  <c r="F286" i="4"/>
  <c r="E286" i="4"/>
  <c r="D286" i="4"/>
  <c r="C286" i="4"/>
  <c r="B286" i="4"/>
  <c r="A286" i="4"/>
  <c r="J285" i="4"/>
  <c r="I285" i="4"/>
  <c r="H285" i="4"/>
  <c r="G285" i="4"/>
  <c r="F285" i="4"/>
  <c r="E285" i="4"/>
  <c r="D285" i="4"/>
  <c r="C285" i="4"/>
  <c r="B285" i="4"/>
  <c r="A285" i="4"/>
  <c r="J284" i="4"/>
  <c r="I284" i="4"/>
  <c r="H284" i="4"/>
  <c r="G284" i="4"/>
  <c r="F284" i="4"/>
  <c r="E284" i="4"/>
  <c r="D284" i="4"/>
  <c r="C284" i="4"/>
  <c r="B284" i="4"/>
  <c r="A284" i="4"/>
  <c r="J283" i="4"/>
  <c r="I283" i="4"/>
  <c r="H283" i="4"/>
  <c r="G283" i="4"/>
  <c r="F283" i="4"/>
  <c r="E283" i="4"/>
  <c r="D283" i="4"/>
  <c r="C283" i="4"/>
  <c r="B283" i="4"/>
  <c r="A283" i="4"/>
  <c r="J282" i="4"/>
  <c r="I282" i="4"/>
  <c r="H282" i="4"/>
  <c r="G282" i="4"/>
  <c r="F282" i="4"/>
  <c r="E282" i="4"/>
  <c r="D282" i="4"/>
  <c r="C282" i="4"/>
  <c r="B282" i="4"/>
  <c r="A282" i="4"/>
  <c r="J281" i="4"/>
  <c r="I281" i="4"/>
  <c r="H281" i="4"/>
  <c r="G281" i="4"/>
  <c r="F281" i="4"/>
  <c r="E281" i="4"/>
  <c r="D281" i="4"/>
  <c r="C281" i="4"/>
  <c r="B281" i="4"/>
  <c r="A281" i="4"/>
  <c r="J280" i="4"/>
  <c r="I280" i="4"/>
  <c r="H280" i="4"/>
  <c r="G280" i="4"/>
  <c r="F280" i="4"/>
  <c r="E280" i="4"/>
  <c r="D280" i="4"/>
  <c r="C280" i="4"/>
  <c r="B280" i="4"/>
  <c r="A280" i="4"/>
  <c r="J279" i="4"/>
  <c r="I279" i="4"/>
  <c r="H279" i="4"/>
  <c r="G279" i="4"/>
  <c r="F279" i="4"/>
  <c r="E279" i="4"/>
  <c r="D279" i="4"/>
  <c r="C279" i="4"/>
  <c r="B279" i="4"/>
  <c r="A279" i="4"/>
  <c r="J278" i="4"/>
  <c r="I278" i="4"/>
  <c r="H278" i="4"/>
  <c r="G278" i="4"/>
  <c r="F278" i="4"/>
  <c r="E278" i="4"/>
  <c r="D278" i="4"/>
  <c r="C278" i="4"/>
  <c r="B278" i="4"/>
  <c r="A278" i="4"/>
  <c r="J277" i="4"/>
  <c r="I277" i="4"/>
  <c r="H277" i="4"/>
  <c r="G277" i="4"/>
  <c r="F277" i="4"/>
  <c r="E277" i="4"/>
  <c r="D277" i="4"/>
  <c r="C277" i="4"/>
  <c r="B277" i="4"/>
  <c r="A277" i="4"/>
  <c r="J276" i="4"/>
  <c r="I276" i="4"/>
  <c r="H276" i="4"/>
  <c r="G276" i="4"/>
  <c r="F276" i="4"/>
  <c r="E276" i="4"/>
  <c r="D276" i="4"/>
  <c r="C276" i="4"/>
  <c r="B276" i="4"/>
  <c r="A276" i="4"/>
  <c r="J275" i="4"/>
  <c r="I275" i="4"/>
  <c r="H275" i="4"/>
  <c r="G275" i="4"/>
  <c r="F275" i="4"/>
  <c r="E275" i="4"/>
  <c r="D275" i="4"/>
  <c r="C275" i="4"/>
  <c r="B275" i="4"/>
  <c r="A275" i="4"/>
  <c r="J274" i="4"/>
  <c r="I274" i="4"/>
  <c r="H274" i="4"/>
  <c r="G274" i="4"/>
  <c r="F274" i="4"/>
  <c r="E274" i="4"/>
  <c r="D274" i="4"/>
  <c r="C274" i="4"/>
  <c r="B274" i="4"/>
  <c r="A274" i="4"/>
  <c r="J273" i="4"/>
  <c r="I273" i="4"/>
  <c r="H273" i="4"/>
  <c r="G273" i="4"/>
  <c r="F273" i="4"/>
  <c r="E273" i="4"/>
  <c r="D273" i="4"/>
  <c r="C273" i="4"/>
  <c r="B273" i="4"/>
  <c r="A273" i="4"/>
  <c r="J272" i="4"/>
  <c r="I272" i="4"/>
  <c r="H272" i="4"/>
  <c r="G272" i="4"/>
  <c r="F272" i="4"/>
  <c r="E272" i="4"/>
  <c r="D272" i="4"/>
  <c r="C272" i="4"/>
  <c r="B272" i="4"/>
  <c r="A272" i="4"/>
  <c r="J271" i="4"/>
  <c r="I271" i="4"/>
  <c r="H271" i="4"/>
  <c r="G271" i="4"/>
  <c r="F271" i="4"/>
  <c r="E271" i="4"/>
  <c r="D271" i="4"/>
  <c r="C271" i="4"/>
  <c r="B271" i="4"/>
  <c r="A271" i="4"/>
  <c r="J270" i="4"/>
  <c r="I270" i="4"/>
  <c r="H270" i="4"/>
  <c r="G270" i="4"/>
  <c r="F270" i="4"/>
  <c r="E270" i="4"/>
  <c r="D270" i="4"/>
  <c r="C270" i="4"/>
  <c r="B270" i="4"/>
  <c r="A270" i="4"/>
  <c r="J269" i="4"/>
  <c r="I269" i="4"/>
  <c r="H269" i="4"/>
  <c r="G269" i="4"/>
  <c r="F269" i="4"/>
  <c r="E269" i="4"/>
  <c r="D269" i="4"/>
  <c r="C269" i="4"/>
  <c r="B269" i="4"/>
  <c r="A269" i="4"/>
  <c r="J268" i="4"/>
  <c r="I268" i="4"/>
  <c r="H268" i="4"/>
  <c r="G268" i="4"/>
  <c r="F268" i="4"/>
  <c r="E268" i="4"/>
  <c r="D268" i="4"/>
  <c r="C268" i="4"/>
  <c r="B268" i="4"/>
  <c r="A268" i="4"/>
  <c r="J267" i="4"/>
  <c r="I267" i="4"/>
  <c r="H267" i="4"/>
  <c r="G267" i="4"/>
  <c r="F267" i="4"/>
  <c r="E267" i="4"/>
  <c r="D267" i="4"/>
  <c r="C267" i="4"/>
  <c r="B267" i="4"/>
  <c r="A267" i="4"/>
  <c r="J266" i="4"/>
  <c r="I266" i="4"/>
  <c r="H266" i="4"/>
  <c r="G266" i="4"/>
  <c r="F266" i="4"/>
  <c r="E266" i="4"/>
  <c r="D266" i="4"/>
  <c r="C266" i="4"/>
  <c r="B266" i="4"/>
  <c r="A266" i="4"/>
  <c r="J265" i="4"/>
  <c r="I265" i="4"/>
  <c r="H265" i="4"/>
  <c r="G265" i="4"/>
  <c r="F265" i="4"/>
  <c r="E265" i="4"/>
  <c r="D265" i="4"/>
  <c r="C265" i="4"/>
  <c r="B265" i="4"/>
  <c r="A265" i="4"/>
  <c r="J264" i="4"/>
  <c r="I264" i="4"/>
  <c r="H264" i="4"/>
  <c r="G264" i="4"/>
  <c r="F264" i="4"/>
  <c r="E264" i="4"/>
  <c r="D264" i="4"/>
  <c r="C264" i="4"/>
  <c r="B264" i="4"/>
  <c r="A264" i="4"/>
  <c r="J263" i="4"/>
  <c r="I263" i="4"/>
  <c r="H263" i="4"/>
  <c r="G263" i="4"/>
  <c r="F263" i="4"/>
  <c r="E263" i="4"/>
  <c r="D263" i="4"/>
  <c r="C263" i="4"/>
  <c r="B263" i="4"/>
  <c r="A263" i="4"/>
  <c r="J262" i="4"/>
  <c r="I262" i="4"/>
  <c r="H262" i="4"/>
  <c r="G262" i="4"/>
  <c r="F262" i="4"/>
  <c r="E262" i="4"/>
  <c r="D262" i="4"/>
  <c r="C262" i="4"/>
  <c r="B262" i="4"/>
  <c r="A262" i="4"/>
  <c r="J261" i="4"/>
  <c r="I261" i="4"/>
  <c r="H261" i="4"/>
  <c r="G261" i="4"/>
  <c r="F261" i="4"/>
  <c r="E261" i="4"/>
  <c r="D261" i="4"/>
  <c r="C261" i="4"/>
  <c r="B261" i="4"/>
  <c r="A261" i="4"/>
  <c r="J260" i="4"/>
  <c r="I260" i="4"/>
  <c r="H260" i="4"/>
  <c r="G260" i="4"/>
  <c r="F260" i="4"/>
  <c r="E260" i="4"/>
  <c r="D260" i="4"/>
  <c r="C260" i="4"/>
  <c r="B260" i="4"/>
  <c r="A260" i="4"/>
  <c r="J259" i="4"/>
  <c r="I259" i="4"/>
  <c r="H259" i="4"/>
  <c r="G259" i="4"/>
  <c r="F259" i="4"/>
  <c r="E259" i="4"/>
  <c r="D259" i="4"/>
  <c r="C259" i="4"/>
  <c r="B259" i="4"/>
  <c r="A259" i="4"/>
  <c r="J258" i="4"/>
  <c r="I258" i="4"/>
  <c r="H258" i="4"/>
  <c r="G258" i="4"/>
  <c r="F258" i="4"/>
  <c r="E258" i="4"/>
  <c r="D258" i="4"/>
  <c r="C258" i="4"/>
  <c r="B258" i="4"/>
  <c r="A258" i="4"/>
  <c r="J257" i="4"/>
  <c r="I257" i="4"/>
  <c r="H257" i="4"/>
  <c r="G257" i="4"/>
  <c r="F257" i="4"/>
  <c r="E257" i="4"/>
  <c r="D257" i="4"/>
  <c r="C257" i="4"/>
  <c r="B257" i="4"/>
  <c r="A257" i="4"/>
  <c r="J256" i="4"/>
  <c r="I256" i="4"/>
  <c r="H256" i="4"/>
  <c r="G256" i="4"/>
  <c r="F256" i="4"/>
  <c r="E256" i="4"/>
  <c r="D256" i="4"/>
  <c r="C256" i="4"/>
  <c r="B256" i="4"/>
  <c r="A256" i="4"/>
  <c r="J255" i="4"/>
  <c r="I255" i="4"/>
  <c r="H255" i="4"/>
  <c r="G255" i="4"/>
  <c r="F255" i="4"/>
  <c r="E255" i="4"/>
  <c r="D255" i="4"/>
  <c r="C255" i="4"/>
  <c r="B255" i="4"/>
  <c r="A255" i="4"/>
  <c r="J254" i="4"/>
  <c r="I254" i="4"/>
  <c r="H254" i="4"/>
  <c r="G254" i="4"/>
  <c r="F254" i="4"/>
  <c r="E254" i="4"/>
  <c r="D254" i="4"/>
  <c r="C254" i="4"/>
  <c r="B254" i="4"/>
  <c r="A254" i="4"/>
  <c r="J253" i="4"/>
  <c r="I253" i="4"/>
  <c r="H253" i="4"/>
  <c r="G253" i="4"/>
  <c r="F253" i="4"/>
  <c r="E253" i="4"/>
  <c r="D253" i="4"/>
  <c r="C253" i="4"/>
  <c r="B253" i="4"/>
  <c r="A253" i="4"/>
  <c r="J252" i="4"/>
  <c r="I252" i="4"/>
  <c r="H252" i="4"/>
  <c r="G252" i="4"/>
  <c r="F252" i="4"/>
  <c r="E252" i="4"/>
  <c r="D252" i="4"/>
  <c r="C252" i="4"/>
  <c r="B252" i="4"/>
  <c r="A252" i="4"/>
  <c r="J251" i="4"/>
  <c r="I251" i="4"/>
  <c r="H251" i="4"/>
  <c r="G251" i="4"/>
  <c r="F251" i="4"/>
  <c r="E251" i="4"/>
  <c r="D251" i="4"/>
  <c r="C251" i="4"/>
  <c r="B251" i="4"/>
  <c r="A251" i="4"/>
  <c r="J250" i="4"/>
  <c r="I250" i="4"/>
  <c r="H250" i="4"/>
  <c r="G250" i="4"/>
  <c r="F250" i="4"/>
  <c r="E250" i="4"/>
  <c r="D250" i="4"/>
  <c r="C250" i="4"/>
  <c r="B250" i="4"/>
  <c r="A250" i="4"/>
  <c r="J249" i="4"/>
  <c r="I249" i="4"/>
  <c r="H249" i="4"/>
  <c r="G249" i="4"/>
  <c r="F249" i="4"/>
  <c r="E249" i="4"/>
  <c r="D249" i="4"/>
  <c r="C249" i="4"/>
  <c r="B249" i="4"/>
  <c r="A249" i="4"/>
  <c r="J248" i="4"/>
  <c r="I248" i="4"/>
  <c r="H248" i="4"/>
  <c r="G248" i="4"/>
  <c r="F248" i="4"/>
  <c r="E248" i="4"/>
  <c r="D248" i="4"/>
  <c r="C248" i="4"/>
  <c r="B248" i="4"/>
  <c r="A248" i="4"/>
  <c r="J247" i="4"/>
  <c r="I247" i="4"/>
  <c r="H247" i="4"/>
  <c r="G247" i="4"/>
  <c r="F247" i="4"/>
  <c r="E247" i="4"/>
  <c r="D247" i="4"/>
  <c r="C247" i="4"/>
  <c r="B247" i="4"/>
  <c r="A247" i="4"/>
  <c r="J246" i="4"/>
  <c r="I246" i="4"/>
  <c r="H246" i="4"/>
  <c r="G246" i="4"/>
  <c r="F246" i="4"/>
  <c r="E246" i="4"/>
  <c r="D246" i="4"/>
  <c r="C246" i="4"/>
  <c r="B246" i="4"/>
  <c r="A246" i="4"/>
  <c r="J245" i="4"/>
  <c r="I245" i="4"/>
  <c r="H245" i="4"/>
  <c r="G245" i="4"/>
  <c r="F245" i="4"/>
  <c r="E245" i="4"/>
  <c r="D245" i="4"/>
  <c r="C245" i="4"/>
  <c r="B245" i="4"/>
  <c r="A245" i="4"/>
  <c r="J244" i="4"/>
  <c r="I244" i="4"/>
  <c r="H244" i="4"/>
  <c r="G244" i="4"/>
  <c r="F244" i="4"/>
  <c r="E244" i="4"/>
  <c r="D244" i="4"/>
  <c r="C244" i="4"/>
  <c r="B244" i="4"/>
  <c r="A244" i="4"/>
  <c r="J243" i="4"/>
  <c r="I243" i="4"/>
  <c r="H243" i="4"/>
  <c r="G243" i="4"/>
  <c r="F243" i="4"/>
  <c r="E243" i="4"/>
  <c r="D243" i="4"/>
  <c r="C243" i="4"/>
  <c r="B243" i="4"/>
  <c r="A243" i="4"/>
  <c r="J242" i="4"/>
  <c r="I242" i="4"/>
  <c r="H242" i="4"/>
  <c r="G242" i="4"/>
  <c r="F242" i="4"/>
  <c r="E242" i="4"/>
  <c r="D242" i="4"/>
  <c r="C242" i="4"/>
  <c r="B242" i="4"/>
  <c r="A242" i="4"/>
  <c r="J241" i="4"/>
  <c r="I241" i="4"/>
  <c r="H241" i="4"/>
  <c r="G241" i="4"/>
  <c r="F241" i="4"/>
  <c r="E241" i="4"/>
  <c r="D241" i="4"/>
  <c r="C241" i="4"/>
  <c r="B241" i="4"/>
  <c r="A241" i="4"/>
  <c r="J240" i="4"/>
  <c r="I240" i="4"/>
  <c r="H240" i="4"/>
  <c r="G240" i="4"/>
  <c r="F240" i="4"/>
  <c r="E240" i="4"/>
  <c r="D240" i="4"/>
  <c r="C240" i="4"/>
  <c r="B240" i="4"/>
  <c r="A240" i="4"/>
  <c r="J239" i="4"/>
  <c r="I239" i="4"/>
  <c r="H239" i="4"/>
  <c r="G239" i="4"/>
  <c r="F239" i="4"/>
  <c r="E239" i="4"/>
  <c r="D239" i="4"/>
  <c r="C239" i="4"/>
  <c r="B239" i="4"/>
  <c r="A239" i="4"/>
  <c r="J238" i="4"/>
  <c r="I238" i="4"/>
  <c r="H238" i="4"/>
  <c r="G238" i="4"/>
  <c r="F238" i="4"/>
  <c r="E238" i="4"/>
  <c r="D238" i="4"/>
  <c r="C238" i="4"/>
  <c r="B238" i="4"/>
  <c r="A238" i="4"/>
  <c r="J237" i="4"/>
  <c r="I237" i="4"/>
  <c r="H237" i="4"/>
  <c r="G237" i="4"/>
  <c r="F237" i="4"/>
  <c r="E237" i="4"/>
  <c r="D237" i="4"/>
  <c r="C237" i="4"/>
  <c r="B237" i="4"/>
  <c r="A237" i="4"/>
  <c r="J236" i="4"/>
  <c r="I236" i="4"/>
  <c r="H236" i="4"/>
  <c r="G236" i="4"/>
  <c r="F236" i="4"/>
  <c r="E236" i="4"/>
  <c r="D236" i="4"/>
  <c r="C236" i="4"/>
  <c r="B236" i="4"/>
  <c r="A236" i="4"/>
  <c r="J235" i="4"/>
  <c r="I235" i="4"/>
  <c r="H235" i="4"/>
  <c r="G235" i="4"/>
  <c r="F235" i="4"/>
  <c r="E235" i="4"/>
  <c r="D235" i="4"/>
  <c r="C235" i="4"/>
  <c r="B235" i="4"/>
  <c r="A235" i="4"/>
  <c r="J234" i="4"/>
  <c r="I234" i="4"/>
  <c r="H234" i="4"/>
  <c r="G234" i="4"/>
  <c r="F234" i="4"/>
  <c r="E234" i="4"/>
  <c r="D234" i="4"/>
  <c r="C234" i="4"/>
  <c r="B234" i="4"/>
  <c r="A234" i="4"/>
  <c r="J233" i="4"/>
  <c r="I233" i="4"/>
  <c r="H233" i="4"/>
  <c r="G233" i="4"/>
  <c r="F233" i="4"/>
  <c r="E233" i="4"/>
  <c r="D233" i="4"/>
  <c r="C233" i="4"/>
  <c r="B233" i="4"/>
  <c r="A233" i="4"/>
  <c r="J232" i="4"/>
  <c r="I232" i="4"/>
  <c r="H232" i="4"/>
  <c r="G232" i="4"/>
  <c r="F232" i="4"/>
  <c r="E232" i="4"/>
  <c r="D232" i="4"/>
  <c r="C232" i="4"/>
  <c r="B232" i="4"/>
  <c r="A232" i="4"/>
  <c r="J231" i="4"/>
  <c r="I231" i="4"/>
  <c r="H231" i="4"/>
  <c r="G231" i="4"/>
  <c r="F231" i="4"/>
  <c r="E231" i="4"/>
  <c r="D231" i="4"/>
  <c r="C231" i="4"/>
  <c r="B231" i="4"/>
  <c r="A231" i="4"/>
  <c r="J230" i="4"/>
  <c r="I230" i="4"/>
  <c r="H230" i="4"/>
  <c r="G230" i="4"/>
  <c r="F230" i="4"/>
  <c r="E230" i="4"/>
  <c r="D230" i="4"/>
  <c r="C230" i="4"/>
  <c r="B230" i="4"/>
  <c r="A230" i="4"/>
  <c r="J229" i="4"/>
  <c r="I229" i="4"/>
  <c r="H229" i="4"/>
  <c r="G229" i="4"/>
  <c r="F229" i="4"/>
  <c r="E229" i="4"/>
  <c r="D229" i="4"/>
  <c r="C229" i="4"/>
  <c r="B229" i="4"/>
  <c r="A229" i="4"/>
  <c r="J228" i="4"/>
  <c r="I228" i="4"/>
  <c r="H228" i="4"/>
  <c r="G228" i="4"/>
  <c r="F228" i="4"/>
  <c r="E228" i="4"/>
  <c r="D228" i="4"/>
  <c r="C228" i="4"/>
  <c r="B228" i="4"/>
  <c r="A228" i="4"/>
  <c r="J227" i="4"/>
  <c r="I227" i="4"/>
  <c r="H227" i="4"/>
  <c r="G227" i="4"/>
  <c r="F227" i="4"/>
  <c r="E227" i="4"/>
  <c r="D227" i="4"/>
  <c r="C227" i="4"/>
  <c r="B227" i="4"/>
  <c r="A227" i="4"/>
  <c r="J226" i="4"/>
  <c r="I226" i="4"/>
  <c r="H226" i="4"/>
  <c r="G226" i="4"/>
  <c r="F226" i="4"/>
  <c r="E226" i="4"/>
  <c r="D226" i="4"/>
  <c r="C226" i="4"/>
  <c r="B226" i="4"/>
  <c r="A226" i="4"/>
  <c r="J225" i="4"/>
  <c r="I225" i="4"/>
  <c r="H225" i="4"/>
  <c r="G225" i="4"/>
  <c r="F225" i="4"/>
  <c r="E225" i="4"/>
  <c r="D225" i="4"/>
  <c r="C225" i="4"/>
  <c r="B225" i="4"/>
  <c r="A225" i="4"/>
  <c r="J224" i="4"/>
  <c r="I224" i="4"/>
  <c r="H224" i="4"/>
  <c r="G224" i="4"/>
  <c r="F224" i="4"/>
  <c r="E224" i="4"/>
  <c r="D224" i="4"/>
  <c r="C224" i="4"/>
  <c r="B224" i="4"/>
  <c r="A224" i="4"/>
  <c r="J223" i="4"/>
  <c r="I223" i="4"/>
  <c r="H223" i="4"/>
  <c r="G223" i="4"/>
  <c r="F223" i="4"/>
  <c r="E223" i="4"/>
  <c r="D223" i="4"/>
  <c r="C223" i="4"/>
  <c r="B223" i="4"/>
  <c r="A223" i="4"/>
  <c r="J222" i="4"/>
  <c r="I222" i="4"/>
  <c r="H222" i="4"/>
  <c r="G222" i="4"/>
  <c r="F222" i="4"/>
  <c r="E222" i="4"/>
  <c r="D222" i="4"/>
  <c r="C222" i="4"/>
  <c r="B222" i="4"/>
  <c r="A222" i="4"/>
  <c r="J221" i="4"/>
  <c r="I221" i="4"/>
  <c r="H221" i="4"/>
  <c r="G221" i="4"/>
  <c r="F221" i="4"/>
  <c r="E221" i="4"/>
  <c r="D221" i="4"/>
  <c r="C221" i="4"/>
  <c r="B221" i="4"/>
  <c r="A221" i="4"/>
  <c r="J220" i="4"/>
  <c r="I220" i="4"/>
  <c r="H220" i="4"/>
  <c r="G220" i="4"/>
  <c r="F220" i="4"/>
  <c r="E220" i="4"/>
  <c r="D220" i="4"/>
  <c r="C220" i="4"/>
  <c r="B220" i="4"/>
  <c r="A220" i="4"/>
  <c r="J219" i="4"/>
  <c r="I219" i="4"/>
  <c r="H219" i="4"/>
  <c r="G219" i="4"/>
  <c r="F219" i="4"/>
  <c r="E219" i="4"/>
  <c r="D219" i="4"/>
  <c r="C219" i="4"/>
  <c r="B219" i="4"/>
  <c r="A219" i="4"/>
  <c r="J218" i="4"/>
  <c r="I218" i="4"/>
  <c r="H218" i="4"/>
  <c r="G218" i="4"/>
  <c r="F218" i="4"/>
  <c r="E218" i="4"/>
  <c r="D218" i="4"/>
  <c r="C218" i="4"/>
  <c r="B218" i="4"/>
  <c r="A218" i="4"/>
  <c r="J217" i="4"/>
  <c r="I217" i="4"/>
  <c r="H217" i="4"/>
  <c r="G217" i="4"/>
  <c r="F217" i="4"/>
  <c r="E217" i="4"/>
  <c r="D217" i="4"/>
  <c r="C217" i="4"/>
  <c r="B217" i="4"/>
  <c r="A217" i="4"/>
  <c r="J216" i="4"/>
  <c r="I216" i="4"/>
  <c r="H216" i="4"/>
  <c r="G216" i="4"/>
  <c r="F216" i="4"/>
  <c r="E216" i="4"/>
  <c r="D216" i="4"/>
  <c r="C216" i="4"/>
  <c r="B216" i="4"/>
  <c r="A216" i="4"/>
  <c r="J215" i="4"/>
  <c r="I215" i="4"/>
  <c r="H215" i="4"/>
  <c r="G215" i="4"/>
  <c r="F215" i="4"/>
  <c r="E215" i="4"/>
  <c r="D215" i="4"/>
  <c r="C215" i="4"/>
  <c r="B215" i="4"/>
  <c r="A215" i="4"/>
  <c r="J214" i="4"/>
  <c r="I214" i="4"/>
  <c r="H214" i="4"/>
  <c r="G214" i="4"/>
  <c r="F214" i="4"/>
  <c r="E214" i="4"/>
  <c r="D214" i="4"/>
  <c r="C214" i="4"/>
  <c r="B214" i="4"/>
  <c r="A214" i="4"/>
  <c r="J213" i="4"/>
  <c r="I213" i="4"/>
  <c r="H213" i="4"/>
  <c r="G213" i="4"/>
  <c r="F213" i="4"/>
  <c r="E213" i="4"/>
  <c r="D213" i="4"/>
  <c r="C213" i="4"/>
  <c r="B213" i="4"/>
  <c r="A213" i="4"/>
  <c r="J212" i="4"/>
  <c r="I212" i="4"/>
  <c r="H212" i="4"/>
  <c r="G212" i="4"/>
  <c r="F212" i="4"/>
  <c r="E212" i="4"/>
  <c r="D212" i="4"/>
  <c r="C212" i="4"/>
  <c r="B212" i="4"/>
  <c r="A212" i="4"/>
  <c r="J211" i="4"/>
  <c r="I211" i="4"/>
  <c r="H211" i="4"/>
  <c r="G211" i="4"/>
  <c r="F211" i="4"/>
  <c r="E211" i="4"/>
  <c r="D211" i="4"/>
  <c r="C211" i="4"/>
  <c r="B211" i="4"/>
  <c r="A211" i="4"/>
  <c r="J210" i="4"/>
  <c r="I210" i="4"/>
  <c r="H210" i="4"/>
  <c r="G210" i="4"/>
  <c r="F210" i="4"/>
  <c r="E210" i="4"/>
  <c r="D210" i="4"/>
  <c r="C210" i="4"/>
  <c r="B210" i="4"/>
  <c r="A210" i="4"/>
  <c r="J209" i="4"/>
  <c r="I209" i="4"/>
  <c r="H209" i="4"/>
  <c r="G209" i="4"/>
  <c r="F209" i="4"/>
  <c r="E209" i="4"/>
  <c r="D209" i="4"/>
  <c r="C209" i="4"/>
  <c r="B209" i="4"/>
  <c r="A209" i="4"/>
  <c r="J208" i="4"/>
  <c r="I208" i="4"/>
  <c r="H208" i="4"/>
  <c r="G208" i="4"/>
  <c r="F208" i="4"/>
  <c r="E208" i="4"/>
  <c r="D208" i="4"/>
  <c r="C208" i="4"/>
  <c r="B208" i="4"/>
  <c r="A208" i="4"/>
  <c r="J207" i="4"/>
  <c r="I207" i="4"/>
  <c r="H207" i="4"/>
  <c r="G207" i="4"/>
  <c r="F207" i="4"/>
  <c r="E207" i="4"/>
  <c r="D207" i="4"/>
  <c r="C207" i="4"/>
  <c r="B207" i="4"/>
  <c r="A207" i="4"/>
  <c r="J206" i="4"/>
  <c r="I206" i="4"/>
  <c r="H206" i="4"/>
  <c r="G206" i="4"/>
  <c r="F206" i="4"/>
  <c r="E206" i="4"/>
  <c r="D206" i="4"/>
  <c r="C206" i="4"/>
  <c r="B206" i="4"/>
  <c r="A206" i="4"/>
  <c r="J205" i="4"/>
  <c r="I205" i="4"/>
  <c r="H205" i="4"/>
  <c r="G205" i="4"/>
  <c r="F205" i="4"/>
  <c r="E205" i="4"/>
  <c r="D205" i="4"/>
  <c r="C205" i="4"/>
  <c r="B205" i="4"/>
  <c r="A205" i="4"/>
  <c r="J204" i="4"/>
  <c r="I204" i="4"/>
  <c r="H204" i="4"/>
  <c r="G204" i="4"/>
  <c r="F204" i="4"/>
  <c r="E204" i="4"/>
  <c r="D204" i="4"/>
  <c r="C204" i="4"/>
  <c r="B204" i="4"/>
  <c r="A204" i="4"/>
  <c r="J203" i="4"/>
  <c r="I203" i="4"/>
  <c r="H203" i="4"/>
  <c r="G203" i="4"/>
  <c r="F203" i="4"/>
  <c r="E203" i="4"/>
  <c r="D203" i="4"/>
  <c r="C203" i="4"/>
  <c r="B203" i="4"/>
  <c r="A203" i="4"/>
  <c r="J202" i="4"/>
  <c r="I202" i="4"/>
  <c r="H202" i="4"/>
  <c r="G202" i="4"/>
  <c r="F202" i="4"/>
  <c r="E202" i="4"/>
  <c r="D202" i="4"/>
  <c r="C202" i="4"/>
  <c r="B202" i="4"/>
  <c r="A202" i="4"/>
  <c r="J201" i="4"/>
  <c r="I201" i="4"/>
  <c r="H201" i="4"/>
  <c r="G201" i="4"/>
  <c r="F201" i="4"/>
  <c r="E201" i="4"/>
  <c r="D201" i="4"/>
  <c r="C201" i="4"/>
  <c r="B201" i="4"/>
  <c r="A201" i="4"/>
  <c r="J200" i="4"/>
  <c r="I200" i="4"/>
  <c r="H200" i="4"/>
  <c r="G200" i="4"/>
  <c r="F200" i="4"/>
  <c r="E200" i="4"/>
  <c r="D200" i="4"/>
  <c r="C200" i="4"/>
  <c r="B200" i="4"/>
  <c r="A200" i="4"/>
  <c r="J199" i="4"/>
  <c r="I199" i="4"/>
  <c r="H199" i="4"/>
  <c r="G199" i="4"/>
  <c r="F199" i="4"/>
  <c r="E199" i="4"/>
  <c r="D199" i="4"/>
  <c r="C199" i="4"/>
  <c r="B199" i="4"/>
  <c r="A199" i="4"/>
  <c r="J198" i="4"/>
  <c r="I198" i="4"/>
  <c r="H198" i="4"/>
  <c r="G198" i="4"/>
  <c r="F198" i="4"/>
  <c r="E198" i="4"/>
  <c r="D198" i="4"/>
  <c r="C198" i="4"/>
  <c r="B198" i="4"/>
  <c r="A198" i="4"/>
  <c r="J197" i="4"/>
  <c r="I197" i="4"/>
  <c r="H197" i="4"/>
  <c r="G197" i="4"/>
  <c r="F197" i="4"/>
  <c r="E197" i="4"/>
  <c r="D197" i="4"/>
  <c r="C197" i="4"/>
  <c r="B197" i="4"/>
  <c r="A197" i="4"/>
  <c r="J196" i="4"/>
  <c r="I196" i="4"/>
  <c r="H196" i="4"/>
  <c r="G196" i="4"/>
  <c r="F196" i="4"/>
  <c r="E196" i="4"/>
  <c r="D196" i="4"/>
  <c r="C196" i="4"/>
  <c r="B196" i="4"/>
  <c r="A196" i="4"/>
  <c r="J195" i="4"/>
  <c r="I195" i="4"/>
  <c r="H195" i="4"/>
  <c r="G195" i="4"/>
  <c r="F195" i="4"/>
  <c r="E195" i="4"/>
  <c r="D195" i="4"/>
  <c r="C195" i="4"/>
  <c r="B195" i="4"/>
  <c r="A195" i="4"/>
  <c r="J194" i="4"/>
  <c r="I194" i="4"/>
  <c r="H194" i="4"/>
  <c r="G194" i="4"/>
  <c r="F194" i="4"/>
  <c r="E194" i="4"/>
  <c r="D194" i="4"/>
  <c r="C194" i="4"/>
  <c r="B194" i="4"/>
  <c r="A194" i="4"/>
  <c r="J193" i="4"/>
  <c r="I193" i="4"/>
  <c r="H193" i="4"/>
  <c r="G193" i="4"/>
  <c r="F193" i="4"/>
  <c r="E193" i="4"/>
  <c r="D193" i="4"/>
  <c r="C193" i="4"/>
  <c r="B193" i="4"/>
  <c r="A193" i="4"/>
  <c r="J192" i="4"/>
  <c r="I192" i="4"/>
  <c r="H192" i="4"/>
  <c r="G192" i="4"/>
  <c r="F192" i="4"/>
  <c r="E192" i="4"/>
  <c r="D192" i="4"/>
  <c r="C192" i="4"/>
  <c r="B192" i="4"/>
  <c r="A192" i="4"/>
  <c r="J191" i="4"/>
  <c r="I191" i="4"/>
  <c r="H191" i="4"/>
  <c r="G191" i="4"/>
  <c r="F191" i="4"/>
  <c r="E191" i="4"/>
  <c r="D191" i="4"/>
  <c r="C191" i="4"/>
  <c r="B191" i="4"/>
  <c r="A191" i="4"/>
  <c r="J190" i="4"/>
  <c r="I190" i="4"/>
  <c r="H190" i="4"/>
  <c r="G190" i="4"/>
  <c r="F190" i="4"/>
  <c r="E190" i="4"/>
  <c r="D190" i="4"/>
  <c r="C190" i="4"/>
  <c r="B190" i="4"/>
  <c r="A190" i="4"/>
  <c r="J189" i="4"/>
  <c r="I189" i="4"/>
  <c r="H189" i="4"/>
  <c r="G189" i="4"/>
  <c r="F189" i="4"/>
  <c r="E189" i="4"/>
  <c r="D189" i="4"/>
  <c r="C189" i="4"/>
  <c r="B189" i="4"/>
  <c r="A189" i="4"/>
  <c r="J188" i="4"/>
  <c r="I188" i="4"/>
  <c r="H188" i="4"/>
  <c r="G188" i="4"/>
  <c r="F188" i="4"/>
  <c r="E188" i="4"/>
  <c r="D188" i="4"/>
  <c r="C188" i="4"/>
  <c r="B188" i="4"/>
  <c r="A188" i="4"/>
  <c r="J187" i="4"/>
  <c r="I187" i="4"/>
  <c r="H187" i="4"/>
  <c r="G187" i="4"/>
  <c r="F187" i="4"/>
  <c r="E187" i="4"/>
  <c r="D187" i="4"/>
  <c r="C187" i="4"/>
  <c r="B187" i="4"/>
  <c r="A187" i="4"/>
  <c r="J186" i="4"/>
  <c r="I186" i="4"/>
  <c r="H186" i="4"/>
  <c r="G186" i="4"/>
  <c r="F186" i="4"/>
  <c r="E186" i="4"/>
  <c r="D186" i="4"/>
  <c r="C186" i="4"/>
  <c r="B186" i="4"/>
  <c r="A186" i="4"/>
  <c r="J185" i="4"/>
  <c r="I185" i="4"/>
  <c r="H185" i="4"/>
  <c r="G185" i="4"/>
  <c r="F185" i="4"/>
  <c r="E185" i="4"/>
  <c r="D185" i="4"/>
  <c r="C185" i="4"/>
  <c r="B185" i="4"/>
  <c r="A185" i="4"/>
  <c r="J184" i="4"/>
  <c r="I184" i="4"/>
  <c r="H184" i="4"/>
  <c r="G184" i="4"/>
  <c r="F184" i="4"/>
  <c r="E184" i="4"/>
  <c r="D184" i="4"/>
  <c r="C184" i="4"/>
  <c r="B184" i="4"/>
  <c r="A184" i="4"/>
  <c r="J183" i="4"/>
  <c r="I183" i="4"/>
  <c r="H183" i="4"/>
  <c r="G183" i="4"/>
  <c r="F183" i="4"/>
  <c r="E183" i="4"/>
  <c r="D183" i="4"/>
  <c r="C183" i="4"/>
  <c r="B183" i="4"/>
  <c r="A183" i="4"/>
  <c r="J182" i="4"/>
  <c r="I182" i="4"/>
  <c r="H182" i="4"/>
  <c r="G182" i="4"/>
  <c r="F182" i="4"/>
  <c r="E182" i="4"/>
  <c r="D182" i="4"/>
  <c r="C182" i="4"/>
  <c r="B182" i="4"/>
  <c r="A182" i="4"/>
  <c r="J181" i="4"/>
  <c r="I181" i="4"/>
  <c r="H181" i="4"/>
  <c r="G181" i="4"/>
  <c r="F181" i="4"/>
  <c r="E181" i="4"/>
  <c r="D181" i="4"/>
  <c r="C181" i="4"/>
  <c r="B181" i="4"/>
  <c r="A181" i="4"/>
  <c r="J180" i="4"/>
  <c r="I180" i="4"/>
  <c r="H180" i="4"/>
  <c r="G180" i="4"/>
  <c r="F180" i="4"/>
  <c r="E180" i="4"/>
  <c r="D180" i="4"/>
  <c r="C180" i="4"/>
  <c r="B180" i="4"/>
  <c r="A180" i="4"/>
  <c r="J179" i="4"/>
  <c r="I179" i="4"/>
  <c r="H179" i="4"/>
  <c r="G179" i="4"/>
  <c r="F179" i="4"/>
  <c r="E179" i="4"/>
  <c r="D179" i="4"/>
  <c r="C179" i="4"/>
  <c r="B179" i="4"/>
  <c r="A179" i="4"/>
  <c r="J178" i="4"/>
  <c r="I178" i="4"/>
  <c r="H178" i="4"/>
  <c r="G178" i="4"/>
  <c r="F178" i="4"/>
  <c r="E178" i="4"/>
  <c r="D178" i="4"/>
  <c r="C178" i="4"/>
  <c r="B178" i="4"/>
  <c r="A178" i="4"/>
  <c r="J177" i="4"/>
  <c r="I177" i="4"/>
  <c r="H177" i="4"/>
  <c r="G177" i="4"/>
  <c r="F177" i="4"/>
  <c r="E177" i="4"/>
  <c r="D177" i="4"/>
  <c r="C177" i="4"/>
  <c r="B177" i="4"/>
  <c r="A177" i="4"/>
  <c r="J176" i="4"/>
  <c r="I176" i="4"/>
  <c r="H176" i="4"/>
  <c r="G176" i="4"/>
  <c r="F176" i="4"/>
  <c r="E176" i="4"/>
  <c r="D176" i="4"/>
  <c r="C176" i="4"/>
  <c r="B176" i="4"/>
  <c r="A176" i="4"/>
  <c r="J175" i="4"/>
  <c r="I175" i="4"/>
  <c r="H175" i="4"/>
  <c r="G175" i="4"/>
  <c r="F175" i="4"/>
  <c r="E175" i="4"/>
  <c r="D175" i="4"/>
  <c r="C175" i="4"/>
  <c r="B175" i="4"/>
  <c r="A175" i="4"/>
  <c r="J174" i="4"/>
  <c r="I174" i="4"/>
  <c r="H174" i="4"/>
  <c r="G174" i="4"/>
  <c r="F174" i="4"/>
  <c r="E174" i="4"/>
  <c r="D174" i="4"/>
  <c r="C174" i="4"/>
  <c r="B174" i="4"/>
  <c r="A174" i="4"/>
  <c r="J173" i="4"/>
  <c r="I173" i="4"/>
  <c r="H173" i="4"/>
  <c r="G173" i="4"/>
  <c r="F173" i="4"/>
  <c r="E173" i="4"/>
  <c r="D173" i="4"/>
  <c r="C173" i="4"/>
  <c r="B173" i="4"/>
  <c r="A173" i="4"/>
  <c r="J172" i="4"/>
  <c r="I172" i="4"/>
  <c r="H172" i="4"/>
  <c r="G172" i="4"/>
  <c r="F172" i="4"/>
  <c r="E172" i="4"/>
  <c r="D172" i="4"/>
  <c r="C172" i="4"/>
  <c r="B172" i="4"/>
  <c r="A172" i="4"/>
  <c r="J171" i="4"/>
  <c r="I171" i="4"/>
  <c r="H171" i="4"/>
  <c r="G171" i="4"/>
  <c r="F171" i="4"/>
  <c r="E171" i="4"/>
  <c r="D171" i="4"/>
  <c r="C171" i="4"/>
  <c r="B171" i="4"/>
  <c r="A171" i="4"/>
  <c r="J170" i="4"/>
  <c r="I170" i="4"/>
  <c r="H170" i="4"/>
  <c r="G170" i="4"/>
  <c r="F170" i="4"/>
  <c r="E170" i="4"/>
  <c r="D170" i="4"/>
  <c r="C170" i="4"/>
  <c r="B170" i="4"/>
  <c r="A170" i="4"/>
  <c r="J169" i="4"/>
  <c r="I169" i="4"/>
  <c r="H169" i="4"/>
  <c r="G169" i="4"/>
  <c r="F169" i="4"/>
  <c r="E169" i="4"/>
  <c r="D169" i="4"/>
  <c r="C169" i="4"/>
  <c r="B169" i="4"/>
  <c r="A169" i="4"/>
  <c r="J168" i="4"/>
  <c r="I168" i="4"/>
  <c r="H168" i="4"/>
  <c r="G168" i="4"/>
  <c r="F168" i="4"/>
  <c r="E168" i="4"/>
  <c r="D168" i="4"/>
  <c r="C168" i="4"/>
  <c r="B168" i="4"/>
  <c r="A168" i="4"/>
  <c r="J167" i="4"/>
  <c r="I167" i="4"/>
  <c r="H167" i="4"/>
  <c r="G167" i="4"/>
  <c r="F167" i="4"/>
  <c r="E167" i="4"/>
  <c r="D167" i="4"/>
  <c r="C167" i="4"/>
  <c r="B167" i="4"/>
  <c r="A167" i="4"/>
  <c r="J166" i="4"/>
  <c r="I166" i="4"/>
  <c r="H166" i="4"/>
  <c r="G166" i="4"/>
  <c r="F166" i="4"/>
  <c r="E166" i="4"/>
  <c r="D166" i="4"/>
  <c r="C166" i="4"/>
  <c r="B166" i="4"/>
  <c r="A166" i="4"/>
  <c r="J165" i="4"/>
  <c r="I165" i="4"/>
  <c r="H165" i="4"/>
  <c r="G165" i="4"/>
  <c r="F165" i="4"/>
  <c r="E165" i="4"/>
  <c r="D165" i="4"/>
  <c r="C165" i="4"/>
  <c r="B165" i="4"/>
  <c r="A165" i="4"/>
  <c r="J164" i="4"/>
  <c r="I164" i="4"/>
  <c r="H164" i="4"/>
  <c r="G164" i="4"/>
  <c r="F164" i="4"/>
  <c r="E164" i="4"/>
  <c r="D164" i="4"/>
  <c r="C164" i="4"/>
  <c r="B164" i="4"/>
  <c r="A164" i="4"/>
  <c r="J163" i="4"/>
  <c r="I163" i="4"/>
  <c r="H163" i="4"/>
  <c r="G163" i="4"/>
  <c r="F163" i="4"/>
  <c r="E163" i="4"/>
  <c r="D163" i="4"/>
  <c r="C163" i="4"/>
  <c r="B163" i="4"/>
  <c r="A163" i="4"/>
  <c r="J162" i="4"/>
  <c r="I162" i="4"/>
  <c r="H162" i="4"/>
  <c r="G162" i="4"/>
  <c r="F162" i="4"/>
  <c r="E162" i="4"/>
  <c r="D162" i="4"/>
  <c r="C162" i="4"/>
  <c r="B162" i="4"/>
  <c r="A162" i="4"/>
  <c r="J161" i="4"/>
  <c r="I161" i="4"/>
  <c r="H161" i="4"/>
  <c r="G161" i="4"/>
  <c r="F161" i="4"/>
  <c r="E161" i="4"/>
  <c r="D161" i="4"/>
  <c r="C161" i="4"/>
  <c r="B161" i="4"/>
  <c r="A161" i="4"/>
  <c r="J160" i="4"/>
  <c r="I160" i="4"/>
  <c r="H160" i="4"/>
  <c r="G160" i="4"/>
  <c r="F160" i="4"/>
  <c r="E160" i="4"/>
  <c r="D160" i="4"/>
  <c r="C160" i="4"/>
  <c r="B160" i="4"/>
  <c r="A160" i="4"/>
  <c r="J159" i="4"/>
  <c r="I159" i="4"/>
  <c r="H159" i="4"/>
  <c r="G159" i="4"/>
  <c r="F159" i="4"/>
  <c r="E159" i="4"/>
  <c r="D159" i="4"/>
  <c r="C159" i="4"/>
  <c r="B159" i="4"/>
  <c r="A159" i="4"/>
  <c r="J158" i="4"/>
  <c r="I158" i="4"/>
  <c r="H158" i="4"/>
  <c r="G158" i="4"/>
  <c r="F158" i="4"/>
  <c r="E158" i="4"/>
  <c r="D158" i="4"/>
  <c r="C158" i="4"/>
  <c r="B158" i="4"/>
  <c r="A158" i="4"/>
  <c r="J157" i="4"/>
  <c r="I157" i="4"/>
  <c r="H157" i="4"/>
  <c r="G157" i="4"/>
  <c r="F157" i="4"/>
  <c r="E157" i="4"/>
  <c r="D157" i="4"/>
  <c r="C157" i="4"/>
  <c r="B157" i="4"/>
  <c r="A157" i="4"/>
  <c r="J156" i="4"/>
  <c r="I156" i="4"/>
  <c r="H156" i="4"/>
  <c r="G156" i="4"/>
  <c r="F156" i="4"/>
  <c r="E156" i="4"/>
  <c r="D156" i="4"/>
  <c r="C156" i="4"/>
  <c r="B156" i="4"/>
  <c r="A156" i="4"/>
  <c r="J155" i="4"/>
  <c r="I155" i="4"/>
  <c r="H155" i="4"/>
  <c r="G155" i="4"/>
  <c r="F155" i="4"/>
  <c r="E155" i="4"/>
  <c r="D155" i="4"/>
  <c r="C155" i="4"/>
  <c r="B155" i="4"/>
  <c r="A155" i="4"/>
  <c r="J154" i="4"/>
  <c r="I154" i="4"/>
  <c r="H154" i="4"/>
  <c r="G154" i="4"/>
  <c r="F154" i="4"/>
  <c r="E154" i="4"/>
  <c r="D154" i="4"/>
  <c r="C154" i="4"/>
  <c r="B154" i="4"/>
  <c r="A154" i="4"/>
  <c r="J153" i="4"/>
  <c r="I153" i="4"/>
  <c r="H153" i="4"/>
  <c r="G153" i="4"/>
  <c r="F153" i="4"/>
  <c r="E153" i="4"/>
  <c r="D153" i="4"/>
  <c r="C153" i="4"/>
  <c r="B153" i="4"/>
  <c r="A153" i="4"/>
  <c r="J152" i="4"/>
  <c r="I152" i="4"/>
  <c r="H152" i="4"/>
  <c r="G152" i="4"/>
  <c r="F152" i="4"/>
  <c r="E152" i="4"/>
  <c r="D152" i="4"/>
  <c r="C152" i="4"/>
  <c r="B152" i="4"/>
  <c r="A152" i="4"/>
  <c r="J151" i="4"/>
  <c r="I151" i="4"/>
  <c r="H151" i="4"/>
  <c r="G151" i="4"/>
  <c r="F151" i="4"/>
  <c r="E151" i="4"/>
  <c r="D151" i="4"/>
  <c r="C151" i="4"/>
  <c r="B151" i="4"/>
  <c r="A151" i="4"/>
  <c r="J150" i="4"/>
  <c r="I150" i="4"/>
  <c r="H150" i="4"/>
  <c r="G150" i="4"/>
  <c r="F150" i="4"/>
  <c r="E150" i="4"/>
  <c r="D150" i="4"/>
  <c r="C150" i="4"/>
  <c r="B150" i="4"/>
  <c r="A150" i="4"/>
  <c r="J149" i="4"/>
  <c r="I149" i="4"/>
  <c r="H149" i="4"/>
  <c r="G149" i="4"/>
  <c r="F149" i="4"/>
  <c r="E149" i="4"/>
  <c r="D149" i="4"/>
  <c r="C149" i="4"/>
  <c r="B149" i="4"/>
  <c r="A149" i="4"/>
  <c r="J148" i="4"/>
  <c r="I148" i="4"/>
  <c r="H148" i="4"/>
  <c r="G148" i="4"/>
  <c r="F148" i="4"/>
  <c r="E148" i="4"/>
  <c r="D148" i="4"/>
  <c r="C148" i="4"/>
  <c r="B148" i="4"/>
  <c r="A148" i="4"/>
  <c r="J147" i="4"/>
  <c r="I147" i="4"/>
  <c r="H147" i="4"/>
  <c r="G147" i="4"/>
  <c r="F147" i="4"/>
  <c r="E147" i="4"/>
  <c r="D147" i="4"/>
  <c r="C147" i="4"/>
  <c r="B147" i="4"/>
  <c r="A147" i="4"/>
  <c r="J146" i="4"/>
  <c r="I146" i="4"/>
  <c r="H146" i="4"/>
  <c r="G146" i="4"/>
  <c r="F146" i="4"/>
  <c r="E146" i="4"/>
  <c r="D146" i="4"/>
  <c r="C146" i="4"/>
  <c r="B146" i="4"/>
  <c r="A146" i="4"/>
  <c r="J145" i="4"/>
  <c r="I145" i="4"/>
  <c r="H145" i="4"/>
  <c r="G145" i="4"/>
  <c r="F145" i="4"/>
  <c r="E145" i="4"/>
  <c r="D145" i="4"/>
  <c r="C145" i="4"/>
  <c r="B145" i="4"/>
  <c r="A145" i="4"/>
  <c r="J144" i="4"/>
  <c r="I144" i="4"/>
  <c r="H144" i="4"/>
  <c r="G144" i="4"/>
  <c r="F144" i="4"/>
  <c r="E144" i="4"/>
  <c r="D144" i="4"/>
  <c r="C144" i="4"/>
  <c r="B144" i="4"/>
  <c r="A144" i="4"/>
  <c r="J143" i="4"/>
  <c r="I143" i="4"/>
  <c r="H143" i="4"/>
  <c r="G143" i="4"/>
  <c r="F143" i="4"/>
  <c r="E143" i="4"/>
  <c r="D143" i="4"/>
  <c r="C143" i="4"/>
  <c r="B143" i="4"/>
  <c r="A143" i="4"/>
  <c r="J142" i="4"/>
  <c r="I142" i="4"/>
  <c r="H142" i="4"/>
  <c r="G142" i="4"/>
  <c r="F142" i="4"/>
  <c r="E142" i="4"/>
  <c r="D142" i="4"/>
  <c r="C142" i="4"/>
  <c r="B142" i="4"/>
  <c r="A142" i="4"/>
  <c r="J141" i="4"/>
  <c r="I141" i="4"/>
  <c r="H141" i="4"/>
  <c r="G141" i="4"/>
  <c r="F141" i="4"/>
  <c r="E141" i="4"/>
  <c r="D141" i="4"/>
  <c r="C141" i="4"/>
  <c r="B141" i="4"/>
  <c r="A141" i="4"/>
  <c r="J140" i="4"/>
  <c r="I140" i="4"/>
  <c r="H140" i="4"/>
  <c r="G140" i="4"/>
  <c r="F140" i="4"/>
  <c r="E140" i="4"/>
  <c r="D140" i="4"/>
  <c r="C140" i="4"/>
  <c r="B140" i="4"/>
  <c r="A140" i="4"/>
  <c r="J139" i="4"/>
  <c r="I139" i="4"/>
  <c r="H139" i="4"/>
  <c r="G139" i="4"/>
  <c r="F139" i="4"/>
  <c r="E139" i="4"/>
  <c r="D139" i="4"/>
  <c r="C139" i="4"/>
  <c r="B139" i="4"/>
  <c r="A139" i="4"/>
  <c r="J138" i="4"/>
  <c r="I138" i="4"/>
  <c r="H138" i="4"/>
  <c r="G138" i="4"/>
  <c r="F138" i="4"/>
  <c r="E138" i="4"/>
  <c r="D138" i="4"/>
  <c r="C138" i="4"/>
  <c r="B138" i="4"/>
  <c r="A138" i="4"/>
  <c r="J137" i="4"/>
  <c r="I137" i="4"/>
  <c r="H137" i="4"/>
  <c r="G137" i="4"/>
  <c r="F137" i="4"/>
  <c r="E137" i="4"/>
  <c r="D137" i="4"/>
  <c r="C137" i="4"/>
  <c r="B137" i="4"/>
  <c r="A137" i="4"/>
  <c r="J136" i="4"/>
  <c r="I136" i="4"/>
  <c r="H136" i="4"/>
  <c r="G136" i="4"/>
  <c r="F136" i="4"/>
  <c r="E136" i="4"/>
  <c r="D136" i="4"/>
  <c r="C136" i="4"/>
  <c r="B136" i="4"/>
  <c r="A136" i="4"/>
  <c r="J135" i="4"/>
  <c r="I135" i="4"/>
  <c r="H135" i="4"/>
  <c r="G135" i="4"/>
  <c r="F135" i="4"/>
  <c r="E135" i="4"/>
  <c r="D135" i="4"/>
  <c r="C135" i="4"/>
  <c r="B135" i="4"/>
  <c r="A135" i="4"/>
  <c r="J134" i="4"/>
  <c r="I134" i="4"/>
  <c r="H134" i="4"/>
  <c r="G134" i="4"/>
  <c r="F134" i="4"/>
  <c r="E134" i="4"/>
  <c r="D134" i="4"/>
  <c r="C134" i="4"/>
  <c r="B134" i="4"/>
  <c r="A134" i="4"/>
  <c r="J133" i="4"/>
  <c r="I133" i="4"/>
  <c r="H133" i="4"/>
  <c r="G133" i="4"/>
  <c r="F133" i="4"/>
  <c r="E133" i="4"/>
  <c r="D133" i="4"/>
  <c r="C133" i="4"/>
  <c r="B133" i="4"/>
  <c r="A133" i="4"/>
  <c r="J132" i="4"/>
  <c r="I132" i="4"/>
  <c r="H132" i="4"/>
  <c r="G132" i="4"/>
  <c r="F132" i="4"/>
  <c r="E132" i="4"/>
  <c r="D132" i="4"/>
  <c r="C132" i="4"/>
  <c r="B132" i="4"/>
  <c r="A132" i="4"/>
  <c r="J131" i="4"/>
  <c r="I131" i="4"/>
  <c r="H131" i="4"/>
  <c r="G131" i="4"/>
  <c r="F131" i="4"/>
  <c r="E131" i="4"/>
  <c r="D131" i="4"/>
  <c r="C131" i="4"/>
  <c r="B131" i="4"/>
  <c r="A131" i="4"/>
  <c r="J130" i="4"/>
  <c r="I130" i="4"/>
  <c r="H130" i="4"/>
  <c r="G130" i="4"/>
  <c r="F130" i="4"/>
  <c r="E130" i="4"/>
  <c r="D130" i="4"/>
  <c r="C130" i="4"/>
  <c r="B130" i="4"/>
  <c r="A130" i="4"/>
  <c r="J129" i="4"/>
  <c r="I129" i="4"/>
  <c r="H129" i="4"/>
  <c r="G129" i="4"/>
  <c r="F129" i="4"/>
  <c r="E129" i="4"/>
  <c r="D129" i="4"/>
  <c r="C129" i="4"/>
  <c r="B129" i="4"/>
  <c r="A129" i="4"/>
  <c r="J128" i="4"/>
  <c r="I128" i="4"/>
  <c r="H128" i="4"/>
  <c r="G128" i="4"/>
  <c r="F128" i="4"/>
  <c r="E128" i="4"/>
  <c r="D128" i="4"/>
  <c r="C128" i="4"/>
  <c r="B128" i="4"/>
  <c r="A128" i="4"/>
  <c r="J127" i="4"/>
  <c r="I127" i="4"/>
  <c r="H127" i="4"/>
  <c r="G127" i="4"/>
  <c r="F127" i="4"/>
  <c r="E127" i="4"/>
  <c r="D127" i="4"/>
  <c r="C127" i="4"/>
  <c r="B127" i="4"/>
  <c r="A127" i="4"/>
  <c r="J126" i="4"/>
  <c r="I126" i="4"/>
  <c r="H126" i="4"/>
  <c r="G126" i="4"/>
  <c r="F126" i="4"/>
  <c r="E126" i="4"/>
  <c r="D126" i="4"/>
  <c r="C126" i="4"/>
  <c r="B126" i="4"/>
  <c r="A126" i="4"/>
  <c r="J125" i="4"/>
  <c r="I125" i="4"/>
  <c r="H125" i="4"/>
  <c r="G125" i="4"/>
  <c r="F125" i="4"/>
  <c r="E125" i="4"/>
  <c r="D125" i="4"/>
  <c r="C125" i="4"/>
  <c r="B125" i="4"/>
  <c r="A125" i="4"/>
  <c r="J124" i="4"/>
  <c r="I124" i="4"/>
  <c r="H124" i="4"/>
  <c r="G124" i="4"/>
  <c r="F124" i="4"/>
  <c r="E124" i="4"/>
  <c r="D124" i="4"/>
  <c r="C124" i="4"/>
  <c r="B124" i="4"/>
  <c r="A124" i="4"/>
  <c r="J123" i="4"/>
  <c r="I123" i="4"/>
  <c r="H123" i="4"/>
  <c r="G123" i="4"/>
  <c r="F123" i="4"/>
  <c r="E123" i="4"/>
  <c r="D123" i="4"/>
  <c r="C123" i="4"/>
  <c r="B123" i="4"/>
  <c r="A123" i="4"/>
  <c r="J122" i="4"/>
  <c r="I122" i="4"/>
  <c r="H122" i="4"/>
  <c r="G122" i="4"/>
  <c r="F122" i="4"/>
  <c r="E122" i="4"/>
  <c r="D122" i="4"/>
  <c r="C122" i="4"/>
  <c r="B122" i="4"/>
  <c r="A122" i="4"/>
  <c r="J121" i="4"/>
  <c r="I121" i="4"/>
  <c r="H121" i="4"/>
  <c r="G121" i="4"/>
  <c r="F121" i="4"/>
  <c r="E121" i="4"/>
  <c r="D121" i="4"/>
  <c r="C121" i="4"/>
  <c r="B121" i="4"/>
  <c r="A121" i="4"/>
  <c r="J120" i="4"/>
  <c r="I120" i="4"/>
  <c r="H120" i="4"/>
  <c r="G120" i="4"/>
  <c r="F120" i="4"/>
  <c r="E120" i="4"/>
  <c r="D120" i="4"/>
  <c r="C120" i="4"/>
  <c r="B120" i="4"/>
  <c r="A120" i="4"/>
  <c r="J119" i="4"/>
  <c r="I119" i="4"/>
  <c r="H119" i="4"/>
  <c r="G119" i="4"/>
  <c r="F119" i="4"/>
  <c r="E119" i="4"/>
  <c r="D119" i="4"/>
  <c r="C119" i="4"/>
  <c r="B119" i="4"/>
  <c r="A119" i="4"/>
  <c r="J118" i="4"/>
  <c r="I118" i="4"/>
  <c r="H118" i="4"/>
  <c r="G118" i="4"/>
  <c r="F118" i="4"/>
  <c r="E118" i="4"/>
  <c r="D118" i="4"/>
  <c r="C118" i="4"/>
  <c r="B118" i="4"/>
  <c r="A118" i="4"/>
  <c r="J117" i="4"/>
  <c r="I117" i="4"/>
  <c r="H117" i="4"/>
  <c r="G117" i="4"/>
  <c r="F117" i="4"/>
  <c r="E117" i="4"/>
  <c r="D117" i="4"/>
  <c r="C117" i="4"/>
  <c r="B117" i="4"/>
  <c r="A117" i="4"/>
  <c r="J116" i="4"/>
  <c r="I116" i="4"/>
  <c r="H116" i="4"/>
  <c r="G116" i="4"/>
  <c r="F116" i="4"/>
  <c r="E116" i="4"/>
  <c r="D116" i="4"/>
  <c r="C116" i="4"/>
  <c r="B116" i="4"/>
  <c r="A116" i="4"/>
  <c r="J115" i="4"/>
  <c r="I115" i="4"/>
  <c r="H115" i="4"/>
  <c r="G115" i="4"/>
  <c r="F115" i="4"/>
  <c r="E115" i="4"/>
  <c r="D115" i="4"/>
  <c r="C115" i="4"/>
  <c r="B115" i="4"/>
  <c r="A115" i="4"/>
  <c r="J114" i="4"/>
  <c r="I114" i="4"/>
  <c r="H114" i="4"/>
  <c r="G114" i="4"/>
  <c r="F114" i="4"/>
  <c r="E114" i="4"/>
  <c r="D114" i="4"/>
  <c r="C114" i="4"/>
  <c r="B114" i="4"/>
  <c r="A114" i="4"/>
  <c r="J113" i="4"/>
  <c r="I113" i="4"/>
  <c r="H113" i="4"/>
  <c r="G113" i="4"/>
  <c r="F113" i="4"/>
  <c r="E113" i="4"/>
  <c r="D113" i="4"/>
  <c r="C113" i="4"/>
  <c r="B113" i="4"/>
  <c r="A113" i="4"/>
  <c r="J112" i="4"/>
  <c r="I112" i="4"/>
  <c r="H112" i="4"/>
  <c r="G112" i="4"/>
  <c r="F112" i="4"/>
  <c r="E112" i="4"/>
  <c r="D112" i="4"/>
  <c r="C112" i="4"/>
  <c r="B112" i="4"/>
  <c r="A112" i="4"/>
  <c r="J111" i="4"/>
  <c r="I111" i="4"/>
  <c r="H111" i="4"/>
  <c r="G111" i="4"/>
  <c r="F111" i="4"/>
  <c r="E111" i="4"/>
  <c r="D111" i="4"/>
  <c r="C111" i="4"/>
  <c r="B111" i="4"/>
  <c r="A111" i="4"/>
  <c r="J110" i="4"/>
  <c r="I110" i="4"/>
  <c r="H110" i="4"/>
  <c r="G110" i="4"/>
  <c r="F110" i="4"/>
  <c r="E110" i="4"/>
  <c r="D110" i="4"/>
  <c r="C110" i="4"/>
  <c r="B110" i="4"/>
  <c r="A110" i="4"/>
  <c r="J109" i="4"/>
  <c r="I109" i="4"/>
  <c r="H109" i="4"/>
  <c r="G109" i="4"/>
  <c r="F109" i="4"/>
  <c r="E109" i="4"/>
  <c r="D109" i="4"/>
  <c r="C109" i="4"/>
  <c r="B109" i="4"/>
  <c r="A109" i="4"/>
  <c r="J108" i="4"/>
  <c r="I108" i="4"/>
  <c r="H108" i="4"/>
  <c r="G108" i="4"/>
  <c r="F108" i="4"/>
  <c r="E108" i="4"/>
  <c r="D108" i="4"/>
  <c r="C108" i="4"/>
  <c r="B108" i="4"/>
  <c r="A108" i="4"/>
  <c r="J107" i="4"/>
  <c r="I107" i="4"/>
  <c r="H107" i="4"/>
  <c r="G107" i="4"/>
  <c r="F107" i="4"/>
  <c r="E107" i="4"/>
  <c r="D107" i="4"/>
  <c r="C107" i="4"/>
  <c r="B107" i="4"/>
  <c r="A107" i="4"/>
  <c r="J106" i="4"/>
  <c r="I106" i="4"/>
  <c r="H106" i="4"/>
  <c r="G106" i="4"/>
  <c r="F106" i="4"/>
  <c r="E106" i="4"/>
  <c r="D106" i="4"/>
  <c r="C106" i="4"/>
  <c r="B106" i="4"/>
  <c r="A106" i="4"/>
  <c r="J105" i="4"/>
  <c r="I105" i="4"/>
  <c r="H105" i="4"/>
  <c r="G105" i="4"/>
  <c r="F105" i="4"/>
  <c r="E105" i="4"/>
  <c r="D105" i="4"/>
  <c r="C105" i="4"/>
  <c r="B105" i="4"/>
  <c r="A105" i="4"/>
  <c r="J104" i="4"/>
  <c r="I104" i="4"/>
  <c r="H104" i="4"/>
  <c r="G104" i="4"/>
  <c r="F104" i="4"/>
  <c r="E104" i="4"/>
  <c r="D104" i="4"/>
  <c r="C104" i="4"/>
  <c r="B104" i="4"/>
  <c r="A104" i="4"/>
  <c r="J103" i="4"/>
  <c r="I103" i="4"/>
  <c r="H103" i="4"/>
  <c r="G103" i="4"/>
  <c r="F103" i="4"/>
  <c r="E103" i="4"/>
  <c r="D103" i="4"/>
  <c r="C103" i="4"/>
  <c r="B103" i="4"/>
  <c r="A103" i="4"/>
  <c r="J102" i="4"/>
  <c r="I102" i="4"/>
  <c r="H102" i="4"/>
  <c r="G102" i="4"/>
  <c r="F102" i="4"/>
  <c r="E102" i="4"/>
  <c r="D102" i="4"/>
  <c r="C102" i="4"/>
  <c r="B102" i="4"/>
  <c r="A102" i="4"/>
  <c r="J101" i="4"/>
  <c r="I101" i="4"/>
  <c r="H101" i="4"/>
  <c r="G101" i="4"/>
  <c r="F101" i="4"/>
  <c r="E101" i="4"/>
  <c r="D101" i="4"/>
  <c r="C101" i="4"/>
  <c r="B101" i="4"/>
  <c r="A101" i="4"/>
  <c r="J100" i="4"/>
  <c r="I100" i="4"/>
  <c r="H100" i="4"/>
  <c r="G100" i="4"/>
  <c r="F100" i="4"/>
  <c r="E100" i="4"/>
  <c r="D100" i="4"/>
  <c r="C100" i="4"/>
  <c r="B100" i="4"/>
  <c r="A100" i="4"/>
  <c r="J99" i="4"/>
  <c r="I99" i="4"/>
  <c r="H99" i="4"/>
  <c r="G99" i="4"/>
  <c r="F99" i="4"/>
  <c r="E99" i="4"/>
  <c r="D99" i="4"/>
  <c r="C99" i="4"/>
  <c r="B99" i="4"/>
  <c r="A99" i="4"/>
  <c r="J98" i="4"/>
  <c r="I98" i="4"/>
  <c r="H98" i="4"/>
  <c r="G98" i="4"/>
  <c r="F98" i="4"/>
  <c r="E98" i="4"/>
  <c r="D98" i="4"/>
  <c r="C98" i="4"/>
  <c r="B98" i="4"/>
  <c r="A98" i="4"/>
  <c r="J97" i="4"/>
  <c r="I97" i="4"/>
  <c r="H97" i="4"/>
  <c r="G97" i="4"/>
  <c r="F97" i="4"/>
  <c r="E97" i="4"/>
  <c r="D97" i="4"/>
  <c r="C97" i="4"/>
  <c r="B97" i="4"/>
  <c r="A97" i="4"/>
  <c r="J96" i="4"/>
  <c r="I96" i="4"/>
  <c r="H96" i="4"/>
  <c r="G96" i="4"/>
  <c r="F96" i="4"/>
  <c r="E96" i="4"/>
  <c r="D96" i="4"/>
  <c r="C96" i="4"/>
  <c r="B96" i="4"/>
  <c r="A96" i="4"/>
  <c r="J95" i="4"/>
  <c r="I95" i="4"/>
  <c r="H95" i="4"/>
  <c r="G95" i="4"/>
  <c r="F95" i="4"/>
  <c r="E95" i="4"/>
  <c r="D95" i="4"/>
  <c r="C95" i="4"/>
  <c r="B95" i="4"/>
  <c r="A95" i="4"/>
  <c r="J94" i="4"/>
  <c r="I94" i="4"/>
  <c r="H94" i="4"/>
  <c r="G94" i="4"/>
  <c r="F94" i="4"/>
  <c r="E94" i="4"/>
  <c r="D94" i="4"/>
  <c r="C94" i="4"/>
  <c r="B94" i="4"/>
  <c r="A94" i="4"/>
  <c r="J93" i="4"/>
  <c r="I93" i="4"/>
  <c r="H93" i="4"/>
  <c r="G93" i="4"/>
  <c r="F93" i="4"/>
  <c r="E93" i="4"/>
  <c r="D93" i="4"/>
  <c r="C93" i="4"/>
  <c r="B93" i="4"/>
  <c r="A93" i="4"/>
  <c r="J92" i="4"/>
  <c r="I92" i="4"/>
  <c r="H92" i="4"/>
  <c r="G92" i="4"/>
  <c r="F92" i="4"/>
  <c r="E92" i="4"/>
  <c r="D92" i="4"/>
  <c r="C92" i="4"/>
  <c r="B92" i="4"/>
  <c r="A92" i="4"/>
  <c r="J91" i="4"/>
  <c r="I91" i="4"/>
  <c r="H91" i="4"/>
  <c r="G91" i="4"/>
  <c r="F91" i="4"/>
  <c r="E91" i="4"/>
  <c r="D91" i="4"/>
  <c r="C91" i="4"/>
  <c r="B91" i="4"/>
  <c r="A91" i="4"/>
  <c r="J90" i="4"/>
  <c r="I90" i="4"/>
  <c r="H90" i="4"/>
  <c r="G90" i="4"/>
  <c r="F90" i="4"/>
  <c r="E90" i="4"/>
  <c r="D90" i="4"/>
  <c r="C90" i="4"/>
  <c r="B90" i="4"/>
  <c r="A90" i="4"/>
  <c r="J89" i="4"/>
  <c r="I89" i="4"/>
  <c r="H89" i="4"/>
  <c r="G89" i="4"/>
  <c r="F89" i="4"/>
  <c r="E89" i="4"/>
  <c r="D89" i="4"/>
  <c r="C89" i="4"/>
  <c r="B89" i="4"/>
  <c r="A89" i="4"/>
  <c r="J88" i="4"/>
  <c r="I88" i="4"/>
  <c r="H88" i="4"/>
  <c r="G88" i="4"/>
  <c r="F88" i="4"/>
  <c r="E88" i="4"/>
  <c r="D88" i="4"/>
  <c r="C88" i="4"/>
  <c r="B88" i="4"/>
  <c r="A88" i="4"/>
  <c r="J87" i="4"/>
  <c r="I87" i="4"/>
  <c r="H87" i="4"/>
  <c r="G87" i="4"/>
  <c r="F87" i="4"/>
  <c r="E87" i="4"/>
  <c r="D87" i="4"/>
  <c r="C87" i="4"/>
  <c r="B87" i="4"/>
  <c r="A87" i="4"/>
  <c r="J86" i="4"/>
  <c r="I86" i="4"/>
  <c r="H86" i="4"/>
  <c r="G86" i="4"/>
  <c r="F86" i="4"/>
  <c r="E86" i="4"/>
  <c r="D86" i="4"/>
  <c r="C86" i="4"/>
  <c r="B86" i="4"/>
  <c r="A86" i="4"/>
  <c r="J85" i="4"/>
  <c r="I85" i="4"/>
  <c r="H85" i="4"/>
  <c r="G85" i="4"/>
  <c r="F85" i="4"/>
  <c r="E85" i="4"/>
  <c r="D85" i="4"/>
  <c r="C85" i="4"/>
  <c r="B85" i="4"/>
  <c r="A85" i="4"/>
  <c r="J84" i="4"/>
  <c r="I84" i="4"/>
  <c r="H84" i="4"/>
  <c r="G84" i="4"/>
  <c r="F84" i="4"/>
  <c r="E84" i="4"/>
  <c r="D84" i="4"/>
  <c r="C84" i="4"/>
  <c r="B84" i="4"/>
  <c r="A84" i="4"/>
  <c r="J83" i="4"/>
  <c r="I83" i="4"/>
  <c r="H83" i="4"/>
  <c r="G83" i="4"/>
  <c r="F83" i="4"/>
  <c r="E83" i="4"/>
  <c r="D83" i="4"/>
  <c r="C83" i="4"/>
  <c r="B83" i="4"/>
  <c r="A83" i="4"/>
  <c r="J82" i="4"/>
  <c r="I82" i="4"/>
  <c r="H82" i="4"/>
  <c r="G82" i="4"/>
  <c r="F82" i="4"/>
  <c r="E82" i="4"/>
  <c r="D82" i="4"/>
  <c r="C82" i="4"/>
  <c r="B82" i="4"/>
  <c r="A82" i="4"/>
  <c r="J81" i="4"/>
  <c r="I81" i="4"/>
  <c r="H81" i="4"/>
  <c r="G81" i="4"/>
  <c r="F81" i="4"/>
  <c r="E81" i="4"/>
  <c r="D81" i="4"/>
  <c r="C81" i="4"/>
  <c r="B81" i="4"/>
  <c r="A81" i="4"/>
  <c r="J80" i="4"/>
  <c r="I80" i="4"/>
  <c r="H80" i="4"/>
  <c r="G80" i="4"/>
  <c r="F80" i="4"/>
  <c r="E80" i="4"/>
  <c r="D80" i="4"/>
  <c r="C80" i="4"/>
  <c r="B80" i="4"/>
  <c r="A80" i="4"/>
  <c r="J79" i="4"/>
  <c r="I79" i="4"/>
  <c r="H79" i="4"/>
  <c r="G79" i="4"/>
  <c r="F79" i="4"/>
  <c r="E79" i="4"/>
  <c r="D79" i="4"/>
  <c r="C79" i="4"/>
  <c r="B79" i="4"/>
  <c r="A79" i="4"/>
  <c r="J78" i="4"/>
  <c r="I78" i="4"/>
  <c r="H78" i="4"/>
  <c r="G78" i="4"/>
  <c r="F78" i="4"/>
  <c r="E78" i="4"/>
  <c r="D78" i="4"/>
  <c r="C78" i="4"/>
  <c r="B78" i="4"/>
  <c r="A78" i="4"/>
  <c r="J77" i="4"/>
  <c r="I77" i="4"/>
  <c r="H77" i="4"/>
  <c r="G77" i="4"/>
  <c r="F77" i="4"/>
  <c r="E77" i="4"/>
  <c r="D77" i="4"/>
  <c r="C77" i="4"/>
  <c r="B77" i="4"/>
  <c r="A77" i="4"/>
  <c r="J76" i="4"/>
  <c r="I76" i="4"/>
  <c r="H76" i="4"/>
  <c r="G76" i="4"/>
  <c r="F76" i="4"/>
  <c r="E76" i="4"/>
  <c r="D76" i="4"/>
  <c r="C76" i="4"/>
  <c r="B76" i="4"/>
  <c r="A76" i="4"/>
  <c r="J75" i="4"/>
  <c r="I75" i="4"/>
  <c r="H75" i="4"/>
  <c r="G75" i="4"/>
  <c r="F75" i="4"/>
  <c r="E75" i="4"/>
  <c r="D75" i="4"/>
  <c r="C75" i="4"/>
  <c r="B75" i="4"/>
  <c r="A75" i="4"/>
  <c r="J74" i="4"/>
  <c r="I74" i="4"/>
  <c r="H74" i="4"/>
  <c r="G74" i="4"/>
  <c r="F74" i="4"/>
  <c r="E74" i="4"/>
  <c r="D74" i="4"/>
  <c r="C74" i="4"/>
  <c r="B74" i="4"/>
  <c r="A74" i="4"/>
  <c r="J73" i="4"/>
  <c r="I73" i="4"/>
  <c r="H73" i="4"/>
  <c r="G73" i="4"/>
  <c r="F73" i="4"/>
  <c r="E73" i="4"/>
  <c r="D73" i="4"/>
  <c r="C73" i="4"/>
  <c r="B73" i="4"/>
  <c r="A73" i="4"/>
  <c r="J72" i="4"/>
  <c r="I72" i="4"/>
  <c r="H72" i="4"/>
  <c r="G72" i="4"/>
  <c r="F72" i="4"/>
  <c r="E72" i="4"/>
  <c r="D72" i="4"/>
  <c r="C72" i="4"/>
  <c r="B72" i="4"/>
  <c r="A72" i="4"/>
  <c r="J71" i="4"/>
  <c r="I71" i="4"/>
  <c r="H71" i="4"/>
  <c r="G71" i="4"/>
  <c r="F71" i="4"/>
  <c r="E71" i="4"/>
  <c r="D71" i="4"/>
  <c r="C71" i="4"/>
  <c r="B71" i="4"/>
  <c r="A71" i="4"/>
  <c r="J70" i="4"/>
  <c r="I70" i="4"/>
  <c r="H70" i="4"/>
  <c r="G70" i="4"/>
  <c r="F70" i="4"/>
  <c r="E70" i="4"/>
  <c r="D70" i="4"/>
  <c r="C70" i="4"/>
  <c r="B70" i="4"/>
  <c r="A70" i="4"/>
  <c r="J69" i="4"/>
  <c r="I69" i="4"/>
  <c r="H69" i="4"/>
  <c r="G69" i="4"/>
  <c r="F69" i="4"/>
  <c r="E69" i="4"/>
  <c r="D69" i="4"/>
  <c r="C69" i="4"/>
  <c r="B69" i="4"/>
  <c r="A69" i="4"/>
  <c r="J68" i="4"/>
  <c r="I68" i="4"/>
  <c r="H68" i="4"/>
  <c r="G68" i="4"/>
  <c r="F68" i="4"/>
  <c r="E68" i="4"/>
  <c r="D68" i="4"/>
  <c r="C68" i="4"/>
  <c r="B68" i="4"/>
  <c r="A68" i="4"/>
  <c r="J67" i="4"/>
  <c r="I67" i="4"/>
  <c r="H67" i="4"/>
  <c r="G67" i="4"/>
  <c r="F67" i="4"/>
  <c r="E67" i="4"/>
  <c r="D67" i="4"/>
  <c r="C67" i="4"/>
  <c r="B67" i="4"/>
  <c r="A67" i="4"/>
  <c r="J66" i="4"/>
  <c r="I66" i="4"/>
  <c r="H66" i="4"/>
  <c r="G66" i="4"/>
  <c r="F66" i="4"/>
  <c r="E66" i="4"/>
  <c r="D66" i="4"/>
  <c r="C66" i="4"/>
  <c r="B66" i="4"/>
  <c r="A66" i="4"/>
  <c r="J65" i="4"/>
  <c r="I65" i="4"/>
  <c r="H65" i="4"/>
  <c r="G65" i="4"/>
  <c r="F65" i="4"/>
  <c r="E65" i="4"/>
  <c r="D65" i="4"/>
  <c r="C65" i="4"/>
  <c r="B65" i="4"/>
  <c r="A65" i="4"/>
  <c r="J64" i="4"/>
  <c r="I64" i="4"/>
  <c r="H64" i="4"/>
  <c r="G64" i="4"/>
  <c r="F64" i="4"/>
  <c r="E64" i="4"/>
  <c r="D64" i="4"/>
  <c r="C64" i="4"/>
  <c r="B64" i="4"/>
  <c r="A64" i="4"/>
  <c r="J63" i="4"/>
  <c r="I63" i="4"/>
  <c r="H63" i="4"/>
  <c r="G63" i="4"/>
  <c r="F63" i="4"/>
  <c r="E63" i="4"/>
  <c r="D63" i="4"/>
  <c r="C63" i="4"/>
  <c r="B63" i="4"/>
  <c r="A63" i="4"/>
  <c r="J62" i="4"/>
  <c r="I62" i="4"/>
  <c r="H62" i="4"/>
  <c r="G62" i="4"/>
  <c r="F62" i="4"/>
  <c r="E62" i="4"/>
  <c r="D62" i="4"/>
  <c r="C62" i="4"/>
  <c r="B62" i="4"/>
  <c r="A62" i="4"/>
  <c r="J61" i="4"/>
  <c r="I61" i="4"/>
  <c r="H61" i="4"/>
  <c r="G61" i="4"/>
  <c r="F61" i="4"/>
  <c r="E61" i="4"/>
  <c r="D61" i="4"/>
  <c r="C61" i="4"/>
  <c r="B61" i="4"/>
  <c r="A61" i="4"/>
  <c r="J60" i="4"/>
  <c r="I60" i="4"/>
  <c r="H60" i="4"/>
  <c r="G60" i="4"/>
  <c r="F60" i="4"/>
  <c r="E60" i="4"/>
  <c r="D60" i="4"/>
  <c r="C60" i="4"/>
  <c r="B60" i="4"/>
  <c r="A60" i="4"/>
  <c r="J59" i="4"/>
  <c r="I59" i="4"/>
  <c r="H59" i="4"/>
  <c r="G59" i="4"/>
  <c r="F59" i="4"/>
  <c r="E59" i="4"/>
  <c r="D59" i="4"/>
  <c r="C59" i="4"/>
  <c r="B59" i="4"/>
  <c r="A59" i="4"/>
  <c r="J58" i="4"/>
  <c r="I58" i="4"/>
  <c r="H58" i="4"/>
  <c r="G58" i="4"/>
  <c r="F58" i="4"/>
  <c r="E58" i="4"/>
  <c r="D58" i="4"/>
  <c r="C58" i="4"/>
  <c r="B58" i="4"/>
  <c r="A58" i="4"/>
  <c r="J57" i="4"/>
  <c r="I57" i="4"/>
  <c r="H57" i="4"/>
  <c r="G57" i="4"/>
  <c r="F57" i="4"/>
  <c r="E57" i="4"/>
  <c r="D57" i="4"/>
  <c r="C57" i="4"/>
  <c r="B57" i="4"/>
  <c r="A57" i="4"/>
  <c r="J56" i="4"/>
  <c r="I56" i="4"/>
  <c r="H56" i="4"/>
  <c r="G56" i="4"/>
  <c r="F56" i="4"/>
  <c r="E56" i="4"/>
  <c r="D56" i="4"/>
  <c r="C56" i="4"/>
  <c r="B56" i="4"/>
  <c r="A56" i="4"/>
  <c r="J55" i="4"/>
  <c r="I55" i="4"/>
  <c r="H55" i="4"/>
  <c r="G55" i="4"/>
  <c r="F55" i="4"/>
  <c r="E55" i="4"/>
  <c r="D55" i="4"/>
  <c r="C55" i="4"/>
  <c r="B55" i="4"/>
  <c r="A55" i="4"/>
  <c r="J54" i="4"/>
  <c r="I54" i="4"/>
  <c r="H54" i="4"/>
  <c r="G54" i="4"/>
  <c r="F54" i="4"/>
  <c r="E54" i="4"/>
  <c r="D54" i="4"/>
  <c r="C54" i="4"/>
  <c r="B54" i="4"/>
  <c r="A54" i="4"/>
  <c r="J53" i="4"/>
  <c r="I53" i="4"/>
  <c r="H53" i="4"/>
  <c r="G53" i="4"/>
  <c r="F53" i="4"/>
  <c r="E53" i="4"/>
  <c r="D53" i="4"/>
  <c r="C53" i="4"/>
  <c r="B53" i="4"/>
  <c r="A53" i="4"/>
  <c r="J52" i="4"/>
  <c r="I52" i="4"/>
  <c r="H52" i="4"/>
  <c r="G52" i="4"/>
  <c r="F52" i="4"/>
  <c r="E52" i="4"/>
  <c r="D52" i="4"/>
  <c r="C52" i="4"/>
  <c r="B52" i="4"/>
  <c r="A52" i="4"/>
  <c r="J51" i="4"/>
  <c r="I51" i="4"/>
  <c r="H51" i="4"/>
  <c r="G51" i="4"/>
  <c r="F51" i="4"/>
  <c r="E51" i="4"/>
  <c r="D51" i="4"/>
  <c r="C51" i="4"/>
  <c r="B51" i="4"/>
  <c r="A51" i="4"/>
  <c r="J50" i="4"/>
  <c r="I50" i="4"/>
  <c r="H50" i="4"/>
  <c r="G50" i="4"/>
  <c r="F50" i="4"/>
  <c r="E50" i="4"/>
  <c r="D50" i="4"/>
  <c r="C50" i="4"/>
  <c r="B50" i="4"/>
  <c r="A50" i="4"/>
  <c r="J49" i="4"/>
  <c r="I49" i="4"/>
  <c r="H49" i="4"/>
  <c r="G49" i="4"/>
  <c r="F49" i="4"/>
  <c r="E49" i="4"/>
  <c r="D49" i="4"/>
  <c r="C49" i="4"/>
  <c r="B49" i="4"/>
  <c r="A49" i="4"/>
  <c r="J48" i="4"/>
  <c r="I48" i="4"/>
  <c r="H48" i="4"/>
  <c r="G48" i="4"/>
  <c r="F48" i="4"/>
  <c r="E48" i="4"/>
  <c r="D48" i="4"/>
  <c r="C48" i="4"/>
  <c r="B48" i="4"/>
  <c r="A48" i="4"/>
  <c r="J47" i="4"/>
  <c r="I47" i="4"/>
  <c r="H47" i="4"/>
  <c r="G47" i="4"/>
  <c r="F47" i="4"/>
  <c r="E47" i="4"/>
  <c r="D47" i="4"/>
  <c r="C47" i="4"/>
  <c r="B47" i="4"/>
  <c r="A47" i="4"/>
  <c r="J46" i="4"/>
  <c r="I46" i="4"/>
  <c r="H46" i="4"/>
  <c r="G46" i="4"/>
  <c r="F46" i="4"/>
  <c r="E46" i="4"/>
  <c r="D46" i="4"/>
  <c r="C46" i="4"/>
  <c r="B46" i="4"/>
  <c r="A46" i="4"/>
  <c r="J45" i="4"/>
  <c r="I45" i="4"/>
  <c r="H45" i="4"/>
  <c r="G45" i="4"/>
  <c r="F45" i="4"/>
  <c r="E45" i="4"/>
  <c r="D45" i="4"/>
  <c r="C45" i="4"/>
  <c r="B45" i="4"/>
  <c r="A45" i="4"/>
  <c r="J44" i="4"/>
  <c r="I44" i="4"/>
  <c r="H44" i="4"/>
  <c r="G44" i="4"/>
  <c r="F44" i="4"/>
  <c r="E44" i="4"/>
  <c r="D44" i="4"/>
  <c r="C44" i="4"/>
  <c r="B44" i="4"/>
  <c r="A44" i="4"/>
  <c r="J43" i="4"/>
  <c r="I43" i="4"/>
  <c r="H43" i="4"/>
  <c r="G43" i="4"/>
  <c r="F43" i="4"/>
  <c r="E43" i="4"/>
  <c r="D43" i="4"/>
  <c r="C43" i="4"/>
  <c r="B43" i="4"/>
  <c r="A43" i="4"/>
  <c r="J42" i="4"/>
  <c r="I42" i="4"/>
  <c r="H42" i="4"/>
  <c r="G42" i="4"/>
  <c r="F42" i="4"/>
  <c r="E42" i="4"/>
  <c r="D42" i="4"/>
  <c r="C42" i="4"/>
  <c r="B42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C39" i="4" l="1"/>
  <c r="C38" i="4"/>
  <c r="C37" i="4"/>
  <c r="C36" i="4"/>
  <c r="C35" i="4"/>
  <c r="C34" i="4"/>
  <c r="C33" i="4"/>
  <c r="C32" i="4"/>
  <c r="C31" i="4"/>
  <c r="C30" i="4"/>
  <c r="C29" i="4"/>
  <c r="B18" i="4"/>
  <c r="B14" i="4"/>
  <c r="F22" i="4"/>
  <c r="E22" i="4"/>
  <c r="C24" i="4"/>
  <c r="D22" i="4"/>
  <c r="C22" i="4"/>
  <c r="D23" i="4"/>
  <c r="C23" i="4"/>
  <c r="C35" i="3"/>
  <c r="C34" i="3"/>
  <c r="C33" i="3"/>
  <c r="C32" i="3"/>
  <c r="C31" i="3"/>
  <c r="C30" i="3"/>
  <c r="C29" i="3"/>
  <c r="B18" i="3"/>
  <c r="B14" i="3"/>
  <c r="F22" i="3"/>
  <c r="E22" i="3"/>
  <c r="C24" i="3"/>
  <c r="D22" i="3"/>
  <c r="C22" i="3"/>
  <c r="D23" i="3"/>
  <c r="C23" i="3"/>
  <c r="C34" i="2"/>
  <c r="C33" i="2"/>
  <c r="C32" i="2"/>
  <c r="C31" i="2"/>
  <c r="C30" i="2"/>
  <c r="C29" i="2"/>
  <c r="B18" i="2"/>
  <c r="B14" i="2"/>
  <c r="F22" i="2"/>
  <c r="E22" i="2"/>
  <c r="C24" i="2"/>
  <c r="D22" i="2"/>
  <c r="C22" i="2"/>
  <c r="D23" i="2"/>
  <c r="C23" i="2"/>
  <c r="K42" i="4" a="1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42" i="4"/>
  <c r="G29" i="4" a="1"/>
  <c r="G30" i="4"/>
  <c r="G31" i="4"/>
  <c r="G32" i="4"/>
  <c r="G33" i="4"/>
  <c r="G34" i="4"/>
  <c r="G35" i="4"/>
  <c r="G36" i="4"/>
  <c r="G37" i="4"/>
  <c r="G38" i="4"/>
  <c r="G39" i="4"/>
  <c r="G29" i="4"/>
  <c r="F29" i="4" a="1"/>
  <c r="F30" i="4"/>
  <c r="F31" i="4"/>
  <c r="F32" i="4"/>
  <c r="F33" i="4"/>
  <c r="F34" i="4"/>
  <c r="F35" i="4"/>
  <c r="F36" i="4"/>
  <c r="F37" i="4"/>
  <c r="F38" i="4"/>
  <c r="F39" i="4"/>
  <c r="F29" i="4"/>
  <c r="D29" i="4" a="1"/>
  <c r="D30" i="4"/>
  <c r="D31" i="4"/>
  <c r="D32" i="4"/>
  <c r="D33" i="4"/>
  <c r="D34" i="4"/>
  <c r="D35" i="4"/>
  <c r="D36" i="4"/>
  <c r="D37" i="4"/>
  <c r="D38" i="4"/>
  <c r="D39" i="4"/>
  <c r="D29" i="4"/>
  <c r="G38" i="3" a="1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8" i="3"/>
  <c r="G29" i="3" a="1"/>
  <c r="G30" i="3"/>
  <c r="G31" i="3"/>
  <c r="G32" i="3"/>
  <c r="G33" i="3"/>
  <c r="G34" i="3"/>
  <c r="G35" i="3"/>
  <c r="G29" i="3"/>
  <c r="F29" i="3" a="1"/>
  <c r="F30" i="3"/>
  <c r="F31" i="3"/>
  <c r="F32" i="3"/>
  <c r="F33" i="3"/>
  <c r="F34" i="3"/>
  <c r="F35" i="3"/>
  <c r="F29" i="3"/>
  <c r="D29" i="3" a="1"/>
  <c r="D30" i="3"/>
  <c r="D31" i="3"/>
  <c r="D32" i="3"/>
  <c r="D33" i="3"/>
  <c r="D34" i="3"/>
  <c r="D35" i="3"/>
  <c r="D29" i="3"/>
  <c r="F37" i="2" a="1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7" i="2"/>
  <c r="G29" i="2" a="1"/>
  <c r="G30" i="2"/>
  <c r="G31" i="2"/>
  <c r="G32" i="2"/>
  <c r="G33" i="2"/>
  <c r="G34" i="2"/>
  <c r="G29" i="2"/>
  <c r="F29" i="2" a="1"/>
  <c r="F30" i="2"/>
  <c r="F31" i="2"/>
  <c r="F32" i="2"/>
  <c r="F33" i="2"/>
  <c r="F34" i="2"/>
  <c r="F29" i="2"/>
  <c r="D29" i="2" a="1"/>
  <c r="D30" i="2"/>
  <c r="D31" i="2"/>
  <c r="D32" i="2"/>
  <c r="D33" i="2"/>
  <c r="D34" i="2"/>
  <c r="D29" i="2"/>
  <c r="E29" i="2" a="1"/>
  <c r="E30" i="2"/>
  <c r="E31" i="2"/>
  <c r="E32" i="2"/>
  <c r="E33" i="2"/>
  <c r="E34" i="2"/>
  <c r="E29" i="2"/>
  <c r="H37" i="2" a="1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7" i="2"/>
  <c r="E29" i="3" a="1"/>
  <c r="E30" i="3"/>
  <c r="E31" i="3"/>
  <c r="E32" i="3"/>
  <c r="E33" i="3"/>
  <c r="E34" i="3"/>
  <c r="E35" i="3"/>
  <c r="E29" i="3"/>
  <c r="I38" i="3" a="1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8" i="3"/>
  <c r="E29" i="4" a="1"/>
  <c r="E30" i="4"/>
  <c r="E31" i="4"/>
  <c r="E32" i="4"/>
  <c r="E33" i="4"/>
  <c r="E34" i="4"/>
  <c r="E35" i="4"/>
  <c r="E36" i="4"/>
  <c r="E37" i="4"/>
  <c r="E38" i="4"/>
  <c r="E39" i="4"/>
  <c r="E29" i="4"/>
  <c r="M42" i="4" a="1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42" i="4"/>
</calcChain>
</file>

<file path=xl/sharedStrings.xml><?xml version="1.0" encoding="utf-8"?>
<sst xmlns="http://schemas.openxmlformats.org/spreadsheetml/2006/main" count="1612" uniqueCount="138">
  <si>
    <r>
      <rPr>
        <sz val="10"/>
        <rFont val="Noto Sans CJK JP"/>
        <family val="2"/>
        <charset val="1"/>
      </rPr>
      <t>分析</t>
    </r>
    <r>
      <rPr>
        <sz val="10"/>
        <rFont val="Arial"/>
        <family val="2"/>
        <charset val="1"/>
      </rPr>
      <t>No</t>
    </r>
  </si>
  <si>
    <t>タイトル</t>
  </si>
  <si>
    <t>分析手法</t>
  </si>
  <si>
    <t>プラットフォーム</t>
  </si>
  <si>
    <t>分析者</t>
  </si>
  <si>
    <t>目的変数</t>
  </si>
  <si>
    <t>説明変数</t>
  </si>
  <si>
    <t>評価</t>
  </si>
  <si>
    <t>備考</t>
  </si>
  <si>
    <r>
      <rPr>
        <sz val="10"/>
        <rFont val="Arial"/>
        <family val="2"/>
        <charset val="1"/>
      </rPr>
      <t>5</t>
    </r>
    <r>
      <rPr>
        <sz val="10"/>
        <rFont val="Noto Sans CJK JP"/>
        <family val="2"/>
        <charset val="1"/>
      </rPr>
      <t>つのインセンティブ指標による重回帰分析</t>
    </r>
  </si>
  <si>
    <t>重回帰</t>
  </si>
  <si>
    <t>LibreCalc</t>
  </si>
  <si>
    <t>直江</t>
  </si>
  <si>
    <t>最終保険料率</t>
  </si>
  <si>
    <t xml:space="preserve">特定健診等、特定保健指導、対象者減少率
受診勧奨、後発医薬品
</t>
  </si>
  <si>
    <t>R^2=0.13527893</t>
  </si>
  <si>
    <t>保険料率に係る参考資料を基にした重回帰分析</t>
  </si>
  <si>
    <t xml:space="preserve">調整前所要保険料率、年齢調整、所得調整
一律加算保険料率、精算分
インセンティブ分
</t>
  </si>
  <si>
    <t>R^2=0.99709704</t>
  </si>
  <si>
    <t>“保険料率に係る参考資料”に最も忠実</t>
  </si>
  <si>
    <t>保険料率に係る参考資料を基にした重回帰分析
（インセンティブ分を5つの指標に分けたもの）</t>
  </si>
  <si>
    <t>調整前所要保険料率、年齢調整、所得調整
一律加算保険料率、精算分
特定健診等、特定保健指導、対象者減少率
受診勧奨、後発医薬品</t>
  </si>
  <si>
    <t>R^2=0.98570969</t>
  </si>
  <si>
    <t>シミュレータ用</t>
  </si>
  <si>
    <r>
      <rPr>
        <sz val="10"/>
        <rFont val="Noto Sans CJK JP"/>
        <family val="2"/>
        <charset val="1"/>
      </rPr>
      <t>データソース</t>
    </r>
    <r>
      <rPr>
        <sz val="10"/>
        <rFont val="Arial"/>
        <family val="2"/>
        <charset val="1"/>
      </rPr>
      <t>No</t>
    </r>
  </si>
  <si>
    <t>年度</t>
  </si>
  <si>
    <t>支部名</t>
  </si>
  <si>
    <t>特定健診等</t>
  </si>
  <si>
    <t>特定保健指導</t>
  </si>
  <si>
    <t>対象者減少率</t>
  </si>
  <si>
    <t>受診勧奨</t>
  </si>
  <si>
    <t>後発医薬品</t>
  </si>
  <si>
    <t>回帰</t>
  </si>
  <si>
    <t>北海道</t>
  </si>
  <si>
    <t>回帰モデル</t>
  </si>
  <si>
    <t>線形</t>
  </si>
  <si>
    <t>青森</t>
  </si>
  <si>
    <t>岩手</t>
  </si>
  <si>
    <t>LINEST raw output</t>
  </si>
  <si>
    <t>宮城</t>
  </si>
  <si>
    <t>秋田</t>
  </si>
  <si>
    <t>山形</t>
  </si>
  <si>
    <t>福島</t>
  </si>
  <si>
    <t>茨城</t>
  </si>
  <si>
    <t>栃木</t>
  </si>
  <si>
    <t>群馬</t>
  </si>
  <si>
    <t>Regression Statistics</t>
  </si>
  <si>
    <t>埼玉</t>
  </si>
  <si>
    <t>R^2</t>
  </si>
  <si>
    <t>千葉</t>
  </si>
  <si>
    <t>標準誤差</t>
  </si>
  <si>
    <t>東京</t>
  </si>
  <si>
    <r>
      <rPr>
        <sz val="10"/>
        <rFont val="Arial"/>
        <family val="2"/>
        <charset val="1"/>
      </rPr>
      <t>X</t>
    </r>
    <r>
      <rPr>
        <sz val="10"/>
        <rFont val="Noto Sans CJK JP"/>
        <family val="2"/>
        <charset val="1"/>
      </rPr>
      <t>変数の個数</t>
    </r>
  </si>
  <si>
    <t>神奈川</t>
  </si>
  <si>
    <t>観測</t>
  </si>
  <si>
    <t>新潟</t>
  </si>
  <si>
    <t>Adjusted R^2</t>
  </si>
  <si>
    <t>富山</t>
  </si>
  <si>
    <t>石川</t>
  </si>
  <si>
    <r>
      <rPr>
        <sz val="10"/>
        <rFont val="Noto Sans CJK JP"/>
        <family val="2"/>
        <charset val="1"/>
      </rPr>
      <t>分散分析（</t>
    </r>
    <r>
      <rPr>
        <sz val="10"/>
        <rFont val="Arial"/>
        <family val="2"/>
        <charset val="1"/>
      </rPr>
      <t>ANOVA</t>
    </r>
    <r>
      <rPr>
        <sz val="10"/>
        <rFont val="Noto Sans CJK JP"/>
        <family val="2"/>
        <charset val="1"/>
      </rPr>
      <t>）</t>
    </r>
  </si>
  <si>
    <t>福井</t>
  </si>
  <si>
    <t>自由度</t>
  </si>
  <si>
    <t>平方和</t>
  </si>
  <si>
    <t>平均平方</t>
  </si>
  <si>
    <t>F</t>
  </si>
  <si>
    <t>Significance F</t>
  </si>
  <si>
    <t>山梨</t>
  </si>
  <si>
    <t>長野</t>
  </si>
  <si>
    <t>残差</t>
  </si>
  <si>
    <t>岐阜</t>
  </si>
  <si>
    <t>合計</t>
  </si>
  <si>
    <t>静岡</t>
  </si>
  <si>
    <t>愛知</t>
  </si>
  <si>
    <t>信頼水準</t>
  </si>
  <si>
    <t>三重</t>
  </si>
  <si>
    <t>滋賀</t>
  </si>
  <si>
    <t>係数</t>
  </si>
  <si>
    <r>
      <rPr>
        <sz val="10"/>
        <rFont val="Arial"/>
        <family val="2"/>
        <charset val="1"/>
      </rPr>
      <t>t</t>
    </r>
    <r>
      <rPr>
        <sz val="10"/>
        <rFont val="Noto Sans CJK JP"/>
        <family val="2"/>
        <charset val="1"/>
      </rPr>
      <t>統計量</t>
    </r>
  </si>
  <si>
    <r>
      <rPr>
        <sz val="10"/>
        <rFont val="Arial"/>
        <family val="2"/>
        <charset val="1"/>
      </rPr>
      <t>P</t>
    </r>
    <r>
      <rPr>
        <sz val="10"/>
        <rFont val="Noto Sans CJK JP"/>
        <family val="2"/>
        <charset val="1"/>
      </rPr>
      <t>値</t>
    </r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</si>
  <si>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</si>
  <si>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</si>
  <si>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</si>
  <si>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</si>
  <si>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</si>
  <si>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</si>
  <si>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</si>
  <si>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</si>
  <si>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Predicted Y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</si>
  <si>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</si>
  <si>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</si>
  <si>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</si>
  <si>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</si>
  <si>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</si>
  <si>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</si>
  <si>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</si>
  <si>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</si>
  <si>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</si>
  <si>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</si>
  <si>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</si>
  <si>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</si>
  <si>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</si>
  <si>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</si>
  <si>
    <t>調整前所要保険料率</t>
  </si>
  <si>
    <t>年齢調整</t>
  </si>
  <si>
    <t>所得調整</t>
  </si>
  <si>
    <t>一律加算保険料率</t>
  </si>
  <si>
    <t>精算分</t>
  </si>
  <si>
    <t>インセンティブ分</t>
  </si>
  <si>
    <t>X変数の個数</t>
  </si>
  <si>
    <t>分散分析（ANOVA）</t>
  </si>
  <si>
    <t>t統計量</t>
  </si>
  <si>
    <t>P値</t>
  </si>
  <si>
    <t>No</t>
  </si>
  <si>
    <t>資料名</t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</si>
  <si>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_1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</si>
  <si>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_2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</si>
  <si>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_3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</si>
  <si>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_4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</si>
  <si>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_5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</si>
  <si>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_6</t>
    </r>
  </si>
  <si>
    <r>
      <rPr>
        <sz val="10"/>
        <rFont val="Noto Sans CJK JP"/>
        <family val="2"/>
        <charset val="1"/>
      </rPr>
      <t>令和</t>
    </r>
    <r>
      <rPr>
        <sz val="10"/>
        <rFont val="Arial"/>
        <family val="2"/>
        <charset val="1"/>
      </rPr>
      <t>OO</t>
    </r>
    <r>
      <rPr>
        <sz val="10"/>
        <rFont val="Noto Sans CJK JP"/>
        <family val="2"/>
        <charset val="1"/>
      </rPr>
      <t xml:space="preserve">年度都道府県単位保険料率に係る参考資料 </t>
    </r>
    <r>
      <rPr>
        <sz val="10"/>
        <rFont val="Arial"/>
        <family val="2"/>
        <charset val="1"/>
      </rPr>
      <t>PDF</t>
    </r>
  </si>
  <si>
    <t>R8</t>
  </si>
  <si>
    <t>R7</t>
  </si>
  <si>
    <t>R6</t>
  </si>
  <si>
    <t>R5</t>
  </si>
  <si>
    <t>R4</t>
  </si>
  <si>
    <t>R3</t>
  </si>
  <si>
    <r>
      <rPr>
        <sz val="10"/>
        <rFont val="Noto Sans CJK JP"/>
        <family val="2"/>
        <charset val="1"/>
      </rPr>
      <t>インセンティブ制度に係る令和</t>
    </r>
    <r>
      <rPr>
        <sz val="10"/>
        <rFont val="Arial"/>
        <family val="2"/>
        <charset val="1"/>
      </rPr>
      <t>OO</t>
    </r>
    <r>
      <rPr>
        <sz val="10"/>
        <rFont val="Noto Sans CJK JP"/>
        <family val="2"/>
        <charset val="1"/>
      </rPr>
      <t xml:space="preserve">年度実績について </t>
    </r>
    <r>
      <rPr>
        <sz val="10"/>
        <rFont val="Arial"/>
        <family val="2"/>
        <charset val="1"/>
      </rPr>
      <t>PDF</t>
    </r>
  </si>
  <si>
    <t>R2</t>
  </si>
  <si>
    <t>R1</t>
  </si>
  <si>
    <r>
      <rPr>
        <sz val="10"/>
        <rFont val="Noto Sans CJK JP"/>
        <family val="2"/>
        <charset val="1"/>
      </rPr>
      <t>都道府県</t>
    </r>
    <r>
      <rPr>
        <sz val="10"/>
        <rFont val="Arial"/>
        <family val="2"/>
        <charset val="1"/>
      </rPr>
      <t>No</t>
    </r>
  </si>
  <si>
    <t>都道府県名</t>
  </si>
  <si>
    <t>医療給付費に ついての調整前の 保険料率</t>
  </si>
  <si>
    <t>医療給付費に ついての調整後の 保険料率</t>
  </si>
  <si>
    <r>
      <rPr>
        <sz val="10"/>
        <color rgb="FF000000"/>
        <rFont val="Noto Sans CJK JP"/>
      </rPr>
      <t xml:space="preserve">所要保険料率 </t>
    </r>
    <r>
      <rPr>
        <sz val="10"/>
        <color rgb="FF000000"/>
        <rFont val="Times New Roman"/>
      </rPr>
      <t>(</t>
    </r>
    <r>
      <rPr>
        <sz val="10"/>
        <color rgb="FF000000"/>
        <rFont val="Noto Sans CJK JP"/>
      </rPr>
      <t>精算除く）</t>
    </r>
    <r>
      <rPr>
        <sz val="10"/>
        <color rgb="FF000000"/>
        <rFont val="Times New Roman"/>
      </rPr>
      <t>(a+b+</t>
    </r>
    <r>
      <rPr>
        <sz val="10"/>
        <color rgb="FF000000"/>
        <rFont val="Noto Sans CJK JP"/>
      </rPr>
      <t>一律加算保険料率</t>
    </r>
    <r>
      <rPr>
        <sz val="10"/>
        <color rgb="FF000000"/>
        <rFont val="Times New Roman"/>
      </rPr>
      <t>)</t>
    </r>
  </si>
  <si>
    <r>
      <rPr>
        <sz val="10"/>
        <rFont val="Noto Sans CJK JP"/>
        <family val="2"/>
        <charset val="1"/>
      </rPr>
      <t xml:space="preserve">保険料率 </t>
    </r>
    <r>
      <rPr>
        <sz val="10"/>
        <rFont val="Times New Roman"/>
        <family val="1"/>
        <charset val="1"/>
      </rPr>
      <t>(</t>
    </r>
    <r>
      <rPr>
        <sz val="10"/>
        <rFont val="Noto Sans CJK JP"/>
        <family val="2"/>
        <charset val="1"/>
      </rPr>
      <t>精算・インセンティブ反映 後）</t>
    </r>
  </si>
  <si>
    <t>計</t>
  </si>
  <si>
    <t>誤差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</si>
</sst>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#.00000000"/>
    <numFmt numFmtId="177" formatCode="#,###.0000"/>
    <numFmt numFmtId="178" formatCode="#,##0.00000000"/>
    <numFmt numFmtId="179" formatCode="#,###.000"/>
    <numFmt numFmtId="180" formatCode="#,###.00000"/>
    <numFmt numFmtId="181" formatCode="0.0"/>
  </numFmts>
  <fonts count="7">
    <font>
      <sz val="10"/>
      <name val="Noto Sans CJK JP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  <font>
      <sz val="10"/>
      <color rgb="FF000000"/>
      <name val="Noto Sans CJK JP"/>
    </font>
    <font>
      <sz val="10"/>
      <color rgb="FF000000"/>
      <name val="Times New Roman"/>
    </font>
    <font>
      <sz val="10"/>
      <color rgb="FF000000"/>
      <name val="Noto Sans CJK JP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176" fontId="0" fillId="0" borderId="0" xfId="0" applyNumberFormat="1"/>
    <xf numFmtId="177" fontId="0" fillId="0" borderId="0" xfId="0" applyNumberFormat="1"/>
    <xf numFmtId="0" fontId="2" fillId="0" borderId="1" xfId="0" applyFont="1" applyBorder="1" applyAlignment="1">
      <alignment wrapText="1"/>
    </xf>
    <xf numFmtId="2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1" xfId="0" applyBorder="1" applyAlignment="1">
      <alignment wrapText="1"/>
    </xf>
    <xf numFmtId="181" fontId="0" fillId="0" borderId="1" xfId="0" applyNumberFormat="1" applyBorder="1"/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176" fontId="0" fillId="2" borderId="0" xfId="0" applyNumberFormat="1" applyFill="1"/>
    <xf numFmtId="0" fontId="0" fillId="2" borderId="1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分析_1!$G$37</c:f>
              <c:strCache>
                <c:ptCount val="1"/>
                <c:pt idx="0">
                  <c:v>10.45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分析_1!$F$38:$F$318</c:f>
              <c:numCache>
                <c:formatCode>#,###.0000</c:formatCode>
                <c:ptCount val="281"/>
                <c:pt idx="0">
                  <c:v>10.005482860569522</c:v>
                </c:pt>
                <c:pt idx="1">
                  <c:v>9.9342638293840437</c:v>
                </c:pt>
                <c:pt idx="2">
                  <c:v>10.025445265686892</c:v>
                </c:pt>
                <c:pt idx="3">
                  <c:v>10.120136893110498</c:v>
                </c:pt>
                <c:pt idx="4">
                  <c:v>9.810397699517365</c:v>
                </c:pt>
                <c:pt idx="5">
                  <c:v>10.09805639164713</c:v>
                </c:pt>
                <c:pt idx="6">
                  <c:v>10.060530245817624</c:v>
                </c:pt>
                <c:pt idx="7">
                  <c:v>10.114363070899858</c:v>
                </c:pt>
                <c:pt idx="8">
                  <c:v>10.044824955440591</c:v>
                </c:pt>
                <c:pt idx="9">
                  <c:v>10.031497287238295</c:v>
                </c:pt>
                <c:pt idx="10">
                  <c:v>10.135063739292464</c:v>
                </c:pt>
                <c:pt idx="11">
                  <c:v>10.002775793270466</c:v>
                </c:pt>
                <c:pt idx="12">
                  <c:v>10.059154165127968</c:v>
                </c:pt>
                <c:pt idx="13">
                  <c:v>9.8639257242185288</c:v>
                </c:pt>
                <c:pt idx="14">
                  <c:v>9.9059075674037391</c:v>
                </c:pt>
                <c:pt idx="15">
                  <c:v>9.8825855370790894</c:v>
                </c:pt>
                <c:pt idx="16">
                  <c:v>9.9497954391759418</c:v>
                </c:pt>
                <c:pt idx="17">
                  <c:v>9.854386914633892</c:v>
                </c:pt>
                <c:pt idx="18">
                  <c:v>10.013053257714033</c:v>
                </c:pt>
                <c:pt idx="19">
                  <c:v>10.09265509578289</c:v>
                </c:pt>
                <c:pt idx="20">
                  <c:v>10.01435074055604</c:v>
                </c:pt>
                <c:pt idx="21">
                  <c:v>10.051357755163407</c:v>
                </c:pt>
                <c:pt idx="22">
                  <c:v>9.9464785562768547</c:v>
                </c:pt>
                <c:pt idx="23">
                  <c:v>10.09228990916761</c:v>
                </c:pt>
                <c:pt idx="24">
                  <c:v>10.028313074109601</c:v>
                </c:pt>
                <c:pt idx="25">
                  <c:v>10.136342034606312</c:v>
                </c:pt>
                <c:pt idx="26">
                  <c:v>10.059631814926915</c:v>
                </c:pt>
                <c:pt idx="27">
                  <c:v>10.211137140683602</c:v>
                </c:pt>
                <c:pt idx="28">
                  <c:v>10.142838983278326</c:v>
                </c:pt>
                <c:pt idx="29">
                  <c:v>10.033518706128234</c:v>
                </c:pt>
                <c:pt idx="30">
                  <c:v>9.9673046905069551</c:v>
                </c:pt>
                <c:pt idx="31">
                  <c:v>10.096985254393402</c:v>
                </c:pt>
                <c:pt idx="32">
                  <c:v>10.041484133523223</c:v>
                </c:pt>
                <c:pt idx="33">
                  <c:v>10.091963931743445</c:v>
                </c:pt>
                <c:pt idx="34">
                  <c:v>10.107546876550069</c:v>
                </c:pt>
                <c:pt idx="35">
                  <c:v>10.204516244486475</c:v>
                </c:pt>
                <c:pt idx="36">
                  <c:v>9.9916845691865124</c:v>
                </c:pt>
                <c:pt idx="37">
                  <c:v>9.8744571588075551</c:v>
                </c:pt>
                <c:pt idx="38">
                  <c:v>10.06551925828585</c:v>
                </c:pt>
                <c:pt idx="39">
                  <c:v>10.116776217462045</c:v>
                </c:pt>
                <c:pt idx="40">
                  <c:v>10.066734112330773</c:v>
                </c:pt>
                <c:pt idx="41">
                  <c:v>10.080215807458998</c:v>
                </c:pt>
                <c:pt idx="42">
                  <c:v>9.9889957989463571</c:v>
                </c:pt>
                <c:pt idx="43">
                  <c:v>10.131354739055123</c:v>
                </c:pt>
                <c:pt idx="44">
                  <c:v>10.08622207332084</c:v>
                </c:pt>
                <c:pt idx="45">
                  <c:v>10.128289499224913</c:v>
                </c:pt>
                <c:pt idx="46">
                  <c:v>10.076058803207248</c:v>
                </c:pt>
                <c:pt idx="47">
                  <c:v>9.9743472449648642</c:v>
                </c:pt>
                <c:pt idx="48">
                  <c:v>9.9501275271934908</c:v>
                </c:pt>
                <c:pt idx="49">
                  <c:v>9.9788071102001936</c:v>
                </c:pt>
                <c:pt idx="50">
                  <c:v>10.075266548890585</c:v>
                </c:pt>
                <c:pt idx="51">
                  <c:v>9.8054891570110971</c:v>
                </c:pt>
                <c:pt idx="52">
                  <c:v>10.125617189044268</c:v>
                </c:pt>
                <c:pt idx="53">
                  <c:v>9.9960991284034186</c:v>
                </c:pt>
                <c:pt idx="54">
                  <c:v>10.081652097375981</c:v>
                </c:pt>
                <c:pt idx="55">
                  <c:v>9.9904986587744684</c:v>
                </c:pt>
                <c:pt idx="56">
                  <c:v>10.082170651820915</c:v>
                </c:pt>
                <c:pt idx="57">
                  <c:v>10.16546648139496</c:v>
                </c:pt>
                <c:pt idx="58">
                  <c:v>10.042760981919605</c:v>
                </c:pt>
                <c:pt idx="59">
                  <c:v>10.115148490907092</c:v>
                </c:pt>
                <c:pt idx="60">
                  <c:v>9.8716290673367801</c:v>
                </c:pt>
                <c:pt idx="61">
                  <c:v>9.8798444922440058</c:v>
                </c:pt>
                <c:pt idx="62">
                  <c:v>9.8584533316062153</c:v>
                </c:pt>
                <c:pt idx="63">
                  <c:v>9.9537344474372791</c:v>
                </c:pt>
                <c:pt idx="64">
                  <c:v>9.8587877769366266</c:v>
                </c:pt>
                <c:pt idx="65">
                  <c:v>9.959734203138817</c:v>
                </c:pt>
                <c:pt idx="66">
                  <c:v>10.042939782094447</c:v>
                </c:pt>
                <c:pt idx="67">
                  <c:v>10.024101504836509</c:v>
                </c:pt>
                <c:pt idx="68">
                  <c:v>10.019146664538548</c:v>
                </c:pt>
                <c:pt idx="69">
                  <c:v>9.9426824527232966</c:v>
                </c:pt>
                <c:pt idx="70">
                  <c:v>10.033005880789064</c:v>
                </c:pt>
                <c:pt idx="71">
                  <c:v>9.9766924879835841</c:v>
                </c:pt>
                <c:pt idx="72">
                  <c:v>10.15202792529036</c:v>
                </c:pt>
                <c:pt idx="73">
                  <c:v>10.048586662504503</c:v>
                </c:pt>
                <c:pt idx="74">
                  <c:v>10.147247234989958</c:v>
                </c:pt>
                <c:pt idx="75">
                  <c:v>10.109172922307852</c:v>
                </c:pt>
                <c:pt idx="76">
                  <c:v>10.074361170075345</c:v>
                </c:pt>
                <c:pt idx="77">
                  <c:v>9.9239911148968272</c:v>
                </c:pt>
                <c:pt idx="78">
                  <c:v>10.073654430223744</c:v>
                </c:pt>
                <c:pt idx="79">
                  <c:v>10.003882263082161</c:v>
                </c:pt>
                <c:pt idx="80">
                  <c:v>10.046096058580563</c:v>
                </c:pt>
                <c:pt idx="81">
                  <c:v>10.085392722093442</c:v>
                </c:pt>
                <c:pt idx="82">
                  <c:v>10.166363955996813</c:v>
                </c:pt>
                <c:pt idx="83">
                  <c:v>9.9700136109662605</c:v>
                </c:pt>
                <c:pt idx="84">
                  <c:v>9.8192512955303339</c:v>
                </c:pt>
                <c:pt idx="85">
                  <c:v>10.061815761300064</c:v>
                </c:pt>
                <c:pt idx="86">
                  <c:v>10.123181324289318</c:v>
                </c:pt>
                <c:pt idx="87">
                  <c:v>10.072001085260055</c:v>
                </c:pt>
                <c:pt idx="88">
                  <c:v>10.070646893540856</c:v>
                </c:pt>
                <c:pt idx="89">
                  <c:v>9.9963521030454388</c:v>
                </c:pt>
                <c:pt idx="90">
                  <c:v>10.074602725990021</c:v>
                </c:pt>
                <c:pt idx="91">
                  <c:v>10.051503409888507</c:v>
                </c:pt>
                <c:pt idx="92">
                  <c:v>10.08591088332475</c:v>
                </c:pt>
                <c:pt idx="93">
                  <c:v>10.125134248342242</c:v>
                </c:pt>
                <c:pt idx="94">
                  <c:v>10.025063400652472</c:v>
                </c:pt>
                <c:pt idx="95">
                  <c:v>9.9344526213811761</c:v>
                </c:pt>
                <c:pt idx="96">
                  <c:v>10.042694956864876</c:v>
                </c:pt>
                <c:pt idx="97">
                  <c:v>10.158273156881803</c:v>
                </c:pt>
                <c:pt idx="98">
                  <c:v>9.8484732138205135</c:v>
                </c:pt>
                <c:pt idx="99">
                  <c:v>10.028215118820679</c:v>
                </c:pt>
                <c:pt idx="100">
                  <c:v>9.8859418141161282</c:v>
                </c:pt>
                <c:pt idx="101">
                  <c:v>9.9670853812702802</c:v>
                </c:pt>
                <c:pt idx="102">
                  <c:v>9.8943560724648822</c:v>
                </c:pt>
                <c:pt idx="103">
                  <c:v>9.9944745751589519</c:v>
                </c:pt>
                <c:pt idx="104">
                  <c:v>10.050774642415277</c:v>
                </c:pt>
                <c:pt idx="105">
                  <c:v>9.962578836277677</c:v>
                </c:pt>
                <c:pt idx="106">
                  <c:v>10.045230207120484</c:v>
                </c:pt>
                <c:pt idx="107">
                  <c:v>9.8239631343320539</c:v>
                </c:pt>
                <c:pt idx="108">
                  <c:v>9.8697433200695261</c:v>
                </c:pt>
                <c:pt idx="109">
                  <c:v>9.8785416481459922</c:v>
                </c:pt>
                <c:pt idx="110">
                  <c:v>9.8916511395235815</c:v>
                </c:pt>
                <c:pt idx="111">
                  <c:v>9.8295239763103606</c:v>
                </c:pt>
                <c:pt idx="112">
                  <c:v>10.004225154864601</c:v>
                </c:pt>
                <c:pt idx="113">
                  <c:v>9.9200976355447512</c:v>
                </c:pt>
                <c:pt idx="114">
                  <c:v>9.9296515079403846</c:v>
                </c:pt>
                <c:pt idx="115">
                  <c:v>9.9395992390004864</c:v>
                </c:pt>
                <c:pt idx="116">
                  <c:v>9.8550984879967274</c:v>
                </c:pt>
                <c:pt idx="117">
                  <c:v>9.8612699414903631</c:v>
                </c:pt>
                <c:pt idx="118">
                  <c:v>9.9374015973663461</c:v>
                </c:pt>
                <c:pt idx="119">
                  <c:v>10.059419962528567</c:v>
                </c:pt>
                <c:pt idx="120">
                  <c:v>9.9644445183990342</c:v>
                </c:pt>
                <c:pt idx="121">
                  <c:v>10.072765516966442</c:v>
                </c:pt>
                <c:pt idx="122">
                  <c:v>10.009817229919751</c:v>
                </c:pt>
                <c:pt idx="123">
                  <c:v>9.9820350976945917</c:v>
                </c:pt>
                <c:pt idx="124">
                  <c:v>9.8302473774670247</c:v>
                </c:pt>
                <c:pt idx="125">
                  <c:v>10.059642166574484</c:v>
                </c:pt>
                <c:pt idx="126">
                  <c:v>9.9538705735340862</c:v>
                </c:pt>
                <c:pt idx="127">
                  <c:v>9.9624200461385062</c:v>
                </c:pt>
                <c:pt idx="128">
                  <c:v>10.099845776349264</c:v>
                </c:pt>
                <c:pt idx="129">
                  <c:v>10.150061971517085</c:v>
                </c:pt>
                <c:pt idx="130">
                  <c:v>9.8806663392728957</c:v>
                </c:pt>
                <c:pt idx="131">
                  <c:v>9.7834772125045362</c:v>
                </c:pt>
                <c:pt idx="132">
                  <c:v>9.969729465986191</c:v>
                </c:pt>
                <c:pt idx="133">
                  <c:v>9.9770796488688234</c:v>
                </c:pt>
                <c:pt idx="134">
                  <c:v>10.034842962409732</c:v>
                </c:pt>
                <c:pt idx="135">
                  <c:v>9.9886935066152613</c:v>
                </c:pt>
                <c:pt idx="136">
                  <c:v>9.9174264188370636</c:v>
                </c:pt>
                <c:pt idx="137">
                  <c:v>9.9261250026719523</c:v>
                </c:pt>
                <c:pt idx="138">
                  <c:v>10.045107114682599</c:v>
                </c:pt>
                <c:pt idx="139">
                  <c:v>10.014629346632654</c:v>
                </c:pt>
                <c:pt idx="140">
                  <c:v>9.9521540207289068</c:v>
                </c:pt>
                <c:pt idx="141">
                  <c:v>9.8437465137994717</c:v>
                </c:pt>
                <c:pt idx="142">
                  <c:v>9.8389710059064566</c:v>
                </c:pt>
                <c:pt idx="143">
                  <c:v>9.8371199896483308</c:v>
                </c:pt>
                <c:pt idx="144">
                  <c:v>9.993362754884906</c:v>
                </c:pt>
                <c:pt idx="145">
                  <c:v>9.6930540726575973</c:v>
                </c:pt>
                <c:pt idx="146">
                  <c:v>10.024806786441943</c:v>
                </c:pt>
                <c:pt idx="147">
                  <c:v>9.9462699343952465</c:v>
                </c:pt>
                <c:pt idx="148">
                  <c:v>9.9767241183940811</c:v>
                </c:pt>
                <c:pt idx="149">
                  <c:v>9.931434344373443</c:v>
                </c:pt>
                <c:pt idx="150">
                  <c:v>9.9915392699624093</c:v>
                </c:pt>
                <c:pt idx="151">
                  <c:v>10.09774682211207</c:v>
                </c:pt>
                <c:pt idx="152">
                  <c:v>9.9846134294448721</c:v>
                </c:pt>
                <c:pt idx="153">
                  <c:v>10.035860516633482</c:v>
                </c:pt>
                <c:pt idx="154">
                  <c:v>9.7892127562387543</c:v>
                </c:pt>
                <c:pt idx="155">
                  <c:v>9.8430274245045553</c:v>
                </c:pt>
                <c:pt idx="156">
                  <c:v>9.8681445340562597</c:v>
                </c:pt>
                <c:pt idx="157">
                  <c:v>9.8787445629286914</c:v>
                </c:pt>
                <c:pt idx="158">
                  <c:v>9.8024413513115931</c:v>
                </c:pt>
                <c:pt idx="159">
                  <c:v>9.9716820573372491</c:v>
                </c:pt>
                <c:pt idx="160">
                  <c:v>9.9349808250456579</c:v>
                </c:pt>
                <c:pt idx="161">
                  <c:v>9.9371070131589505</c:v>
                </c:pt>
                <c:pt idx="162">
                  <c:v>9.9387173350434939</c:v>
                </c:pt>
                <c:pt idx="163">
                  <c:v>9.8349556556784528</c:v>
                </c:pt>
                <c:pt idx="164">
                  <c:v>9.9286475796204243</c:v>
                </c:pt>
                <c:pt idx="165">
                  <c:v>9.9446400590175994</c:v>
                </c:pt>
                <c:pt idx="166">
                  <c:v>10.057222456533575</c:v>
                </c:pt>
                <c:pt idx="167">
                  <c:v>9.9647441613234129</c:v>
                </c:pt>
                <c:pt idx="168">
                  <c:v>10.073486781517706</c:v>
                </c:pt>
                <c:pt idx="169">
                  <c:v>9.9726627016436744</c:v>
                </c:pt>
                <c:pt idx="170">
                  <c:v>9.994623216063955</c:v>
                </c:pt>
                <c:pt idx="171">
                  <c:v>9.7817843549265255</c:v>
                </c:pt>
                <c:pt idx="172">
                  <c:v>9.9488799288729286</c:v>
                </c:pt>
                <c:pt idx="173">
                  <c:v>9.9451361258208983</c:v>
                </c:pt>
                <c:pt idx="174">
                  <c:v>10.00401823093009</c:v>
                </c:pt>
                <c:pt idx="175">
                  <c:v>10.089590087945837</c:v>
                </c:pt>
                <c:pt idx="176">
                  <c:v>10.146852970594907</c:v>
                </c:pt>
                <c:pt idx="177">
                  <c:v>9.8863124675152445</c:v>
                </c:pt>
                <c:pt idx="178">
                  <c:v>9.7244288052522823</c:v>
                </c:pt>
                <c:pt idx="179">
                  <c:v>10.006018287552402</c:v>
                </c:pt>
                <c:pt idx="180">
                  <c:v>10.058569337479462</c:v>
                </c:pt>
                <c:pt idx="181">
                  <c:v>10.066720782331878</c:v>
                </c:pt>
                <c:pt idx="182">
                  <c:v>10.01746181040525</c:v>
                </c:pt>
                <c:pt idx="183">
                  <c:v>9.9328270782676658</c:v>
                </c:pt>
                <c:pt idx="184">
                  <c:v>9.9974708544016089</c:v>
                </c:pt>
                <c:pt idx="185">
                  <c:v>10.018164685211747</c:v>
                </c:pt>
                <c:pt idx="186">
                  <c:v>9.979582693565483</c:v>
                </c:pt>
                <c:pt idx="187">
                  <c:v>9.9469324007326545</c:v>
                </c:pt>
                <c:pt idx="188">
                  <c:v>9.9794025882655042</c:v>
                </c:pt>
                <c:pt idx="189">
                  <c:v>9.9113373430187011</c:v>
                </c:pt>
                <c:pt idx="190">
                  <c:v>9.8825784816437192</c:v>
                </c:pt>
                <c:pt idx="191">
                  <c:v>9.9696703683740235</c:v>
                </c:pt>
                <c:pt idx="192">
                  <c:v>9.7382620843761938</c:v>
                </c:pt>
                <c:pt idx="193">
                  <c:v>10.012723459176348</c:v>
                </c:pt>
                <c:pt idx="194">
                  <c:v>9.9390140069534159</c:v>
                </c:pt>
                <c:pt idx="195">
                  <c:v>9.9696969270724836</c:v>
                </c:pt>
                <c:pt idx="196">
                  <c:v>9.9232117843486076</c:v>
                </c:pt>
                <c:pt idx="197">
                  <c:v>10.019276676774957</c:v>
                </c:pt>
                <c:pt idx="198">
                  <c:v>10.08221025371828</c:v>
                </c:pt>
                <c:pt idx="199">
                  <c:v>9.976967158851707</c:v>
                </c:pt>
                <c:pt idx="200">
                  <c:v>10.051782362202209</c:v>
                </c:pt>
                <c:pt idx="201">
                  <c:v>9.823263265762014</c:v>
                </c:pt>
                <c:pt idx="202">
                  <c:v>9.8387969838293738</c:v>
                </c:pt>
                <c:pt idx="203">
                  <c:v>9.894106633391516</c:v>
                </c:pt>
                <c:pt idx="204">
                  <c:v>9.8390307719115508</c:v>
                </c:pt>
                <c:pt idx="205">
                  <c:v>9.8108681181417303</c:v>
                </c:pt>
                <c:pt idx="206">
                  <c:v>9.9649918588513557</c:v>
                </c:pt>
                <c:pt idx="207">
                  <c:v>9.9139192540602554</c:v>
                </c:pt>
                <c:pt idx="208">
                  <c:v>9.9328580949170497</c:v>
                </c:pt>
                <c:pt idx="209">
                  <c:v>9.9458756818045799</c:v>
                </c:pt>
                <c:pt idx="210">
                  <c:v>9.8407788331423998</c:v>
                </c:pt>
                <c:pt idx="211">
                  <c:v>9.8977665738977372</c:v>
                </c:pt>
                <c:pt idx="212">
                  <c:v>9.908917732731549</c:v>
                </c:pt>
                <c:pt idx="213">
                  <c:v>10.042481535523166</c:v>
                </c:pt>
                <c:pt idx="214">
                  <c:v>9.9464144623300434</c:v>
                </c:pt>
                <c:pt idx="215">
                  <c:v>10.033511590703396</c:v>
                </c:pt>
                <c:pt idx="216">
                  <c:v>9.9934669791306643</c:v>
                </c:pt>
                <c:pt idx="217">
                  <c:v>10.001230559489491</c:v>
                </c:pt>
                <c:pt idx="218">
                  <c:v>9.8022325015276905</c:v>
                </c:pt>
                <c:pt idx="219">
                  <c:v>9.9506288377948398</c:v>
                </c:pt>
                <c:pt idx="220">
                  <c:v>9.9432272051777915</c:v>
                </c:pt>
                <c:pt idx="221">
                  <c:v>9.9971174101121107</c:v>
                </c:pt>
                <c:pt idx="222">
                  <c:v>10.097868307201402</c:v>
                </c:pt>
                <c:pt idx="223">
                  <c:v>10.126307154720168</c:v>
                </c:pt>
                <c:pt idx="224">
                  <c:v>9.8713066083368588</c:v>
                </c:pt>
                <c:pt idx="225">
                  <c:v>9.733321721292242</c:v>
                </c:pt>
                <c:pt idx="226">
                  <c:v>9.9897026490444745</c:v>
                </c:pt>
                <c:pt idx="227">
                  <c:v>10.009397249035171</c:v>
                </c:pt>
                <c:pt idx="228">
                  <c:v>10.012422136438801</c:v>
                </c:pt>
                <c:pt idx="229">
                  <c:v>10.025116349543501</c:v>
                </c:pt>
                <c:pt idx="230">
                  <c:v>9.9348878903437612</c:v>
                </c:pt>
                <c:pt idx="231">
                  <c:v>9.958431979882798</c:v>
                </c:pt>
                <c:pt idx="232">
                  <c:v>10.07081814588763</c:v>
                </c:pt>
                <c:pt idx="233">
                  <c:v>10.011327519927963</c:v>
                </c:pt>
                <c:pt idx="234">
                  <c:v>9.9231401096234784</c:v>
                </c:pt>
                <c:pt idx="235">
                  <c:v>9.9155782560016732</c:v>
                </c:pt>
                <c:pt idx="236">
                  <c:v>9.8555417768248859</c:v>
                </c:pt>
                <c:pt idx="237">
                  <c:v>9.8675819116062531</c:v>
                </c:pt>
                <c:pt idx="238">
                  <c:v>9.9820946199993603</c:v>
                </c:pt>
                <c:pt idx="239">
                  <c:v>9.7180321338411702</c:v>
                </c:pt>
                <c:pt idx="240">
                  <c:v>9.9411466543359932</c:v>
                </c:pt>
                <c:pt idx="241">
                  <c:v>9.9022314771331779</c:v>
                </c:pt>
                <c:pt idx="242">
                  <c:v>9.9211477885582298</c:v>
                </c:pt>
                <c:pt idx="243">
                  <c:v>9.9116853678121259</c:v>
                </c:pt>
                <c:pt idx="244">
                  <c:v>9.9775644196681359</c:v>
                </c:pt>
                <c:pt idx="245">
                  <c:v>10.019344892530997</c:v>
                </c:pt>
                <c:pt idx="246">
                  <c:v>9.9745064573340301</c:v>
                </c:pt>
                <c:pt idx="247">
                  <c:v>9.9839977789485275</c:v>
                </c:pt>
                <c:pt idx="248">
                  <c:v>9.8600500170085628</c:v>
                </c:pt>
                <c:pt idx="249">
                  <c:v>9.7752487075923096</c:v>
                </c:pt>
                <c:pt idx="250">
                  <c:v>9.8600200913932365</c:v>
                </c:pt>
                <c:pt idx="251">
                  <c:v>9.7907826207206519</c:v>
                </c:pt>
                <c:pt idx="252">
                  <c:v>9.8177936932763252</c:v>
                </c:pt>
                <c:pt idx="253">
                  <c:v>9.8815462825353713</c:v>
                </c:pt>
                <c:pt idx="254">
                  <c:v>9.9105714256430879</c:v>
                </c:pt>
                <c:pt idx="255">
                  <c:v>9.8953877901538547</c:v>
                </c:pt>
                <c:pt idx="256">
                  <c:v>9.9302956087238741</c:v>
                </c:pt>
                <c:pt idx="257">
                  <c:v>9.8349969821114396</c:v>
                </c:pt>
                <c:pt idx="258">
                  <c:v>9.8351708263650597</c:v>
                </c:pt>
                <c:pt idx="259">
                  <c:v>9.859261846554114</c:v>
                </c:pt>
                <c:pt idx="260">
                  <c:v>10.00511144546093</c:v>
                </c:pt>
                <c:pt idx="261">
                  <c:v>9.9258104966214553</c:v>
                </c:pt>
                <c:pt idx="262">
                  <c:v>9.9807655002640647</c:v>
                </c:pt>
                <c:pt idx="263">
                  <c:v>9.8974576361718238</c:v>
                </c:pt>
                <c:pt idx="264">
                  <c:v>9.9296998477693421</c:v>
                </c:pt>
                <c:pt idx="265">
                  <c:v>9.9095565433369135</c:v>
                </c:pt>
                <c:pt idx="266">
                  <c:v>9.9199254522224809</c:v>
                </c:pt>
                <c:pt idx="267">
                  <c:v>9.9309675720469066</c:v>
                </c:pt>
                <c:pt idx="268">
                  <c:v>9.8836913658019991</c:v>
                </c:pt>
                <c:pt idx="269">
                  <c:v>10.10558448248786</c:v>
                </c:pt>
                <c:pt idx="270">
                  <c:v>10.07607577677096</c:v>
                </c:pt>
                <c:pt idx="271">
                  <c:v>9.8628862255228231</c:v>
                </c:pt>
                <c:pt idx="272">
                  <c:v>9.7153700616637249</c:v>
                </c:pt>
                <c:pt idx="273">
                  <c:v>9.9586781312747803</c:v>
                </c:pt>
                <c:pt idx="274">
                  <c:v>9.9676636153923575</c:v>
                </c:pt>
                <c:pt idx="275">
                  <c:v>9.9691013148958767</c:v>
                </c:pt>
                <c:pt idx="276">
                  <c:v>9.9874107978874633</c:v>
                </c:pt>
                <c:pt idx="277">
                  <c:v>9.9682445786451481</c:v>
                </c:pt>
                <c:pt idx="278">
                  <c:v>9.9433595088058766</c:v>
                </c:pt>
                <c:pt idx="279">
                  <c:v>9.9970066888800879</c:v>
                </c:pt>
                <c:pt idx="280">
                  <c:v>10.017469462197292</c:v>
                </c:pt>
              </c:numCache>
            </c:numRef>
          </c:xVal>
          <c:yVal>
            <c:numRef>
              <c:f>分析_1!$G$38:$G$318</c:f>
              <c:numCache>
                <c:formatCode>General</c:formatCode>
                <c:ptCount val="281"/>
                <c:pt idx="0">
                  <c:v>9.9600000000000009</c:v>
                </c:pt>
                <c:pt idx="1">
                  <c:v>9.74</c:v>
                </c:pt>
                <c:pt idx="2">
                  <c:v>10.01</c:v>
                </c:pt>
                <c:pt idx="3">
                  <c:v>10.16</c:v>
                </c:pt>
                <c:pt idx="4">
                  <c:v>10.029999999999999</c:v>
                </c:pt>
                <c:pt idx="5">
                  <c:v>9.64</c:v>
                </c:pt>
                <c:pt idx="6">
                  <c:v>9.74</c:v>
                </c:pt>
                <c:pt idx="7">
                  <c:v>9.8699999999999992</c:v>
                </c:pt>
                <c:pt idx="8">
                  <c:v>9.66</c:v>
                </c:pt>
                <c:pt idx="9">
                  <c:v>9.8000000000000007</c:v>
                </c:pt>
                <c:pt idx="10">
                  <c:v>9.7899999999999991</c:v>
                </c:pt>
                <c:pt idx="11">
                  <c:v>9.84</c:v>
                </c:pt>
                <c:pt idx="12">
                  <c:v>9.99</c:v>
                </c:pt>
                <c:pt idx="13">
                  <c:v>9.5</c:v>
                </c:pt>
                <c:pt idx="14">
                  <c:v>9.59</c:v>
                </c:pt>
                <c:pt idx="15">
                  <c:v>10.11</c:v>
                </c:pt>
                <c:pt idx="16">
                  <c:v>9.98</c:v>
                </c:pt>
                <c:pt idx="17">
                  <c:v>9.7899999999999991</c:v>
                </c:pt>
                <c:pt idx="18">
                  <c:v>9.7100000000000009</c:v>
                </c:pt>
                <c:pt idx="19">
                  <c:v>9.83</c:v>
                </c:pt>
                <c:pt idx="20">
                  <c:v>9.7200000000000006</c:v>
                </c:pt>
                <c:pt idx="21">
                  <c:v>9.91</c:v>
                </c:pt>
                <c:pt idx="22">
                  <c:v>9.81</c:v>
                </c:pt>
                <c:pt idx="23">
                  <c:v>9.7799999999999994</c:v>
                </c:pt>
                <c:pt idx="24">
                  <c:v>10.06</c:v>
                </c:pt>
                <c:pt idx="25">
                  <c:v>10.29</c:v>
                </c:pt>
                <c:pt idx="26">
                  <c:v>10.24</c:v>
                </c:pt>
                <c:pt idx="27">
                  <c:v>10</c:v>
                </c:pt>
                <c:pt idx="28">
                  <c:v>10.11</c:v>
                </c:pt>
                <c:pt idx="29">
                  <c:v>9.9700000000000006</c:v>
                </c:pt>
                <c:pt idx="30">
                  <c:v>10.029999999999999</c:v>
                </c:pt>
                <c:pt idx="31">
                  <c:v>10.18</c:v>
                </c:pt>
                <c:pt idx="32">
                  <c:v>10.039999999999999</c:v>
                </c:pt>
                <c:pt idx="33">
                  <c:v>10.220000000000001</c:v>
                </c:pt>
                <c:pt idx="34">
                  <c:v>10.29</c:v>
                </c:pt>
                <c:pt idx="35">
                  <c:v>10.28</c:v>
                </c:pt>
                <c:pt idx="36">
                  <c:v>10.220000000000001</c:v>
                </c:pt>
                <c:pt idx="37">
                  <c:v>10.17</c:v>
                </c:pt>
                <c:pt idx="38">
                  <c:v>10.220000000000001</c:v>
                </c:pt>
                <c:pt idx="39">
                  <c:v>10.68</c:v>
                </c:pt>
                <c:pt idx="40">
                  <c:v>10.26</c:v>
                </c:pt>
                <c:pt idx="41">
                  <c:v>10.29</c:v>
                </c:pt>
                <c:pt idx="42">
                  <c:v>10.3</c:v>
                </c:pt>
                <c:pt idx="43">
                  <c:v>9.83</c:v>
                </c:pt>
                <c:pt idx="44">
                  <c:v>10.36</c:v>
                </c:pt>
                <c:pt idx="45">
                  <c:v>9.9499999999999993</c:v>
                </c:pt>
                <c:pt idx="46">
                  <c:v>10.39</c:v>
                </c:pt>
                <c:pt idx="47">
                  <c:v>10.029999999999999</c:v>
                </c:pt>
                <c:pt idx="48">
                  <c:v>9.91</c:v>
                </c:pt>
                <c:pt idx="49">
                  <c:v>10.18</c:v>
                </c:pt>
                <c:pt idx="50">
                  <c:v>10.27</c:v>
                </c:pt>
                <c:pt idx="51">
                  <c:v>9.99</c:v>
                </c:pt>
                <c:pt idx="52">
                  <c:v>9.65</c:v>
                </c:pt>
                <c:pt idx="53">
                  <c:v>9.77</c:v>
                </c:pt>
                <c:pt idx="54">
                  <c:v>9.9</c:v>
                </c:pt>
                <c:pt idx="55">
                  <c:v>9.73</c:v>
                </c:pt>
                <c:pt idx="56">
                  <c:v>9.7100000000000009</c:v>
                </c:pt>
                <c:pt idx="57">
                  <c:v>9.76</c:v>
                </c:pt>
                <c:pt idx="58">
                  <c:v>9.81</c:v>
                </c:pt>
                <c:pt idx="59">
                  <c:v>9.85</c:v>
                </c:pt>
                <c:pt idx="60">
                  <c:v>9.51</c:v>
                </c:pt>
                <c:pt idx="61">
                  <c:v>9.61</c:v>
                </c:pt>
                <c:pt idx="62">
                  <c:v>9.89</c:v>
                </c:pt>
                <c:pt idx="63">
                  <c:v>9.9600000000000009</c:v>
                </c:pt>
                <c:pt idx="64">
                  <c:v>9.66</c:v>
                </c:pt>
                <c:pt idx="65">
                  <c:v>9.67</c:v>
                </c:pt>
                <c:pt idx="66">
                  <c:v>9.82</c:v>
                </c:pt>
                <c:pt idx="67">
                  <c:v>9.75</c:v>
                </c:pt>
                <c:pt idx="68">
                  <c:v>9.93</c:v>
                </c:pt>
                <c:pt idx="69">
                  <c:v>9.91</c:v>
                </c:pt>
                <c:pt idx="70">
                  <c:v>9.83</c:v>
                </c:pt>
                <c:pt idx="71">
                  <c:v>9.9499999999999993</c:v>
                </c:pt>
                <c:pt idx="72">
                  <c:v>10.220000000000001</c:v>
                </c:pt>
                <c:pt idx="73">
                  <c:v>10.130000000000001</c:v>
                </c:pt>
                <c:pt idx="74">
                  <c:v>9.9600000000000009</c:v>
                </c:pt>
                <c:pt idx="75">
                  <c:v>10.18</c:v>
                </c:pt>
                <c:pt idx="76">
                  <c:v>9.94</c:v>
                </c:pt>
                <c:pt idx="77">
                  <c:v>10.35</c:v>
                </c:pt>
                <c:pt idx="78">
                  <c:v>10.25</c:v>
                </c:pt>
                <c:pt idx="79">
                  <c:v>10.09</c:v>
                </c:pt>
                <c:pt idx="80">
                  <c:v>10.15</c:v>
                </c:pt>
                <c:pt idx="81">
                  <c:v>10.43</c:v>
                </c:pt>
                <c:pt idx="82">
                  <c:v>10.34</c:v>
                </c:pt>
                <c:pt idx="83">
                  <c:v>10.26</c:v>
                </c:pt>
                <c:pt idx="84">
                  <c:v>10.3</c:v>
                </c:pt>
                <c:pt idx="85">
                  <c:v>10.210000000000001</c:v>
                </c:pt>
                <c:pt idx="86">
                  <c:v>11</c:v>
                </c:pt>
                <c:pt idx="87">
                  <c:v>10.47</c:v>
                </c:pt>
                <c:pt idx="88">
                  <c:v>10.45</c:v>
                </c:pt>
                <c:pt idx="89">
                  <c:v>10.52</c:v>
                </c:pt>
                <c:pt idx="90">
                  <c:v>10.14</c:v>
                </c:pt>
                <c:pt idx="91">
                  <c:v>10.65</c:v>
                </c:pt>
                <c:pt idx="92">
                  <c:v>10.09</c:v>
                </c:pt>
                <c:pt idx="93">
                  <c:v>10.29</c:v>
                </c:pt>
                <c:pt idx="94">
                  <c:v>9.7899999999999991</c:v>
                </c:pt>
                <c:pt idx="95">
                  <c:v>9.77</c:v>
                </c:pt>
                <c:pt idx="96">
                  <c:v>10.050000000000001</c:v>
                </c:pt>
                <c:pt idx="97">
                  <c:v>9.86</c:v>
                </c:pt>
                <c:pt idx="98">
                  <c:v>9.98</c:v>
                </c:pt>
                <c:pt idx="99">
                  <c:v>9.5299999999999994</c:v>
                </c:pt>
                <c:pt idx="100">
                  <c:v>9.73</c:v>
                </c:pt>
                <c:pt idx="101">
                  <c:v>9.9600000000000009</c:v>
                </c:pt>
                <c:pt idx="102">
                  <c:v>9.76</c:v>
                </c:pt>
                <c:pt idx="103">
                  <c:v>9.82</c:v>
                </c:pt>
                <c:pt idx="104">
                  <c:v>9.8699999999999992</c:v>
                </c:pt>
                <c:pt idx="105">
                  <c:v>10</c:v>
                </c:pt>
                <c:pt idx="106">
                  <c:v>10.02</c:v>
                </c:pt>
                <c:pt idx="107">
                  <c:v>9.33</c:v>
                </c:pt>
                <c:pt idx="108">
                  <c:v>9.57</c:v>
                </c:pt>
                <c:pt idx="109">
                  <c:v>9.66</c:v>
                </c:pt>
                <c:pt idx="110">
                  <c:v>9.91</c:v>
                </c:pt>
                <c:pt idx="111">
                  <c:v>9.67</c:v>
                </c:pt>
                <c:pt idx="112">
                  <c:v>9.49</c:v>
                </c:pt>
                <c:pt idx="113">
                  <c:v>9.8000000000000007</c:v>
                </c:pt>
                <c:pt idx="114">
                  <c:v>9.75</c:v>
                </c:pt>
                <c:pt idx="115">
                  <c:v>10.01</c:v>
                </c:pt>
                <c:pt idx="116">
                  <c:v>9.81</c:v>
                </c:pt>
                <c:pt idx="117">
                  <c:v>9.73</c:v>
                </c:pt>
                <c:pt idx="118">
                  <c:v>10.09</c:v>
                </c:pt>
                <c:pt idx="119">
                  <c:v>10.29</c:v>
                </c:pt>
                <c:pt idx="120">
                  <c:v>10.17</c:v>
                </c:pt>
                <c:pt idx="121">
                  <c:v>10.14</c:v>
                </c:pt>
                <c:pt idx="122">
                  <c:v>9.94</c:v>
                </c:pt>
                <c:pt idx="123">
                  <c:v>9.82</c:v>
                </c:pt>
                <c:pt idx="124">
                  <c:v>10.26</c:v>
                </c:pt>
                <c:pt idx="125">
                  <c:v>10.07</c:v>
                </c:pt>
                <c:pt idx="126">
                  <c:v>9.92</c:v>
                </c:pt>
                <c:pt idx="127">
                  <c:v>9.9600000000000009</c:v>
                </c:pt>
                <c:pt idx="128">
                  <c:v>10.25</c:v>
                </c:pt>
                <c:pt idx="129">
                  <c:v>10.23</c:v>
                </c:pt>
                <c:pt idx="130">
                  <c:v>10.01</c:v>
                </c:pt>
                <c:pt idx="131">
                  <c:v>10.1</c:v>
                </c:pt>
                <c:pt idx="132">
                  <c:v>10.36</c:v>
                </c:pt>
                <c:pt idx="133">
                  <c:v>10.51</c:v>
                </c:pt>
                <c:pt idx="134">
                  <c:v>10.210000000000001</c:v>
                </c:pt>
                <c:pt idx="135">
                  <c:v>10.32</c:v>
                </c:pt>
                <c:pt idx="136">
                  <c:v>10.199999999999999</c:v>
                </c:pt>
                <c:pt idx="137">
                  <c:v>9.76</c:v>
                </c:pt>
                <c:pt idx="138">
                  <c:v>10.26</c:v>
                </c:pt>
                <c:pt idx="139">
                  <c:v>9.89</c:v>
                </c:pt>
                <c:pt idx="140">
                  <c:v>10.210000000000001</c:v>
                </c:pt>
                <c:pt idx="141">
                  <c:v>9.49</c:v>
                </c:pt>
                <c:pt idx="142">
                  <c:v>9.6300000000000008</c:v>
                </c:pt>
                <c:pt idx="143">
                  <c:v>10.01</c:v>
                </c:pt>
                <c:pt idx="144">
                  <c:v>9.85</c:v>
                </c:pt>
                <c:pt idx="145">
                  <c:v>9.84</c:v>
                </c:pt>
                <c:pt idx="146">
                  <c:v>9.59</c:v>
                </c:pt>
                <c:pt idx="147">
                  <c:v>9.66</c:v>
                </c:pt>
                <c:pt idx="148">
                  <c:v>9.7899999999999991</c:v>
                </c:pt>
                <c:pt idx="149">
                  <c:v>9.81</c:v>
                </c:pt>
                <c:pt idx="150">
                  <c:v>9.7799999999999994</c:v>
                </c:pt>
                <c:pt idx="151">
                  <c:v>9.77</c:v>
                </c:pt>
                <c:pt idx="152">
                  <c:v>9.98</c:v>
                </c:pt>
                <c:pt idx="153">
                  <c:v>10.02</c:v>
                </c:pt>
                <c:pt idx="154">
                  <c:v>9.35</c:v>
                </c:pt>
                <c:pt idx="155">
                  <c:v>9.6199999999999992</c:v>
                </c:pt>
                <c:pt idx="156">
                  <c:v>9.94</c:v>
                </c:pt>
                <c:pt idx="157">
                  <c:v>10.07</c:v>
                </c:pt>
                <c:pt idx="158">
                  <c:v>9.94</c:v>
                </c:pt>
                <c:pt idx="159">
                  <c:v>9.5500000000000007</c:v>
                </c:pt>
                <c:pt idx="160">
                  <c:v>9.91</c:v>
                </c:pt>
                <c:pt idx="161">
                  <c:v>9.85</c:v>
                </c:pt>
                <c:pt idx="162">
                  <c:v>10.02</c:v>
                </c:pt>
                <c:pt idx="163">
                  <c:v>9.94</c:v>
                </c:pt>
                <c:pt idx="164">
                  <c:v>9.89</c:v>
                </c:pt>
                <c:pt idx="165">
                  <c:v>10.130000000000001</c:v>
                </c:pt>
                <c:pt idx="166">
                  <c:v>10.34</c:v>
                </c:pt>
                <c:pt idx="167">
                  <c:v>10.18</c:v>
                </c:pt>
                <c:pt idx="168">
                  <c:v>10.220000000000001</c:v>
                </c:pt>
                <c:pt idx="169">
                  <c:v>10</c:v>
                </c:pt>
                <c:pt idx="170">
                  <c:v>9.68</c:v>
                </c:pt>
                <c:pt idx="171">
                  <c:v>9.92</c:v>
                </c:pt>
                <c:pt idx="172">
                  <c:v>10.02</c:v>
                </c:pt>
                <c:pt idx="173">
                  <c:v>9.9499999999999993</c:v>
                </c:pt>
                <c:pt idx="174">
                  <c:v>10.199999999999999</c:v>
                </c:pt>
                <c:pt idx="175">
                  <c:v>10.19</c:v>
                </c:pt>
                <c:pt idx="176">
                  <c:v>10.33</c:v>
                </c:pt>
                <c:pt idx="177">
                  <c:v>10.029999999999999</c:v>
                </c:pt>
                <c:pt idx="178">
                  <c:v>9.89</c:v>
                </c:pt>
                <c:pt idx="179">
                  <c:v>10.35</c:v>
                </c:pt>
                <c:pt idx="180">
                  <c:v>10.42</c:v>
                </c:pt>
                <c:pt idx="181">
                  <c:v>10.17</c:v>
                </c:pt>
                <c:pt idx="182">
                  <c:v>10.3</c:v>
                </c:pt>
                <c:pt idx="183">
                  <c:v>10.25</c:v>
                </c:pt>
                <c:pt idx="184">
                  <c:v>9.85</c:v>
                </c:pt>
                <c:pt idx="185">
                  <c:v>10.130000000000001</c:v>
                </c:pt>
                <c:pt idx="186">
                  <c:v>9.52</c:v>
                </c:pt>
                <c:pt idx="187">
                  <c:v>10.31</c:v>
                </c:pt>
                <c:pt idx="188">
                  <c:v>9.85</c:v>
                </c:pt>
                <c:pt idx="189">
                  <c:v>9.6199999999999992</c:v>
                </c:pt>
                <c:pt idx="190">
                  <c:v>10.11</c:v>
                </c:pt>
                <c:pt idx="191">
                  <c:v>10.01</c:v>
                </c:pt>
                <c:pt idx="192">
                  <c:v>9.75</c:v>
                </c:pt>
                <c:pt idx="193">
                  <c:v>9.6199999999999992</c:v>
                </c:pt>
                <c:pt idx="194">
                  <c:v>9.67</c:v>
                </c:pt>
                <c:pt idx="195">
                  <c:v>9.82</c:v>
                </c:pt>
                <c:pt idx="196">
                  <c:v>9.77</c:v>
                </c:pt>
                <c:pt idx="197">
                  <c:v>9.76</c:v>
                </c:pt>
                <c:pt idx="198">
                  <c:v>9.7899999999999991</c:v>
                </c:pt>
                <c:pt idx="199">
                  <c:v>9.91</c:v>
                </c:pt>
                <c:pt idx="200">
                  <c:v>9.92</c:v>
                </c:pt>
                <c:pt idx="201">
                  <c:v>9.5500000000000007</c:v>
                </c:pt>
                <c:pt idx="202">
                  <c:v>9.65</c:v>
                </c:pt>
                <c:pt idx="203">
                  <c:v>9.8800000000000008</c:v>
                </c:pt>
                <c:pt idx="204">
                  <c:v>9.94</c:v>
                </c:pt>
                <c:pt idx="205">
                  <c:v>9.89</c:v>
                </c:pt>
                <c:pt idx="206">
                  <c:v>9.69</c:v>
                </c:pt>
                <c:pt idx="207">
                  <c:v>9.93</c:v>
                </c:pt>
                <c:pt idx="208">
                  <c:v>9.8000000000000007</c:v>
                </c:pt>
                <c:pt idx="209">
                  <c:v>10.029999999999999</c:v>
                </c:pt>
                <c:pt idx="210">
                  <c:v>9.99</c:v>
                </c:pt>
                <c:pt idx="211">
                  <c:v>9.9700000000000006</c:v>
                </c:pt>
                <c:pt idx="212">
                  <c:v>10.029999999999999</c:v>
                </c:pt>
                <c:pt idx="213">
                  <c:v>10.24</c:v>
                </c:pt>
                <c:pt idx="214">
                  <c:v>10.16</c:v>
                </c:pt>
                <c:pt idx="215">
                  <c:v>10.02</c:v>
                </c:pt>
                <c:pt idx="216">
                  <c:v>10.19</c:v>
                </c:pt>
                <c:pt idx="217">
                  <c:v>9.93</c:v>
                </c:pt>
                <c:pt idx="218">
                  <c:v>9.94</c:v>
                </c:pt>
                <c:pt idx="219">
                  <c:v>10.17</c:v>
                </c:pt>
                <c:pt idx="220">
                  <c:v>9.9700000000000006</c:v>
                </c:pt>
                <c:pt idx="221">
                  <c:v>10.36</c:v>
                </c:pt>
                <c:pt idx="222">
                  <c:v>10.47</c:v>
                </c:pt>
                <c:pt idx="223">
                  <c:v>10.210000000000001</c:v>
                </c:pt>
                <c:pt idx="224">
                  <c:v>10.18</c:v>
                </c:pt>
                <c:pt idx="225">
                  <c:v>10.130000000000001</c:v>
                </c:pt>
                <c:pt idx="226">
                  <c:v>10.31</c:v>
                </c:pt>
                <c:pt idx="227">
                  <c:v>10.78</c:v>
                </c:pt>
                <c:pt idx="228">
                  <c:v>10.41</c:v>
                </c:pt>
                <c:pt idx="229">
                  <c:v>10.119999999999999</c:v>
                </c:pt>
                <c:pt idx="230">
                  <c:v>10.25</c:v>
                </c:pt>
                <c:pt idx="231">
                  <c:v>10.09</c:v>
                </c:pt>
                <c:pt idx="232">
                  <c:v>10.31</c:v>
                </c:pt>
                <c:pt idx="233">
                  <c:v>9.44</c:v>
                </c:pt>
                <c:pt idx="234">
                  <c:v>10.28</c:v>
                </c:pt>
                <c:pt idx="235">
                  <c:v>9.85</c:v>
                </c:pt>
                <c:pt idx="236">
                  <c:v>9.51</c:v>
                </c:pt>
                <c:pt idx="237">
                  <c:v>10.1</c:v>
                </c:pt>
                <c:pt idx="238">
                  <c:v>10.01</c:v>
                </c:pt>
                <c:pt idx="239">
                  <c:v>9.75</c:v>
                </c:pt>
                <c:pt idx="240">
                  <c:v>9.5</c:v>
                </c:pt>
                <c:pt idx="241">
                  <c:v>9.52</c:v>
                </c:pt>
                <c:pt idx="242">
                  <c:v>9.82</c:v>
                </c:pt>
                <c:pt idx="243">
                  <c:v>9.68</c:v>
                </c:pt>
                <c:pt idx="244">
                  <c:v>9.67</c:v>
                </c:pt>
                <c:pt idx="245">
                  <c:v>9.73</c:v>
                </c:pt>
                <c:pt idx="246">
                  <c:v>9.85</c:v>
                </c:pt>
                <c:pt idx="247">
                  <c:v>9.92</c:v>
                </c:pt>
                <c:pt idx="248">
                  <c:v>9.2100000000000009</c:v>
                </c:pt>
                <c:pt idx="249">
                  <c:v>9.59</c:v>
                </c:pt>
                <c:pt idx="250">
                  <c:v>9.6999999999999993</c:v>
                </c:pt>
                <c:pt idx="251">
                  <c:v>9.7100000000000009</c:v>
                </c:pt>
                <c:pt idx="252">
                  <c:v>9.5500000000000007</c:v>
                </c:pt>
                <c:pt idx="253">
                  <c:v>9.6300000000000008</c:v>
                </c:pt>
                <c:pt idx="254">
                  <c:v>9.8000000000000007</c:v>
                </c:pt>
                <c:pt idx="255">
                  <c:v>9.61</c:v>
                </c:pt>
                <c:pt idx="256">
                  <c:v>9.93</c:v>
                </c:pt>
                <c:pt idx="257">
                  <c:v>9.77</c:v>
                </c:pt>
                <c:pt idx="258">
                  <c:v>9.8800000000000008</c:v>
                </c:pt>
                <c:pt idx="259">
                  <c:v>9.89</c:v>
                </c:pt>
                <c:pt idx="260">
                  <c:v>10.130000000000001</c:v>
                </c:pt>
                <c:pt idx="261">
                  <c:v>10.119999999999999</c:v>
                </c:pt>
                <c:pt idx="262">
                  <c:v>9.91</c:v>
                </c:pt>
                <c:pt idx="263">
                  <c:v>10.06</c:v>
                </c:pt>
                <c:pt idx="264">
                  <c:v>9.86</c:v>
                </c:pt>
                <c:pt idx="265">
                  <c:v>9.94</c:v>
                </c:pt>
                <c:pt idx="266">
                  <c:v>10.050000000000001</c:v>
                </c:pt>
                <c:pt idx="267">
                  <c:v>9.7799999999999994</c:v>
                </c:pt>
                <c:pt idx="268">
                  <c:v>10.15</c:v>
                </c:pt>
                <c:pt idx="269">
                  <c:v>10.24</c:v>
                </c:pt>
                <c:pt idx="270">
                  <c:v>10.02</c:v>
                </c:pt>
                <c:pt idx="271">
                  <c:v>9.98</c:v>
                </c:pt>
                <c:pt idx="272">
                  <c:v>10.050000000000001</c:v>
                </c:pt>
                <c:pt idx="273">
                  <c:v>10.11</c:v>
                </c:pt>
                <c:pt idx="274">
                  <c:v>10.55</c:v>
                </c:pt>
                <c:pt idx="275">
                  <c:v>10.06</c:v>
                </c:pt>
                <c:pt idx="276">
                  <c:v>10.08</c:v>
                </c:pt>
                <c:pt idx="277">
                  <c:v>10.08</c:v>
                </c:pt>
                <c:pt idx="278">
                  <c:v>9.77</c:v>
                </c:pt>
                <c:pt idx="279">
                  <c:v>10.130000000000001</c:v>
                </c:pt>
                <c:pt idx="280">
                  <c:v>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72-4AB1-A420-C89740957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72559"/>
        <c:axId val="6935148"/>
      </c:scatterChart>
      <c:valAx>
        <c:axId val="372725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6935148"/>
        <c:crosses val="autoZero"/>
        <c:crossBetween val="midCat"/>
      </c:valAx>
      <c:valAx>
        <c:axId val="69351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3727255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分析_2!$H$37</c:f>
              <c:strCache>
                <c:ptCount val="1"/>
                <c:pt idx="0">
                  <c:v>Y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分析_2!$G$38:$G$319</c:f>
              <c:numCache>
                <c:formatCode>#,###.000</c:formatCode>
                <c:ptCount val="282"/>
                <c:pt idx="0">
                  <c:v>10.465887273958074</c:v>
                </c:pt>
                <c:pt idx="1">
                  <c:v>9.9683685608481767</c:v>
                </c:pt>
                <c:pt idx="2">
                  <c:v>9.7393979428355735</c:v>
                </c:pt>
                <c:pt idx="3">
                  <c:v>10.012143180187774</c:v>
                </c:pt>
                <c:pt idx="4">
                  <c:v>10.182679919506322</c:v>
                </c:pt>
                <c:pt idx="5">
                  <c:v>10.036655484873116</c:v>
                </c:pt>
                <c:pt idx="6">
                  <c:v>9.6388299877538266</c:v>
                </c:pt>
                <c:pt idx="7">
                  <c:v>9.7545371318805003</c:v>
                </c:pt>
                <c:pt idx="8">
                  <c:v>9.8735029780478349</c:v>
                </c:pt>
                <c:pt idx="9">
                  <c:v>9.6751692290234796</c:v>
                </c:pt>
                <c:pt idx="10">
                  <c:v>9.804478817116685</c:v>
                </c:pt>
                <c:pt idx="11">
                  <c:v>9.8052387743116309</c:v>
                </c:pt>
                <c:pt idx="12">
                  <c:v>9.8489850605415974</c:v>
                </c:pt>
                <c:pt idx="13">
                  <c:v>10.007001293357469</c:v>
                </c:pt>
                <c:pt idx="14">
                  <c:v>9.4979881268637474</c:v>
                </c:pt>
                <c:pt idx="15">
                  <c:v>9.5985380130978211</c:v>
                </c:pt>
                <c:pt idx="16">
                  <c:v>10.11435758465749</c:v>
                </c:pt>
                <c:pt idx="17">
                  <c:v>9.9892905396447986</c:v>
                </c:pt>
                <c:pt idx="18">
                  <c:v>9.7950963750285425</c:v>
                </c:pt>
                <c:pt idx="19">
                  <c:v>9.7203925609995565</c:v>
                </c:pt>
                <c:pt idx="20">
                  <c:v>9.8341111568208976</c:v>
                </c:pt>
                <c:pt idx="21">
                  <c:v>9.7436515675682678</c:v>
                </c:pt>
                <c:pt idx="22">
                  <c:v>9.9152135791125708</c:v>
                </c:pt>
                <c:pt idx="23">
                  <c:v>9.8243355487612742</c:v>
                </c:pt>
                <c:pt idx="24">
                  <c:v>9.7580558295614779</c:v>
                </c:pt>
                <c:pt idx="25">
                  <c:v>10.06407237737659</c:v>
                </c:pt>
                <c:pt idx="26">
                  <c:v>10.296180274195004</c:v>
                </c:pt>
                <c:pt idx="27">
                  <c:v>10.254685768059348</c:v>
                </c:pt>
                <c:pt idx="28">
                  <c:v>10.011043534678764</c:v>
                </c:pt>
                <c:pt idx="29">
                  <c:v>10.120350474273589</c:v>
                </c:pt>
                <c:pt idx="30">
                  <c:v>9.9701221198313998</c:v>
                </c:pt>
                <c:pt idx="31">
                  <c:v>10.037327290318727</c:v>
                </c:pt>
                <c:pt idx="32">
                  <c:v>10.183146230157135</c:v>
                </c:pt>
                <c:pt idx="33">
                  <c:v>10.043859951045624</c:v>
                </c:pt>
                <c:pt idx="34">
                  <c:v>10.236299225175237</c:v>
                </c:pt>
                <c:pt idx="35">
                  <c:v>10.294720965158701</c:v>
                </c:pt>
                <c:pt idx="36">
                  <c:v>10.285145243788607</c:v>
                </c:pt>
                <c:pt idx="37">
                  <c:v>10.230072449777085</c:v>
                </c:pt>
                <c:pt idx="38">
                  <c:v>10.184293319796954</c:v>
                </c:pt>
                <c:pt idx="39">
                  <c:v>10.223485819090449</c:v>
                </c:pt>
                <c:pt idx="40">
                  <c:v>10.683150237499278</c:v>
                </c:pt>
                <c:pt idx="41">
                  <c:v>10.269437694204006</c:v>
                </c:pt>
                <c:pt idx="42">
                  <c:v>10.307973844429027</c:v>
                </c:pt>
                <c:pt idx="43">
                  <c:v>10.300471216056376</c:v>
                </c:pt>
                <c:pt idx="44">
                  <c:v>9.8276230510989269</c:v>
                </c:pt>
                <c:pt idx="45">
                  <c:v>10.357885773428229</c:v>
                </c:pt>
                <c:pt idx="46">
                  <c:v>9.937576443228755</c:v>
                </c:pt>
                <c:pt idx="47">
                  <c:v>10.384357790941579</c:v>
                </c:pt>
                <c:pt idx="48">
                  <c:v>10.011254832736375</c:v>
                </c:pt>
                <c:pt idx="49">
                  <c:v>9.8961186011232805</c:v>
                </c:pt>
                <c:pt idx="50">
                  <c:v>10.182947353449322</c:v>
                </c:pt>
                <c:pt idx="51">
                  <c:v>10.261926851474657</c:v>
                </c:pt>
                <c:pt idx="52">
                  <c:v>9.9953181545299969</c:v>
                </c:pt>
                <c:pt idx="53">
                  <c:v>9.6549086718409836</c:v>
                </c:pt>
                <c:pt idx="54">
                  <c:v>9.7608056155187661</c:v>
                </c:pt>
                <c:pt idx="55">
                  <c:v>9.9051414163362121</c:v>
                </c:pt>
                <c:pt idx="56">
                  <c:v>9.7305832472049207</c:v>
                </c:pt>
                <c:pt idx="57">
                  <c:v>9.7121467520179703</c:v>
                </c:pt>
                <c:pt idx="58">
                  <c:v>9.7619283033483342</c:v>
                </c:pt>
                <c:pt idx="59">
                  <c:v>9.8154081157687916</c:v>
                </c:pt>
                <c:pt idx="60">
                  <c:v>9.8552836563797364</c:v>
                </c:pt>
                <c:pt idx="61">
                  <c:v>9.5049055799545918</c:v>
                </c:pt>
                <c:pt idx="62">
                  <c:v>9.5975358810166878</c:v>
                </c:pt>
                <c:pt idx="63">
                  <c:v>9.9029520624929841</c:v>
                </c:pt>
                <c:pt idx="64">
                  <c:v>9.9716425051837909</c:v>
                </c:pt>
                <c:pt idx="65">
                  <c:v>9.6515321046656624</c:v>
                </c:pt>
                <c:pt idx="66">
                  <c:v>9.6676863118436707</c:v>
                </c:pt>
                <c:pt idx="67">
                  <c:v>9.8101903360035614</c:v>
                </c:pt>
                <c:pt idx="68">
                  <c:v>9.7308565308722876</c:v>
                </c:pt>
                <c:pt idx="69">
                  <c:v>9.921350956000202</c:v>
                </c:pt>
                <c:pt idx="70">
                  <c:v>9.9093291330803481</c:v>
                </c:pt>
                <c:pt idx="71">
                  <c:v>9.8260356622181053</c:v>
                </c:pt>
                <c:pt idx="72">
                  <c:v>9.9522489634903142</c:v>
                </c:pt>
                <c:pt idx="73">
                  <c:v>10.223366911352469</c:v>
                </c:pt>
                <c:pt idx="74">
                  <c:v>10.132347883107487</c:v>
                </c:pt>
                <c:pt idx="75">
                  <c:v>9.9598378475278313</c:v>
                </c:pt>
                <c:pt idx="76">
                  <c:v>10.193850249692488</c:v>
                </c:pt>
                <c:pt idx="77">
                  <c:v>9.957154374418268</c:v>
                </c:pt>
                <c:pt idx="78">
                  <c:v>10.352937452345252</c:v>
                </c:pt>
                <c:pt idx="79">
                  <c:v>10.240534917489784</c:v>
                </c:pt>
                <c:pt idx="80">
                  <c:v>10.089843556898725</c:v>
                </c:pt>
                <c:pt idx="81">
                  <c:v>10.154298665703546</c:v>
                </c:pt>
                <c:pt idx="82">
                  <c:v>10.417841229028204</c:v>
                </c:pt>
                <c:pt idx="83">
                  <c:v>10.332194249784228</c:v>
                </c:pt>
                <c:pt idx="84">
                  <c:v>10.247012408746938</c:v>
                </c:pt>
                <c:pt idx="85">
                  <c:v>10.291135565370153</c:v>
                </c:pt>
                <c:pt idx="86">
                  <c:v>10.212638124448047</c:v>
                </c:pt>
                <c:pt idx="87">
                  <c:v>10.990547382821996</c:v>
                </c:pt>
                <c:pt idx="88">
                  <c:v>10.467132109899326</c:v>
                </c:pt>
                <c:pt idx="89">
                  <c:v>10.449880552981243</c:v>
                </c:pt>
                <c:pt idx="90">
                  <c:v>10.509644578501605</c:v>
                </c:pt>
                <c:pt idx="91">
                  <c:v>10.138272792848502</c:v>
                </c:pt>
                <c:pt idx="92">
                  <c:v>10.652589653274335</c:v>
                </c:pt>
                <c:pt idx="93">
                  <c:v>10.076504848388602</c:v>
                </c:pt>
                <c:pt idx="94">
                  <c:v>10.294919409378815</c:v>
                </c:pt>
                <c:pt idx="95">
                  <c:v>9.7977574420689084</c:v>
                </c:pt>
                <c:pt idx="96">
                  <c:v>9.7667617000624851</c:v>
                </c:pt>
                <c:pt idx="97">
                  <c:v>10.056077659266192</c:v>
                </c:pt>
                <c:pt idx="98">
                  <c:v>9.8608997960250839</c:v>
                </c:pt>
                <c:pt idx="99">
                  <c:v>9.9722926041712192</c:v>
                </c:pt>
                <c:pt idx="100">
                  <c:v>9.528045556719352</c:v>
                </c:pt>
                <c:pt idx="101">
                  <c:v>9.731004269821975</c:v>
                </c:pt>
                <c:pt idx="102">
                  <c:v>9.9559874626196088</c:v>
                </c:pt>
                <c:pt idx="103">
                  <c:v>9.7592597329094861</c:v>
                </c:pt>
                <c:pt idx="104">
                  <c:v>9.8209375656431508</c:v>
                </c:pt>
                <c:pt idx="105">
                  <c:v>9.8709705809604706</c:v>
                </c:pt>
                <c:pt idx="106">
                  <c:v>10.003379691899333</c:v>
                </c:pt>
                <c:pt idx="107">
                  <c:v>10.013624016497447</c:v>
                </c:pt>
                <c:pt idx="108">
                  <c:v>9.3284250796511863</c:v>
                </c:pt>
                <c:pt idx="109">
                  <c:v>9.5614798915744732</c:v>
                </c:pt>
                <c:pt idx="110">
                  <c:v>9.661181853791204</c:v>
                </c:pt>
                <c:pt idx="111">
                  <c:v>9.905246798971767</c:v>
                </c:pt>
                <c:pt idx="112">
                  <c:v>9.6720337825436111</c:v>
                </c:pt>
                <c:pt idx="113">
                  <c:v>9.4888469750029696</c:v>
                </c:pt>
                <c:pt idx="114">
                  <c:v>9.7977613105810288</c:v>
                </c:pt>
                <c:pt idx="115">
                  <c:v>9.755127867324644</c:v>
                </c:pt>
                <c:pt idx="116">
                  <c:v>10.010725566565196</c:v>
                </c:pt>
                <c:pt idx="117">
                  <c:v>9.8007001875067523</c:v>
                </c:pt>
                <c:pt idx="118">
                  <c:v>9.7300492053780925</c:v>
                </c:pt>
                <c:pt idx="119">
                  <c:v>10.082631237622049</c:v>
                </c:pt>
                <c:pt idx="120">
                  <c:v>10.29284383209513</c:v>
                </c:pt>
                <c:pt idx="121">
                  <c:v>10.172650050216264</c:v>
                </c:pt>
                <c:pt idx="122">
                  <c:v>10.132575807698867</c:v>
                </c:pt>
                <c:pt idx="123">
                  <c:v>9.9474240831504019</c:v>
                </c:pt>
                <c:pt idx="124">
                  <c:v>9.8080111645070609</c:v>
                </c:pt>
                <c:pt idx="125">
                  <c:v>10.257916927142817</c:v>
                </c:pt>
                <c:pt idx="126">
                  <c:v>10.072572049912369</c:v>
                </c:pt>
                <c:pt idx="127">
                  <c:v>9.92145005187996</c:v>
                </c:pt>
                <c:pt idx="128">
                  <c:v>9.965469908752782</c:v>
                </c:pt>
                <c:pt idx="129">
                  <c:v>10.252032131478614</c:v>
                </c:pt>
                <c:pt idx="130">
                  <c:v>10.228527334026376</c:v>
                </c:pt>
                <c:pt idx="131">
                  <c:v>10.010386104924562</c:v>
                </c:pt>
                <c:pt idx="132">
                  <c:v>10.101736815939633</c:v>
                </c:pt>
                <c:pt idx="133">
                  <c:v>10.359680941406896</c:v>
                </c:pt>
                <c:pt idx="134">
                  <c:v>10.518200921102354</c:v>
                </c:pt>
                <c:pt idx="135">
                  <c:v>10.200488222882074</c:v>
                </c:pt>
                <c:pt idx="136">
                  <c:v>10.316729743146244</c:v>
                </c:pt>
                <c:pt idx="137">
                  <c:v>10.198865805941059</c:v>
                </c:pt>
                <c:pt idx="138">
                  <c:v>9.7531821764518796</c:v>
                </c:pt>
                <c:pt idx="139">
                  <c:v>10.244876856571173</c:v>
                </c:pt>
                <c:pt idx="140">
                  <c:v>9.8758762871097101</c:v>
                </c:pt>
                <c:pt idx="141">
                  <c:v>10.213524578560769</c:v>
                </c:pt>
                <c:pt idx="142">
                  <c:v>9.4897639037107009</c:v>
                </c:pt>
                <c:pt idx="143">
                  <c:v>9.6273152915585953</c:v>
                </c:pt>
                <c:pt idx="144">
                  <c:v>10.009904916291028</c:v>
                </c:pt>
                <c:pt idx="145">
                  <c:v>9.8465254452875861</c:v>
                </c:pt>
                <c:pt idx="146">
                  <c:v>9.8328397438203829</c:v>
                </c:pt>
                <c:pt idx="147">
                  <c:v>9.5868923394414232</c:v>
                </c:pt>
                <c:pt idx="148">
                  <c:v>9.6696560936172222</c:v>
                </c:pt>
                <c:pt idx="149">
                  <c:v>9.7866311280260803</c:v>
                </c:pt>
                <c:pt idx="150">
                  <c:v>9.8069491742722761</c:v>
                </c:pt>
                <c:pt idx="151">
                  <c:v>9.7685899648797889</c:v>
                </c:pt>
                <c:pt idx="152">
                  <c:v>9.7691973741123395</c:v>
                </c:pt>
                <c:pt idx="153">
                  <c:v>9.9811153858019104</c:v>
                </c:pt>
                <c:pt idx="154">
                  <c:v>10.010600323177258</c:v>
                </c:pt>
                <c:pt idx="155">
                  <c:v>9.3541013048420005</c:v>
                </c:pt>
                <c:pt idx="156">
                  <c:v>9.6167542008023918</c:v>
                </c:pt>
                <c:pt idx="157">
                  <c:v>9.9395786435167039</c:v>
                </c:pt>
                <c:pt idx="158">
                  <c:v>10.06856159800979</c:v>
                </c:pt>
                <c:pt idx="159">
                  <c:v>9.9359829780861624</c:v>
                </c:pt>
                <c:pt idx="160">
                  <c:v>9.5461541097410159</c:v>
                </c:pt>
                <c:pt idx="161">
                  <c:v>9.899114744136984</c:v>
                </c:pt>
                <c:pt idx="162">
                  <c:v>9.8476932525723502</c:v>
                </c:pt>
                <c:pt idx="163">
                  <c:v>10.018722127479313</c:v>
                </c:pt>
                <c:pt idx="164">
                  <c:v>9.9375812064899467</c:v>
                </c:pt>
                <c:pt idx="165">
                  <c:v>9.8764631358856221</c:v>
                </c:pt>
                <c:pt idx="166">
                  <c:v>10.117984841078068</c:v>
                </c:pt>
                <c:pt idx="167">
                  <c:v>10.34993866140306</c:v>
                </c:pt>
                <c:pt idx="168">
                  <c:v>10.169677206216875</c:v>
                </c:pt>
                <c:pt idx="169">
                  <c:v>10.209057210254926</c:v>
                </c:pt>
                <c:pt idx="170">
                  <c:v>9.9983852594373861</c:v>
                </c:pt>
                <c:pt idx="171">
                  <c:v>9.6775858577776699</c:v>
                </c:pt>
                <c:pt idx="172">
                  <c:v>9.9036540252963743</c:v>
                </c:pt>
                <c:pt idx="173">
                  <c:v>10.011121374511623</c:v>
                </c:pt>
                <c:pt idx="174">
                  <c:v>9.939534102167519</c:v>
                </c:pt>
                <c:pt idx="175">
                  <c:v>10.20054308079777</c:v>
                </c:pt>
                <c:pt idx="176">
                  <c:v>10.191868984676077</c:v>
                </c:pt>
                <c:pt idx="177">
                  <c:v>10.329524795965749</c:v>
                </c:pt>
                <c:pt idx="178">
                  <c:v>10.028495179595323</c:v>
                </c:pt>
                <c:pt idx="179">
                  <c:v>9.8929198453792804</c:v>
                </c:pt>
                <c:pt idx="180">
                  <c:v>10.337908506007581</c:v>
                </c:pt>
                <c:pt idx="181">
                  <c:v>10.401205366768638</c:v>
                </c:pt>
                <c:pt idx="182">
                  <c:v>10.178109551328452</c:v>
                </c:pt>
                <c:pt idx="183">
                  <c:v>10.30003614812412</c:v>
                </c:pt>
                <c:pt idx="184">
                  <c:v>10.24997371688235</c:v>
                </c:pt>
                <c:pt idx="185">
                  <c:v>9.8449962118355643</c:v>
                </c:pt>
                <c:pt idx="186">
                  <c:v>10.121352024969966</c:v>
                </c:pt>
                <c:pt idx="187">
                  <c:v>9.5122096388931947</c:v>
                </c:pt>
                <c:pt idx="188">
                  <c:v>10.304239429344518</c:v>
                </c:pt>
                <c:pt idx="189">
                  <c:v>9.8336690886563289</c:v>
                </c:pt>
                <c:pt idx="190">
                  <c:v>9.6086600028036173</c:v>
                </c:pt>
                <c:pt idx="191">
                  <c:v>10.109719258540727</c:v>
                </c:pt>
                <c:pt idx="192">
                  <c:v>10.009081110438014</c:v>
                </c:pt>
                <c:pt idx="193">
                  <c:v>9.7504704081925766</c:v>
                </c:pt>
                <c:pt idx="194">
                  <c:v>9.6179407462501629</c:v>
                </c:pt>
                <c:pt idx="195">
                  <c:v>9.6713763982752887</c:v>
                </c:pt>
                <c:pt idx="196">
                  <c:v>9.812255957308663</c:v>
                </c:pt>
                <c:pt idx="197">
                  <c:v>9.7694839101814139</c:v>
                </c:pt>
                <c:pt idx="198">
                  <c:v>9.7618126220703729</c:v>
                </c:pt>
                <c:pt idx="199">
                  <c:v>9.7922518619819066</c:v>
                </c:pt>
                <c:pt idx="200">
                  <c:v>9.9154812240249868</c:v>
                </c:pt>
                <c:pt idx="201">
                  <c:v>9.9256266325985436</c:v>
                </c:pt>
                <c:pt idx="202">
                  <c:v>9.541059464473939</c:v>
                </c:pt>
                <c:pt idx="203">
                  <c:v>9.6497744677743036</c:v>
                </c:pt>
                <c:pt idx="204">
                  <c:v>9.8910931251915333</c:v>
                </c:pt>
                <c:pt idx="205">
                  <c:v>9.9421053709646792</c:v>
                </c:pt>
                <c:pt idx="206">
                  <c:v>9.8787733726897589</c:v>
                </c:pt>
                <c:pt idx="207">
                  <c:v>9.6736161632831905</c:v>
                </c:pt>
                <c:pt idx="208">
                  <c:v>9.9227230903090362</c:v>
                </c:pt>
                <c:pt idx="209">
                  <c:v>9.8003411137742003</c:v>
                </c:pt>
                <c:pt idx="210">
                  <c:v>10.041473501486731</c:v>
                </c:pt>
                <c:pt idx="211">
                  <c:v>9.9890302310949348</c:v>
                </c:pt>
                <c:pt idx="212">
                  <c:v>9.9573900279866425</c:v>
                </c:pt>
                <c:pt idx="213">
                  <c:v>10.022800521272549</c:v>
                </c:pt>
                <c:pt idx="214">
                  <c:v>10.243984750795793</c:v>
                </c:pt>
                <c:pt idx="215">
                  <c:v>10.152991547488408</c:v>
                </c:pt>
                <c:pt idx="216">
                  <c:v>10.020984745341554</c:v>
                </c:pt>
                <c:pt idx="217">
                  <c:v>10.1848950642829</c:v>
                </c:pt>
                <c:pt idx="218">
                  <c:v>9.9169251242102021</c:v>
                </c:pt>
                <c:pt idx="219">
                  <c:v>9.9261790670787988</c:v>
                </c:pt>
                <c:pt idx="220">
                  <c:v>10.160331914737053</c:v>
                </c:pt>
                <c:pt idx="221">
                  <c:v>9.9702801956685061</c:v>
                </c:pt>
                <c:pt idx="222">
                  <c:v>10.359465706001933</c:v>
                </c:pt>
                <c:pt idx="223">
                  <c:v>10.461231095131197</c:v>
                </c:pt>
                <c:pt idx="224">
                  <c:v>10.21192017957107</c:v>
                </c:pt>
                <c:pt idx="225">
                  <c:v>10.177658453671393</c:v>
                </c:pt>
                <c:pt idx="226">
                  <c:v>10.120684279728398</c:v>
                </c:pt>
                <c:pt idx="227">
                  <c:v>10.31122667261131</c:v>
                </c:pt>
                <c:pt idx="228">
                  <c:v>10.78033530992484</c:v>
                </c:pt>
                <c:pt idx="229">
                  <c:v>10.397457323616555</c:v>
                </c:pt>
                <c:pt idx="230">
                  <c:v>10.111607873609707</c:v>
                </c:pt>
                <c:pt idx="231">
                  <c:v>10.237070944453277</c:v>
                </c:pt>
                <c:pt idx="232">
                  <c:v>10.069980735751811</c:v>
                </c:pt>
                <c:pt idx="233">
                  <c:v>10.296973329300663</c:v>
                </c:pt>
                <c:pt idx="234">
                  <c:v>9.4316923934736128</c:v>
                </c:pt>
                <c:pt idx="235">
                  <c:v>10.277798921206921</c:v>
                </c:pt>
                <c:pt idx="236">
                  <c:v>9.8586052609537624</c:v>
                </c:pt>
                <c:pt idx="237">
                  <c:v>9.4919617163486976</c:v>
                </c:pt>
                <c:pt idx="238">
                  <c:v>10.093613320037694</c:v>
                </c:pt>
                <c:pt idx="239">
                  <c:v>10.010777107393162</c:v>
                </c:pt>
                <c:pt idx="240">
                  <c:v>9.7810290359289773</c:v>
                </c:pt>
                <c:pt idx="241">
                  <c:v>9.5003045832319213</c:v>
                </c:pt>
                <c:pt idx="242">
                  <c:v>9.515770559972621</c:v>
                </c:pt>
                <c:pt idx="243">
                  <c:v>9.8346320449144908</c:v>
                </c:pt>
                <c:pt idx="244">
                  <c:v>9.6746020216767743</c:v>
                </c:pt>
                <c:pt idx="245">
                  <c:v>9.6656690299051231</c:v>
                </c:pt>
                <c:pt idx="246">
                  <c:v>9.7155244728768437</c:v>
                </c:pt>
                <c:pt idx="247">
                  <c:v>9.8491944869219203</c:v>
                </c:pt>
                <c:pt idx="248">
                  <c:v>9.9579110361234218</c:v>
                </c:pt>
                <c:pt idx="249">
                  <c:v>9.1935162029412556</c:v>
                </c:pt>
                <c:pt idx="250">
                  <c:v>9.5845730698654901</c:v>
                </c:pt>
                <c:pt idx="251">
                  <c:v>9.6914490956634758</c:v>
                </c:pt>
                <c:pt idx="252">
                  <c:v>9.6985954836398189</c:v>
                </c:pt>
                <c:pt idx="253">
                  <c:v>9.5554249904155846</c:v>
                </c:pt>
                <c:pt idx="254">
                  <c:v>9.6220674212038411</c:v>
                </c:pt>
                <c:pt idx="255">
                  <c:v>9.7893464974751492</c:v>
                </c:pt>
                <c:pt idx="256">
                  <c:v>9.6130047945008865</c:v>
                </c:pt>
                <c:pt idx="257">
                  <c:v>9.9160526564916029</c:v>
                </c:pt>
                <c:pt idx="258">
                  <c:v>9.7658951366287212</c:v>
                </c:pt>
                <c:pt idx="259">
                  <c:v>9.8726937443256073</c:v>
                </c:pt>
                <c:pt idx="260">
                  <c:v>9.8975080004110136</c:v>
                </c:pt>
                <c:pt idx="261">
                  <c:v>10.128979533419461</c:v>
                </c:pt>
                <c:pt idx="262">
                  <c:v>10.116510816126727</c:v>
                </c:pt>
                <c:pt idx="263">
                  <c:v>9.9128380241427472</c:v>
                </c:pt>
                <c:pt idx="264">
                  <c:v>10.060731398527297</c:v>
                </c:pt>
                <c:pt idx="265">
                  <c:v>9.8493774840009216</c:v>
                </c:pt>
                <c:pt idx="266">
                  <c:v>10.061843917588726</c:v>
                </c:pt>
                <c:pt idx="267">
                  <c:v>10.044619571549216</c:v>
                </c:pt>
                <c:pt idx="268">
                  <c:v>9.7863092287394569</c:v>
                </c:pt>
                <c:pt idx="269">
                  <c:v>10.157012101427958</c:v>
                </c:pt>
                <c:pt idx="270">
                  <c:v>10.23457122701603</c:v>
                </c:pt>
                <c:pt idx="271">
                  <c:v>10.028175652245777</c:v>
                </c:pt>
                <c:pt idx="272">
                  <c:v>9.9639073059385552</c:v>
                </c:pt>
                <c:pt idx="273">
                  <c:v>10.054069404379979</c:v>
                </c:pt>
                <c:pt idx="274">
                  <c:v>10.107282142155928</c:v>
                </c:pt>
                <c:pt idx="275">
                  <c:v>10.556973848432643</c:v>
                </c:pt>
                <c:pt idx="276">
                  <c:v>10.054950041948233</c:v>
                </c:pt>
                <c:pt idx="277">
                  <c:v>10.076266786719962</c:v>
                </c:pt>
                <c:pt idx="278">
                  <c:v>10.076476549791636</c:v>
                </c:pt>
                <c:pt idx="279">
                  <c:v>9.7717019222458603</c:v>
                </c:pt>
                <c:pt idx="280">
                  <c:v>10.13259335516036</c:v>
                </c:pt>
                <c:pt idx="281">
                  <c:v>9.5904536124441027</c:v>
                </c:pt>
              </c:numCache>
            </c:numRef>
          </c:xVal>
          <c:yVal>
            <c:numRef>
              <c:f>分析_2!$H$38:$H$319</c:f>
              <c:numCache>
                <c:formatCode>General</c:formatCode>
                <c:ptCount val="282"/>
                <c:pt idx="0">
                  <c:v>10.45</c:v>
                </c:pt>
                <c:pt idx="1">
                  <c:v>9.9600000000000009</c:v>
                </c:pt>
                <c:pt idx="2">
                  <c:v>9.74</c:v>
                </c:pt>
                <c:pt idx="3">
                  <c:v>10.01</c:v>
                </c:pt>
                <c:pt idx="4">
                  <c:v>10.16</c:v>
                </c:pt>
                <c:pt idx="5">
                  <c:v>10.029999999999999</c:v>
                </c:pt>
                <c:pt idx="6">
                  <c:v>9.64</c:v>
                </c:pt>
                <c:pt idx="7">
                  <c:v>9.74</c:v>
                </c:pt>
                <c:pt idx="8">
                  <c:v>9.8699999999999992</c:v>
                </c:pt>
                <c:pt idx="9">
                  <c:v>9.66</c:v>
                </c:pt>
                <c:pt idx="10">
                  <c:v>9.8000000000000007</c:v>
                </c:pt>
                <c:pt idx="11">
                  <c:v>9.7899999999999991</c:v>
                </c:pt>
                <c:pt idx="12">
                  <c:v>9.84</c:v>
                </c:pt>
                <c:pt idx="13">
                  <c:v>9.99</c:v>
                </c:pt>
                <c:pt idx="14">
                  <c:v>9.5</c:v>
                </c:pt>
                <c:pt idx="15">
                  <c:v>9.59</c:v>
                </c:pt>
                <c:pt idx="16">
                  <c:v>10.11</c:v>
                </c:pt>
                <c:pt idx="17">
                  <c:v>9.98</c:v>
                </c:pt>
                <c:pt idx="18">
                  <c:v>9.7899999999999991</c:v>
                </c:pt>
                <c:pt idx="19">
                  <c:v>9.7100000000000009</c:v>
                </c:pt>
                <c:pt idx="20">
                  <c:v>9.83</c:v>
                </c:pt>
                <c:pt idx="21">
                  <c:v>9.7200000000000006</c:v>
                </c:pt>
                <c:pt idx="22">
                  <c:v>9.91</c:v>
                </c:pt>
                <c:pt idx="23">
                  <c:v>9.81</c:v>
                </c:pt>
                <c:pt idx="24">
                  <c:v>9.7799999999999994</c:v>
                </c:pt>
                <c:pt idx="25">
                  <c:v>10.06</c:v>
                </c:pt>
                <c:pt idx="26">
                  <c:v>10.29</c:v>
                </c:pt>
                <c:pt idx="27">
                  <c:v>10.24</c:v>
                </c:pt>
                <c:pt idx="28">
                  <c:v>10</c:v>
                </c:pt>
                <c:pt idx="29">
                  <c:v>10.11</c:v>
                </c:pt>
                <c:pt idx="30">
                  <c:v>9.9700000000000006</c:v>
                </c:pt>
                <c:pt idx="31">
                  <c:v>10.029999999999999</c:v>
                </c:pt>
                <c:pt idx="32">
                  <c:v>10.18</c:v>
                </c:pt>
                <c:pt idx="33">
                  <c:v>10.039999999999999</c:v>
                </c:pt>
                <c:pt idx="34">
                  <c:v>10.220000000000001</c:v>
                </c:pt>
                <c:pt idx="35">
                  <c:v>10.29</c:v>
                </c:pt>
                <c:pt idx="36">
                  <c:v>10.28</c:v>
                </c:pt>
                <c:pt idx="37">
                  <c:v>10.220000000000001</c:v>
                </c:pt>
                <c:pt idx="38">
                  <c:v>10.17</c:v>
                </c:pt>
                <c:pt idx="39">
                  <c:v>10.220000000000001</c:v>
                </c:pt>
                <c:pt idx="40">
                  <c:v>10.68</c:v>
                </c:pt>
                <c:pt idx="41">
                  <c:v>10.26</c:v>
                </c:pt>
                <c:pt idx="42">
                  <c:v>10.29</c:v>
                </c:pt>
                <c:pt idx="43">
                  <c:v>10.3</c:v>
                </c:pt>
                <c:pt idx="44">
                  <c:v>9.83</c:v>
                </c:pt>
                <c:pt idx="45">
                  <c:v>10.36</c:v>
                </c:pt>
                <c:pt idx="46">
                  <c:v>9.9499999999999993</c:v>
                </c:pt>
                <c:pt idx="47">
                  <c:v>10.39</c:v>
                </c:pt>
                <c:pt idx="48">
                  <c:v>10.029999999999999</c:v>
                </c:pt>
                <c:pt idx="49">
                  <c:v>9.91</c:v>
                </c:pt>
                <c:pt idx="50">
                  <c:v>10.18</c:v>
                </c:pt>
                <c:pt idx="51">
                  <c:v>10.27</c:v>
                </c:pt>
                <c:pt idx="52">
                  <c:v>9.99</c:v>
                </c:pt>
                <c:pt idx="53">
                  <c:v>9.65</c:v>
                </c:pt>
                <c:pt idx="54">
                  <c:v>9.77</c:v>
                </c:pt>
                <c:pt idx="55">
                  <c:v>9.9</c:v>
                </c:pt>
                <c:pt idx="56">
                  <c:v>9.73</c:v>
                </c:pt>
                <c:pt idx="57">
                  <c:v>9.7100000000000009</c:v>
                </c:pt>
                <c:pt idx="58">
                  <c:v>9.76</c:v>
                </c:pt>
                <c:pt idx="59">
                  <c:v>9.81</c:v>
                </c:pt>
                <c:pt idx="60">
                  <c:v>9.85</c:v>
                </c:pt>
                <c:pt idx="61">
                  <c:v>9.51</c:v>
                </c:pt>
                <c:pt idx="62">
                  <c:v>9.61</c:v>
                </c:pt>
                <c:pt idx="63">
                  <c:v>9.89</c:v>
                </c:pt>
                <c:pt idx="64">
                  <c:v>9.9600000000000009</c:v>
                </c:pt>
                <c:pt idx="65">
                  <c:v>9.66</c:v>
                </c:pt>
                <c:pt idx="66">
                  <c:v>9.67</c:v>
                </c:pt>
                <c:pt idx="67">
                  <c:v>9.82</c:v>
                </c:pt>
                <c:pt idx="68">
                  <c:v>9.75</c:v>
                </c:pt>
                <c:pt idx="69">
                  <c:v>9.93</c:v>
                </c:pt>
                <c:pt idx="70">
                  <c:v>9.91</c:v>
                </c:pt>
                <c:pt idx="71">
                  <c:v>9.83</c:v>
                </c:pt>
                <c:pt idx="72">
                  <c:v>9.9499999999999993</c:v>
                </c:pt>
                <c:pt idx="73">
                  <c:v>10.220000000000001</c:v>
                </c:pt>
                <c:pt idx="74">
                  <c:v>10.130000000000001</c:v>
                </c:pt>
                <c:pt idx="75">
                  <c:v>9.9600000000000009</c:v>
                </c:pt>
                <c:pt idx="76">
                  <c:v>10.18</c:v>
                </c:pt>
                <c:pt idx="77">
                  <c:v>9.94</c:v>
                </c:pt>
                <c:pt idx="78">
                  <c:v>10.35</c:v>
                </c:pt>
                <c:pt idx="79">
                  <c:v>10.25</c:v>
                </c:pt>
                <c:pt idx="80">
                  <c:v>10.09</c:v>
                </c:pt>
                <c:pt idx="81">
                  <c:v>10.15</c:v>
                </c:pt>
                <c:pt idx="82">
                  <c:v>10.43</c:v>
                </c:pt>
                <c:pt idx="83">
                  <c:v>10.34</c:v>
                </c:pt>
                <c:pt idx="84">
                  <c:v>10.26</c:v>
                </c:pt>
                <c:pt idx="85">
                  <c:v>10.3</c:v>
                </c:pt>
                <c:pt idx="86">
                  <c:v>10.210000000000001</c:v>
                </c:pt>
                <c:pt idx="87">
                  <c:v>11</c:v>
                </c:pt>
                <c:pt idx="88">
                  <c:v>10.47</c:v>
                </c:pt>
                <c:pt idx="89">
                  <c:v>10.45</c:v>
                </c:pt>
                <c:pt idx="90">
                  <c:v>10.52</c:v>
                </c:pt>
                <c:pt idx="91">
                  <c:v>10.14</c:v>
                </c:pt>
                <c:pt idx="92">
                  <c:v>10.65</c:v>
                </c:pt>
                <c:pt idx="93">
                  <c:v>10.09</c:v>
                </c:pt>
                <c:pt idx="94">
                  <c:v>10.29</c:v>
                </c:pt>
                <c:pt idx="95">
                  <c:v>9.7899999999999991</c:v>
                </c:pt>
                <c:pt idx="96">
                  <c:v>9.77</c:v>
                </c:pt>
                <c:pt idx="97">
                  <c:v>10.050000000000001</c:v>
                </c:pt>
                <c:pt idx="98">
                  <c:v>9.86</c:v>
                </c:pt>
                <c:pt idx="99">
                  <c:v>9.98</c:v>
                </c:pt>
                <c:pt idx="100">
                  <c:v>9.5299999999999994</c:v>
                </c:pt>
                <c:pt idx="101">
                  <c:v>9.73</c:v>
                </c:pt>
                <c:pt idx="102">
                  <c:v>9.9600000000000009</c:v>
                </c:pt>
                <c:pt idx="103">
                  <c:v>9.76</c:v>
                </c:pt>
                <c:pt idx="104">
                  <c:v>9.82</c:v>
                </c:pt>
                <c:pt idx="105">
                  <c:v>9.8699999999999992</c:v>
                </c:pt>
                <c:pt idx="106">
                  <c:v>10</c:v>
                </c:pt>
                <c:pt idx="107">
                  <c:v>10.02</c:v>
                </c:pt>
                <c:pt idx="108">
                  <c:v>9.33</c:v>
                </c:pt>
                <c:pt idx="109">
                  <c:v>9.57</c:v>
                </c:pt>
                <c:pt idx="110">
                  <c:v>9.66</c:v>
                </c:pt>
                <c:pt idx="111">
                  <c:v>9.91</c:v>
                </c:pt>
                <c:pt idx="112">
                  <c:v>9.67</c:v>
                </c:pt>
                <c:pt idx="113">
                  <c:v>9.49</c:v>
                </c:pt>
                <c:pt idx="114">
                  <c:v>9.8000000000000007</c:v>
                </c:pt>
                <c:pt idx="115">
                  <c:v>9.75</c:v>
                </c:pt>
                <c:pt idx="116">
                  <c:v>10.01</c:v>
                </c:pt>
                <c:pt idx="117">
                  <c:v>9.81</c:v>
                </c:pt>
                <c:pt idx="118">
                  <c:v>9.73</c:v>
                </c:pt>
                <c:pt idx="119">
                  <c:v>10.09</c:v>
                </c:pt>
                <c:pt idx="120">
                  <c:v>10.29</c:v>
                </c:pt>
                <c:pt idx="121">
                  <c:v>10.17</c:v>
                </c:pt>
                <c:pt idx="122">
                  <c:v>10.14</c:v>
                </c:pt>
                <c:pt idx="123">
                  <c:v>9.94</c:v>
                </c:pt>
                <c:pt idx="124">
                  <c:v>9.82</c:v>
                </c:pt>
                <c:pt idx="125">
                  <c:v>10.26</c:v>
                </c:pt>
                <c:pt idx="126">
                  <c:v>10.07</c:v>
                </c:pt>
                <c:pt idx="127">
                  <c:v>9.92</c:v>
                </c:pt>
                <c:pt idx="128">
                  <c:v>9.9600000000000009</c:v>
                </c:pt>
                <c:pt idx="129">
                  <c:v>10.25</c:v>
                </c:pt>
                <c:pt idx="130">
                  <c:v>10.23</c:v>
                </c:pt>
                <c:pt idx="131">
                  <c:v>10.01</c:v>
                </c:pt>
                <c:pt idx="132">
                  <c:v>10.1</c:v>
                </c:pt>
                <c:pt idx="133">
                  <c:v>10.36</c:v>
                </c:pt>
                <c:pt idx="134">
                  <c:v>10.51</c:v>
                </c:pt>
                <c:pt idx="135">
                  <c:v>10.210000000000001</c:v>
                </c:pt>
                <c:pt idx="136">
                  <c:v>10.32</c:v>
                </c:pt>
                <c:pt idx="137">
                  <c:v>10.199999999999999</c:v>
                </c:pt>
                <c:pt idx="138">
                  <c:v>9.76</c:v>
                </c:pt>
                <c:pt idx="139">
                  <c:v>10.26</c:v>
                </c:pt>
                <c:pt idx="140">
                  <c:v>9.89</c:v>
                </c:pt>
                <c:pt idx="141">
                  <c:v>10.210000000000001</c:v>
                </c:pt>
                <c:pt idx="142">
                  <c:v>9.49</c:v>
                </c:pt>
                <c:pt idx="143">
                  <c:v>9.6300000000000008</c:v>
                </c:pt>
                <c:pt idx="144">
                  <c:v>10.01</c:v>
                </c:pt>
                <c:pt idx="145">
                  <c:v>9.85</c:v>
                </c:pt>
                <c:pt idx="146">
                  <c:v>9.84</c:v>
                </c:pt>
                <c:pt idx="147">
                  <c:v>9.59</c:v>
                </c:pt>
                <c:pt idx="148">
                  <c:v>9.66</c:v>
                </c:pt>
                <c:pt idx="149">
                  <c:v>9.7899999999999991</c:v>
                </c:pt>
                <c:pt idx="150">
                  <c:v>9.81</c:v>
                </c:pt>
                <c:pt idx="151">
                  <c:v>9.7799999999999994</c:v>
                </c:pt>
                <c:pt idx="152">
                  <c:v>9.77</c:v>
                </c:pt>
                <c:pt idx="153">
                  <c:v>9.98</c:v>
                </c:pt>
                <c:pt idx="154">
                  <c:v>10.02</c:v>
                </c:pt>
                <c:pt idx="155">
                  <c:v>9.35</c:v>
                </c:pt>
                <c:pt idx="156">
                  <c:v>9.6199999999999992</c:v>
                </c:pt>
                <c:pt idx="157">
                  <c:v>9.94</c:v>
                </c:pt>
                <c:pt idx="158">
                  <c:v>10.07</c:v>
                </c:pt>
                <c:pt idx="159">
                  <c:v>9.94</c:v>
                </c:pt>
                <c:pt idx="160">
                  <c:v>9.5500000000000007</c:v>
                </c:pt>
                <c:pt idx="161">
                  <c:v>9.91</c:v>
                </c:pt>
                <c:pt idx="162">
                  <c:v>9.85</c:v>
                </c:pt>
                <c:pt idx="163">
                  <c:v>10.02</c:v>
                </c:pt>
                <c:pt idx="164">
                  <c:v>9.94</c:v>
                </c:pt>
                <c:pt idx="165">
                  <c:v>9.89</c:v>
                </c:pt>
                <c:pt idx="166">
                  <c:v>10.130000000000001</c:v>
                </c:pt>
                <c:pt idx="167">
                  <c:v>10.34</c:v>
                </c:pt>
                <c:pt idx="168">
                  <c:v>10.18</c:v>
                </c:pt>
                <c:pt idx="169">
                  <c:v>10.220000000000001</c:v>
                </c:pt>
                <c:pt idx="170">
                  <c:v>10</c:v>
                </c:pt>
                <c:pt idx="171">
                  <c:v>9.68</c:v>
                </c:pt>
                <c:pt idx="172">
                  <c:v>9.92</c:v>
                </c:pt>
                <c:pt idx="173">
                  <c:v>10.02</c:v>
                </c:pt>
                <c:pt idx="174">
                  <c:v>9.9499999999999993</c:v>
                </c:pt>
                <c:pt idx="175">
                  <c:v>10.199999999999999</c:v>
                </c:pt>
                <c:pt idx="176">
                  <c:v>10.19</c:v>
                </c:pt>
                <c:pt idx="177">
                  <c:v>10.33</c:v>
                </c:pt>
                <c:pt idx="178">
                  <c:v>10.029999999999999</c:v>
                </c:pt>
                <c:pt idx="179">
                  <c:v>9.89</c:v>
                </c:pt>
                <c:pt idx="180">
                  <c:v>10.35</c:v>
                </c:pt>
                <c:pt idx="181">
                  <c:v>10.42</c:v>
                </c:pt>
                <c:pt idx="182">
                  <c:v>10.17</c:v>
                </c:pt>
                <c:pt idx="183">
                  <c:v>10.3</c:v>
                </c:pt>
                <c:pt idx="184">
                  <c:v>10.25</c:v>
                </c:pt>
                <c:pt idx="185">
                  <c:v>9.85</c:v>
                </c:pt>
                <c:pt idx="186">
                  <c:v>10.130000000000001</c:v>
                </c:pt>
                <c:pt idx="187">
                  <c:v>9.52</c:v>
                </c:pt>
                <c:pt idx="188">
                  <c:v>10.31</c:v>
                </c:pt>
                <c:pt idx="189">
                  <c:v>9.85</c:v>
                </c:pt>
                <c:pt idx="190">
                  <c:v>9.6199999999999992</c:v>
                </c:pt>
                <c:pt idx="191">
                  <c:v>10.11</c:v>
                </c:pt>
                <c:pt idx="192">
                  <c:v>10.01</c:v>
                </c:pt>
                <c:pt idx="193">
                  <c:v>9.75</c:v>
                </c:pt>
                <c:pt idx="194">
                  <c:v>9.6199999999999992</c:v>
                </c:pt>
                <c:pt idx="195">
                  <c:v>9.67</c:v>
                </c:pt>
                <c:pt idx="196">
                  <c:v>9.82</c:v>
                </c:pt>
                <c:pt idx="197">
                  <c:v>9.77</c:v>
                </c:pt>
                <c:pt idx="198">
                  <c:v>9.76</c:v>
                </c:pt>
                <c:pt idx="199">
                  <c:v>9.7899999999999991</c:v>
                </c:pt>
                <c:pt idx="200">
                  <c:v>9.91</c:v>
                </c:pt>
                <c:pt idx="201">
                  <c:v>9.92</c:v>
                </c:pt>
                <c:pt idx="202">
                  <c:v>9.5500000000000007</c:v>
                </c:pt>
                <c:pt idx="203">
                  <c:v>9.65</c:v>
                </c:pt>
                <c:pt idx="204">
                  <c:v>9.8800000000000008</c:v>
                </c:pt>
                <c:pt idx="205">
                  <c:v>9.94</c:v>
                </c:pt>
                <c:pt idx="206">
                  <c:v>9.89</c:v>
                </c:pt>
                <c:pt idx="207">
                  <c:v>9.69</c:v>
                </c:pt>
                <c:pt idx="208">
                  <c:v>9.93</c:v>
                </c:pt>
                <c:pt idx="209">
                  <c:v>9.8000000000000007</c:v>
                </c:pt>
                <c:pt idx="210">
                  <c:v>10.029999999999999</c:v>
                </c:pt>
                <c:pt idx="211">
                  <c:v>9.99</c:v>
                </c:pt>
                <c:pt idx="212">
                  <c:v>9.9700000000000006</c:v>
                </c:pt>
                <c:pt idx="213">
                  <c:v>10.029999999999999</c:v>
                </c:pt>
                <c:pt idx="214">
                  <c:v>10.24</c:v>
                </c:pt>
                <c:pt idx="215">
                  <c:v>10.16</c:v>
                </c:pt>
                <c:pt idx="216">
                  <c:v>10.02</c:v>
                </c:pt>
                <c:pt idx="217">
                  <c:v>10.19</c:v>
                </c:pt>
                <c:pt idx="218">
                  <c:v>9.93</c:v>
                </c:pt>
                <c:pt idx="219">
                  <c:v>9.94</c:v>
                </c:pt>
                <c:pt idx="220">
                  <c:v>10.17</c:v>
                </c:pt>
                <c:pt idx="221">
                  <c:v>9.9700000000000006</c:v>
                </c:pt>
                <c:pt idx="222">
                  <c:v>10.36</c:v>
                </c:pt>
                <c:pt idx="223">
                  <c:v>10.47</c:v>
                </c:pt>
                <c:pt idx="224">
                  <c:v>10.210000000000001</c:v>
                </c:pt>
                <c:pt idx="225">
                  <c:v>10.18</c:v>
                </c:pt>
                <c:pt idx="226">
                  <c:v>10.130000000000001</c:v>
                </c:pt>
                <c:pt idx="227">
                  <c:v>10.31</c:v>
                </c:pt>
                <c:pt idx="228">
                  <c:v>10.78</c:v>
                </c:pt>
                <c:pt idx="229">
                  <c:v>10.41</c:v>
                </c:pt>
                <c:pt idx="230">
                  <c:v>10.119999999999999</c:v>
                </c:pt>
                <c:pt idx="231">
                  <c:v>10.25</c:v>
                </c:pt>
                <c:pt idx="232">
                  <c:v>10.09</c:v>
                </c:pt>
                <c:pt idx="233">
                  <c:v>10.31</c:v>
                </c:pt>
                <c:pt idx="234">
                  <c:v>9.44</c:v>
                </c:pt>
                <c:pt idx="235">
                  <c:v>10.28</c:v>
                </c:pt>
                <c:pt idx="236">
                  <c:v>9.85</c:v>
                </c:pt>
                <c:pt idx="237">
                  <c:v>9.51</c:v>
                </c:pt>
                <c:pt idx="238">
                  <c:v>10.1</c:v>
                </c:pt>
                <c:pt idx="239">
                  <c:v>10.01</c:v>
                </c:pt>
                <c:pt idx="240">
                  <c:v>9.75</c:v>
                </c:pt>
                <c:pt idx="241">
                  <c:v>9.5</c:v>
                </c:pt>
                <c:pt idx="242">
                  <c:v>9.52</c:v>
                </c:pt>
                <c:pt idx="243">
                  <c:v>9.82</c:v>
                </c:pt>
                <c:pt idx="244">
                  <c:v>9.68</c:v>
                </c:pt>
                <c:pt idx="245">
                  <c:v>9.67</c:v>
                </c:pt>
                <c:pt idx="246">
                  <c:v>9.73</c:v>
                </c:pt>
                <c:pt idx="247">
                  <c:v>9.85</c:v>
                </c:pt>
                <c:pt idx="248">
                  <c:v>9.92</c:v>
                </c:pt>
                <c:pt idx="249">
                  <c:v>9.2100000000000009</c:v>
                </c:pt>
                <c:pt idx="250">
                  <c:v>9.59</c:v>
                </c:pt>
                <c:pt idx="251">
                  <c:v>9.6999999999999993</c:v>
                </c:pt>
                <c:pt idx="252">
                  <c:v>9.7100000000000009</c:v>
                </c:pt>
                <c:pt idx="253">
                  <c:v>9.5500000000000007</c:v>
                </c:pt>
                <c:pt idx="254">
                  <c:v>9.6300000000000008</c:v>
                </c:pt>
                <c:pt idx="255">
                  <c:v>9.8000000000000007</c:v>
                </c:pt>
                <c:pt idx="256">
                  <c:v>9.61</c:v>
                </c:pt>
                <c:pt idx="257">
                  <c:v>9.93</c:v>
                </c:pt>
                <c:pt idx="258">
                  <c:v>9.77</c:v>
                </c:pt>
                <c:pt idx="259">
                  <c:v>9.8800000000000008</c:v>
                </c:pt>
                <c:pt idx="260">
                  <c:v>9.89</c:v>
                </c:pt>
                <c:pt idx="261">
                  <c:v>10.130000000000001</c:v>
                </c:pt>
                <c:pt idx="262">
                  <c:v>10.119999999999999</c:v>
                </c:pt>
                <c:pt idx="263">
                  <c:v>9.91</c:v>
                </c:pt>
                <c:pt idx="264">
                  <c:v>10.06</c:v>
                </c:pt>
                <c:pt idx="265">
                  <c:v>9.86</c:v>
                </c:pt>
                <c:pt idx="266">
                  <c:v>9.94</c:v>
                </c:pt>
                <c:pt idx="267">
                  <c:v>10.050000000000001</c:v>
                </c:pt>
                <c:pt idx="268">
                  <c:v>9.7799999999999994</c:v>
                </c:pt>
                <c:pt idx="269">
                  <c:v>10.15</c:v>
                </c:pt>
                <c:pt idx="270">
                  <c:v>10.24</c:v>
                </c:pt>
                <c:pt idx="271">
                  <c:v>10.02</c:v>
                </c:pt>
                <c:pt idx="272">
                  <c:v>9.98</c:v>
                </c:pt>
                <c:pt idx="273">
                  <c:v>10.050000000000001</c:v>
                </c:pt>
                <c:pt idx="274">
                  <c:v>10.11</c:v>
                </c:pt>
                <c:pt idx="275">
                  <c:v>10.55</c:v>
                </c:pt>
                <c:pt idx="276">
                  <c:v>10.06</c:v>
                </c:pt>
                <c:pt idx="277">
                  <c:v>10.08</c:v>
                </c:pt>
                <c:pt idx="278">
                  <c:v>10.08</c:v>
                </c:pt>
                <c:pt idx="279">
                  <c:v>9.77</c:v>
                </c:pt>
                <c:pt idx="280">
                  <c:v>10.130000000000001</c:v>
                </c:pt>
                <c:pt idx="281">
                  <c:v>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2E-4D98-8653-9B14213A4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52652"/>
        <c:axId val="1630256"/>
      </c:scatterChart>
      <c:valAx>
        <c:axId val="477526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1630256"/>
        <c:crosses val="autoZero"/>
        <c:crossBetween val="midCat"/>
      </c:valAx>
      <c:valAx>
        <c:axId val="16302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4775265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分析_3!$L$42</c:f>
              <c:strCache>
                <c:ptCount val="1"/>
                <c:pt idx="0">
                  <c:v>10.45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分析_3!$K$43:$K$323</c:f>
              <c:numCache>
                <c:formatCode>#,###.000</c:formatCode>
                <c:ptCount val="281"/>
                <c:pt idx="0">
                  <c:v>9.9552598708957358</c:v>
                </c:pt>
                <c:pt idx="1">
                  <c:v>9.7358358662761191</c:v>
                </c:pt>
                <c:pt idx="2">
                  <c:v>10.003302816879046</c:v>
                </c:pt>
                <c:pt idx="3">
                  <c:v>10.156383209951558</c:v>
                </c:pt>
                <c:pt idx="4">
                  <c:v>10.042840254445128</c:v>
                </c:pt>
                <c:pt idx="5">
                  <c:v>9.6410041421464676</c:v>
                </c:pt>
                <c:pt idx="6">
                  <c:v>9.7480576297022168</c:v>
                </c:pt>
                <c:pt idx="7">
                  <c:v>9.8596011420728473</c:v>
                </c:pt>
                <c:pt idx="8">
                  <c:v>9.6712573998699405</c:v>
                </c:pt>
                <c:pt idx="9">
                  <c:v>9.8236514295850981</c:v>
                </c:pt>
                <c:pt idx="10">
                  <c:v>9.8169847575154794</c:v>
                </c:pt>
                <c:pt idx="11">
                  <c:v>9.8556399745305008</c:v>
                </c:pt>
                <c:pt idx="12">
                  <c:v>10.022855420656068</c:v>
                </c:pt>
                <c:pt idx="13">
                  <c:v>9.4931102948988482</c:v>
                </c:pt>
                <c:pt idx="14">
                  <c:v>9.6479461933570683</c:v>
                </c:pt>
                <c:pt idx="15">
                  <c:v>10.098284451066267</c:v>
                </c:pt>
                <c:pt idx="16">
                  <c:v>10.011293610906099</c:v>
                </c:pt>
                <c:pt idx="17">
                  <c:v>9.7750687712227347</c:v>
                </c:pt>
                <c:pt idx="18">
                  <c:v>9.6941975670643465</c:v>
                </c:pt>
                <c:pt idx="19">
                  <c:v>9.8035296310941273</c:v>
                </c:pt>
                <c:pt idx="20">
                  <c:v>9.7251452766986688</c:v>
                </c:pt>
                <c:pt idx="21">
                  <c:v>9.9148685919478918</c:v>
                </c:pt>
                <c:pt idx="22">
                  <c:v>9.8117145761099316</c:v>
                </c:pt>
                <c:pt idx="23">
                  <c:v>9.777207866343625</c:v>
                </c:pt>
                <c:pt idx="24">
                  <c:v>10.05128647123894</c:v>
                </c:pt>
                <c:pt idx="25">
                  <c:v>10.300515154223548</c:v>
                </c:pt>
                <c:pt idx="26">
                  <c:v>10.248720949749977</c:v>
                </c:pt>
                <c:pt idx="27">
                  <c:v>9.9989516255641568</c:v>
                </c:pt>
                <c:pt idx="28">
                  <c:v>10.12554910360566</c:v>
                </c:pt>
                <c:pt idx="29">
                  <c:v>9.9588175573627318</c:v>
                </c:pt>
                <c:pt idx="30">
                  <c:v>10.059445574882162</c:v>
                </c:pt>
                <c:pt idx="31">
                  <c:v>10.182835895260904</c:v>
                </c:pt>
                <c:pt idx="32">
                  <c:v>10.030409035256026</c:v>
                </c:pt>
                <c:pt idx="33">
                  <c:v>10.222846276901267</c:v>
                </c:pt>
                <c:pt idx="34">
                  <c:v>10.264476444257054</c:v>
                </c:pt>
                <c:pt idx="35">
                  <c:v>10.27380348618377</c:v>
                </c:pt>
                <c:pt idx="36">
                  <c:v>10.214545191707463</c:v>
                </c:pt>
                <c:pt idx="37">
                  <c:v>10.180948409415283</c:v>
                </c:pt>
                <c:pt idx="38">
                  <c:v>10.237782025019994</c:v>
                </c:pt>
                <c:pt idx="39">
                  <c:v>10.687632946875402</c:v>
                </c:pt>
                <c:pt idx="40">
                  <c:v>10.275887628757202</c:v>
                </c:pt>
                <c:pt idx="41">
                  <c:v>10.316827093467754</c:v>
                </c:pt>
                <c:pt idx="42">
                  <c:v>10.275783284231158</c:v>
                </c:pt>
                <c:pt idx="43">
                  <c:v>9.8340931131787954</c:v>
                </c:pt>
                <c:pt idx="44">
                  <c:v>10.347646778426585</c:v>
                </c:pt>
                <c:pt idx="45">
                  <c:v>9.9538926206415361</c:v>
                </c:pt>
                <c:pt idx="46">
                  <c:v>10.402160457742466</c:v>
                </c:pt>
                <c:pt idx="47">
                  <c:v>10.011946728126313</c:v>
                </c:pt>
                <c:pt idx="48">
                  <c:v>9.8951738032944512</c:v>
                </c:pt>
                <c:pt idx="49">
                  <c:v>10.197809880264224</c:v>
                </c:pt>
                <c:pt idx="50">
                  <c:v>10.267430423231833</c:v>
                </c:pt>
                <c:pt idx="51">
                  <c:v>9.9987416469444579</c:v>
                </c:pt>
                <c:pt idx="52">
                  <c:v>9.6653664355832944</c:v>
                </c:pt>
                <c:pt idx="53">
                  <c:v>9.7700286757586436</c:v>
                </c:pt>
                <c:pt idx="54">
                  <c:v>9.9308966475205729</c:v>
                </c:pt>
                <c:pt idx="55">
                  <c:v>9.7439493329548235</c:v>
                </c:pt>
                <c:pt idx="56">
                  <c:v>9.7408140014285394</c:v>
                </c:pt>
                <c:pt idx="57">
                  <c:v>9.792133512620083</c:v>
                </c:pt>
                <c:pt idx="58">
                  <c:v>9.8345133555872479</c:v>
                </c:pt>
                <c:pt idx="59">
                  <c:v>9.8849475159984461</c:v>
                </c:pt>
                <c:pt idx="60">
                  <c:v>9.5177379658452512</c:v>
                </c:pt>
                <c:pt idx="61">
                  <c:v>9.6356318311734697</c:v>
                </c:pt>
                <c:pt idx="62">
                  <c:v>9.9045925541362241</c:v>
                </c:pt>
                <c:pt idx="63">
                  <c:v>9.958446051901964</c:v>
                </c:pt>
                <c:pt idx="64">
                  <c:v>9.6718940942250029</c:v>
                </c:pt>
                <c:pt idx="65">
                  <c:v>9.6746096198412701</c:v>
                </c:pt>
                <c:pt idx="66">
                  <c:v>9.8026628096397594</c:v>
                </c:pt>
                <c:pt idx="67">
                  <c:v>9.7465610477486173</c:v>
                </c:pt>
                <c:pt idx="68">
                  <c:v>9.9395859945911376</c:v>
                </c:pt>
                <c:pt idx="69">
                  <c:v>9.9035001344671194</c:v>
                </c:pt>
                <c:pt idx="70">
                  <c:v>9.8355682707618612</c:v>
                </c:pt>
                <c:pt idx="71">
                  <c:v>9.9407751474739587</c:v>
                </c:pt>
                <c:pt idx="72">
                  <c:v>10.240983097761129</c:v>
                </c:pt>
                <c:pt idx="73">
                  <c:v>10.140616490097049</c:v>
                </c:pt>
                <c:pt idx="74">
                  <c:v>9.9573795847530135</c:v>
                </c:pt>
                <c:pt idx="75">
                  <c:v>10.181176591299694</c:v>
                </c:pt>
                <c:pt idx="76">
                  <c:v>9.9558164375098332</c:v>
                </c:pt>
                <c:pt idx="77">
                  <c:v>10.34223902059234</c:v>
                </c:pt>
                <c:pt idx="78">
                  <c:v>10.231982452203631</c:v>
                </c:pt>
                <c:pt idx="79">
                  <c:v>10.095317645162863</c:v>
                </c:pt>
                <c:pt idx="80">
                  <c:v>10.162262851679589</c:v>
                </c:pt>
                <c:pt idx="81">
                  <c:v>10.418525117770809</c:v>
                </c:pt>
                <c:pt idx="82">
                  <c:v>10.319993841520205</c:v>
                </c:pt>
                <c:pt idx="83">
                  <c:v>10.241729853557359</c:v>
                </c:pt>
                <c:pt idx="84">
                  <c:v>10.30620281332188</c:v>
                </c:pt>
                <c:pt idx="85">
                  <c:v>10.21452768401679</c:v>
                </c:pt>
                <c:pt idx="86">
                  <c:v>10.978921959471164</c:v>
                </c:pt>
                <c:pt idx="87">
                  <c:v>10.458063888332953</c:v>
                </c:pt>
                <c:pt idx="88">
                  <c:v>10.47158882100347</c:v>
                </c:pt>
                <c:pt idx="89">
                  <c:v>10.494655659308004</c:v>
                </c:pt>
                <c:pt idx="90">
                  <c:v>10.124192411480561</c:v>
                </c:pt>
                <c:pt idx="91">
                  <c:v>10.658755052440695</c:v>
                </c:pt>
                <c:pt idx="92">
                  <c:v>10.088151288613735</c:v>
                </c:pt>
                <c:pt idx="93">
                  <c:v>10.284284066486961</c:v>
                </c:pt>
                <c:pt idx="94">
                  <c:v>9.7651708659558434</c:v>
                </c:pt>
                <c:pt idx="95">
                  <c:v>9.7408905693621168</c:v>
                </c:pt>
                <c:pt idx="96">
                  <c:v>10.035468281117444</c:v>
                </c:pt>
                <c:pt idx="97">
                  <c:v>9.856350594099565</c:v>
                </c:pt>
                <c:pt idx="98">
                  <c:v>9.9609586760425977</c:v>
                </c:pt>
                <c:pt idx="99">
                  <c:v>9.5311958600429847</c:v>
                </c:pt>
                <c:pt idx="100">
                  <c:v>9.738872898856858</c:v>
                </c:pt>
                <c:pt idx="101">
                  <c:v>9.9580551513442916</c:v>
                </c:pt>
                <c:pt idx="102">
                  <c:v>9.7668892111504935</c:v>
                </c:pt>
                <c:pt idx="103">
                  <c:v>9.8319287202979968</c:v>
                </c:pt>
                <c:pt idx="104">
                  <c:v>9.8821767043842748</c:v>
                </c:pt>
                <c:pt idx="105">
                  <c:v>10.002702580569194</c:v>
                </c:pt>
                <c:pt idx="106">
                  <c:v>10.018967803976407</c:v>
                </c:pt>
                <c:pt idx="107">
                  <c:v>9.3128048081134391</c:v>
                </c:pt>
                <c:pt idx="108">
                  <c:v>9.5254401459096396</c:v>
                </c:pt>
                <c:pt idx="109">
                  <c:v>9.662316625412684</c:v>
                </c:pt>
                <c:pt idx="110">
                  <c:v>9.8973780719139572</c:v>
                </c:pt>
                <c:pt idx="111">
                  <c:v>9.6554488421909337</c:v>
                </c:pt>
                <c:pt idx="112">
                  <c:v>9.5028547011587321</c:v>
                </c:pt>
                <c:pt idx="113">
                  <c:v>9.8598828586049656</c:v>
                </c:pt>
                <c:pt idx="114">
                  <c:v>9.7637042365964852</c:v>
                </c:pt>
                <c:pt idx="115">
                  <c:v>10.013777534218027</c:v>
                </c:pt>
                <c:pt idx="116">
                  <c:v>9.7932501186265348</c:v>
                </c:pt>
                <c:pt idx="117">
                  <c:v>9.710055106255739</c:v>
                </c:pt>
                <c:pt idx="118">
                  <c:v>10.075008169541817</c:v>
                </c:pt>
                <c:pt idx="119">
                  <c:v>10.296100621036633</c:v>
                </c:pt>
                <c:pt idx="120">
                  <c:v>10.167520719816883</c:v>
                </c:pt>
                <c:pt idx="121">
                  <c:v>10.188596389605619</c:v>
                </c:pt>
                <c:pt idx="122">
                  <c:v>9.9406792954896712</c:v>
                </c:pt>
                <c:pt idx="123">
                  <c:v>9.8203944299337067</c:v>
                </c:pt>
                <c:pt idx="124">
                  <c:v>10.222402790197632</c:v>
                </c:pt>
                <c:pt idx="125">
                  <c:v>10.055137102255239</c:v>
                </c:pt>
                <c:pt idx="126">
                  <c:v>9.9123173884620641</c:v>
                </c:pt>
                <c:pt idx="127">
                  <c:v>9.9606770539354486</c:v>
                </c:pt>
                <c:pt idx="128">
                  <c:v>10.219298375331061</c:v>
                </c:pt>
                <c:pt idx="129">
                  <c:v>10.22696361033962</c:v>
                </c:pt>
                <c:pt idx="130">
                  <c:v>9.9998892409119691</c:v>
                </c:pt>
                <c:pt idx="131">
                  <c:v>10.107807264145523</c:v>
                </c:pt>
                <c:pt idx="132">
                  <c:v>10.359730126537091</c:v>
                </c:pt>
                <c:pt idx="133">
                  <c:v>10.534724598102974</c:v>
                </c:pt>
                <c:pt idx="134">
                  <c:v>10.187119259074453</c:v>
                </c:pt>
                <c:pt idx="135">
                  <c:v>10.339496959337655</c:v>
                </c:pt>
                <c:pt idx="136">
                  <c:v>10.188297375731358</c:v>
                </c:pt>
                <c:pt idx="137">
                  <c:v>9.7560320179373345</c:v>
                </c:pt>
                <c:pt idx="138">
                  <c:v>10.315151009350993</c:v>
                </c:pt>
                <c:pt idx="139">
                  <c:v>9.8796015227645917</c:v>
                </c:pt>
                <c:pt idx="140">
                  <c:v>10.235588348481123</c:v>
                </c:pt>
                <c:pt idx="141">
                  <c:v>9.4895267765522764</c:v>
                </c:pt>
                <c:pt idx="142">
                  <c:v>9.6141542676596234</c:v>
                </c:pt>
                <c:pt idx="143">
                  <c:v>9.9964263630400048</c:v>
                </c:pt>
                <c:pt idx="144">
                  <c:v>9.8274791961365722</c:v>
                </c:pt>
                <c:pt idx="145">
                  <c:v>9.957854577731128</c:v>
                </c:pt>
                <c:pt idx="146">
                  <c:v>9.5626655619884673</c:v>
                </c:pt>
                <c:pt idx="147">
                  <c:v>9.6699322293016863</c:v>
                </c:pt>
                <c:pt idx="148">
                  <c:v>9.821036755912214</c:v>
                </c:pt>
                <c:pt idx="149">
                  <c:v>9.8112669482430892</c:v>
                </c:pt>
                <c:pt idx="150">
                  <c:v>9.7790161970957872</c:v>
                </c:pt>
                <c:pt idx="151">
                  <c:v>9.772890027923415</c:v>
                </c:pt>
                <c:pt idx="152">
                  <c:v>9.9752781022189705</c:v>
                </c:pt>
                <c:pt idx="153">
                  <c:v>10.018492945189427</c:v>
                </c:pt>
                <c:pt idx="154">
                  <c:v>9.3555950687598397</c:v>
                </c:pt>
                <c:pt idx="155">
                  <c:v>9.5973661183769163</c:v>
                </c:pt>
                <c:pt idx="156">
                  <c:v>9.9097616739437466</c:v>
                </c:pt>
                <c:pt idx="157">
                  <c:v>10.036813337219899</c:v>
                </c:pt>
                <c:pt idx="158">
                  <c:v>9.9104019710252889</c:v>
                </c:pt>
                <c:pt idx="159">
                  <c:v>9.5487110750565201</c:v>
                </c:pt>
                <c:pt idx="160">
                  <c:v>9.8890480112838066</c:v>
                </c:pt>
                <c:pt idx="161">
                  <c:v>9.8267368971767048</c:v>
                </c:pt>
                <c:pt idx="162">
                  <c:v>10.021602184403026</c:v>
                </c:pt>
                <c:pt idx="163">
                  <c:v>9.9176823550230786</c:v>
                </c:pt>
                <c:pt idx="164">
                  <c:v>9.8516564011169372</c:v>
                </c:pt>
                <c:pt idx="165">
                  <c:v>10.087706333717074</c:v>
                </c:pt>
                <c:pt idx="166">
                  <c:v>10.347308878639749</c:v>
                </c:pt>
                <c:pt idx="167">
                  <c:v>10.156677978375354</c:v>
                </c:pt>
                <c:pt idx="168">
                  <c:v>10.203169451173174</c:v>
                </c:pt>
                <c:pt idx="169">
                  <c:v>9.9828041756516352</c:v>
                </c:pt>
                <c:pt idx="170">
                  <c:v>9.6623122118963796</c:v>
                </c:pt>
                <c:pt idx="171">
                  <c:v>9.9580386124883997</c:v>
                </c:pt>
                <c:pt idx="172">
                  <c:v>9.9942444702544684</c:v>
                </c:pt>
                <c:pt idx="173">
                  <c:v>9.9353929746685825</c:v>
                </c:pt>
                <c:pt idx="174">
                  <c:v>10.173362026550684</c:v>
                </c:pt>
                <c:pt idx="175">
                  <c:v>10.163256950724024</c:v>
                </c:pt>
                <c:pt idx="176">
                  <c:v>10.305592938309472</c:v>
                </c:pt>
                <c:pt idx="177">
                  <c:v>10.016781317560582</c:v>
                </c:pt>
                <c:pt idx="178">
                  <c:v>9.9030511636883674</c:v>
                </c:pt>
                <c:pt idx="179">
                  <c:v>10.384453537753499</c:v>
                </c:pt>
                <c:pt idx="180">
                  <c:v>10.566909789741675</c:v>
                </c:pt>
                <c:pt idx="181">
                  <c:v>10.150622047542278</c:v>
                </c:pt>
                <c:pt idx="182">
                  <c:v>10.27938632278852</c:v>
                </c:pt>
                <c:pt idx="183">
                  <c:v>10.211287170800263</c:v>
                </c:pt>
                <c:pt idx="184">
                  <c:v>9.8652126015691941</c:v>
                </c:pt>
                <c:pt idx="185">
                  <c:v>10.170224901697562</c:v>
                </c:pt>
                <c:pt idx="186">
                  <c:v>9.4904135738608879</c:v>
                </c:pt>
                <c:pt idx="187">
                  <c:v>10.306439044541069</c:v>
                </c:pt>
                <c:pt idx="188">
                  <c:v>9.8025936689456259</c:v>
                </c:pt>
                <c:pt idx="189">
                  <c:v>9.5718791642508627</c:v>
                </c:pt>
                <c:pt idx="190">
                  <c:v>10.087850644745084</c:v>
                </c:pt>
                <c:pt idx="191">
                  <c:v>9.9810965042467217</c:v>
                </c:pt>
                <c:pt idx="192">
                  <c:v>9.8615590068203769</c:v>
                </c:pt>
                <c:pt idx="193">
                  <c:v>9.5866572393941158</c:v>
                </c:pt>
                <c:pt idx="194">
                  <c:v>9.675516920489823</c:v>
                </c:pt>
                <c:pt idx="195">
                  <c:v>9.7837610263334973</c:v>
                </c:pt>
                <c:pt idx="196">
                  <c:v>9.7743013874597171</c:v>
                </c:pt>
                <c:pt idx="197">
                  <c:v>9.7738024393338225</c:v>
                </c:pt>
                <c:pt idx="198">
                  <c:v>9.7960401133701556</c:v>
                </c:pt>
                <c:pt idx="199">
                  <c:v>9.9100391024021643</c:v>
                </c:pt>
                <c:pt idx="200">
                  <c:v>9.9322247384042068</c:v>
                </c:pt>
                <c:pt idx="201">
                  <c:v>9.5487770587214325</c:v>
                </c:pt>
                <c:pt idx="202">
                  <c:v>9.6458125350152422</c:v>
                </c:pt>
                <c:pt idx="203">
                  <c:v>9.855149320056956</c:v>
                </c:pt>
                <c:pt idx="204">
                  <c:v>9.9126942619438321</c:v>
                </c:pt>
                <c:pt idx="205">
                  <c:v>9.8450552798454485</c:v>
                </c:pt>
                <c:pt idx="206">
                  <c:v>9.7164791627885414</c:v>
                </c:pt>
                <c:pt idx="207">
                  <c:v>9.9768157779644788</c:v>
                </c:pt>
                <c:pt idx="208">
                  <c:v>9.7774667236944968</c:v>
                </c:pt>
                <c:pt idx="209">
                  <c:v>10.036927354735488</c:v>
                </c:pt>
                <c:pt idx="210">
                  <c:v>9.9674686045979559</c:v>
                </c:pt>
                <c:pt idx="211">
                  <c:v>9.9339307788206828</c:v>
                </c:pt>
                <c:pt idx="212">
                  <c:v>9.9916073726037986</c:v>
                </c:pt>
                <c:pt idx="213">
                  <c:v>10.243739056921555</c:v>
                </c:pt>
                <c:pt idx="214">
                  <c:v>10.142635639493246</c:v>
                </c:pt>
                <c:pt idx="215">
                  <c:v>9.9997627624717271</c:v>
                </c:pt>
                <c:pt idx="216">
                  <c:v>10.166208820061406</c:v>
                </c:pt>
                <c:pt idx="217">
                  <c:v>9.892961467292551</c:v>
                </c:pt>
                <c:pt idx="218">
                  <c:v>10.006811167166468</c:v>
                </c:pt>
                <c:pt idx="219">
                  <c:v>10.133550539457948</c:v>
                </c:pt>
                <c:pt idx="220">
                  <c:v>9.9548903324888016</c:v>
                </c:pt>
                <c:pt idx="221">
                  <c:v>10.333703882205677</c:v>
                </c:pt>
                <c:pt idx="222">
                  <c:v>10.45454897688583</c:v>
                </c:pt>
                <c:pt idx="223">
                  <c:v>10.18815335523818</c:v>
                </c:pt>
                <c:pt idx="224">
                  <c:v>10.157991234664284</c:v>
                </c:pt>
                <c:pt idx="225">
                  <c:v>10.112932547694331</c:v>
                </c:pt>
                <c:pt idx="226">
                  <c:v>10.289877202379229</c:v>
                </c:pt>
                <c:pt idx="227">
                  <c:v>10.745994222856655</c:v>
                </c:pt>
                <c:pt idx="228">
                  <c:v>10.360271134324991</c:v>
                </c:pt>
                <c:pt idx="229">
                  <c:v>10.224290895943311</c:v>
                </c:pt>
                <c:pt idx="230">
                  <c:v>10.251223352259862</c:v>
                </c:pt>
                <c:pt idx="231">
                  <c:v>10.100590016138822</c:v>
                </c:pt>
                <c:pt idx="232">
                  <c:v>10.282662539582535</c:v>
                </c:pt>
                <c:pt idx="233">
                  <c:v>9.4161170101140641</c:v>
                </c:pt>
                <c:pt idx="234">
                  <c:v>10.283791458893621</c:v>
                </c:pt>
                <c:pt idx="235">
                  <c:v>9.8451562307157232</c:v>
                </c:pt>
                <c:pt idx="236">
                  <c:v>9.4789306485736695</c:v>
                </c:pt>
                <c:pt idx="237">
                  <c:v>10.078088496782586</c:v>
                </c:pt>
                <c:pt idx="238">
                  <c:v>10.010103411125041</c:v>
                </c:pt>
                <c:pt idx="239">
                  <c:v>9.7861265704695128</c:v>
                </c:pt>
                <c:pt idx="240">
                  <c:v>9.4988086846531825</c:v>
                </c:pt>
                <c:pt idx="241">
                  <c:v>9.5214566747987082</c:v>
                </c:pt>
                <c:pt idx="242">
                  <c:v>9.8122402257457892</c:v>
                </c:pt>
                <c:pt idx="243">
                  <c:v>9.678961988130494</c:v>
                </c:pt>
                <c:pt idx="244">
                  <c:v>9.6816970291334634</c:v>
                </c:pt>
                <c:pt idx="245">
                  <c:v>9.7259255634054913</c:v>
                </c:pt>
                <c:pt idx="246">
                  <c:v>9.852102045322594</c:v>
                </c:pt>
                <c:pt idx="247">
                  <c:v>9.9720271524639106</c:v>
                </c:pt>
                <c:pt idx="248">
                  <c:v>9.3754196652626991</c:v>
                </c:pt>
                <c:pt idx="249">
                  <c:v>9.5517480754618074</c:v>
                </c:pt>
                <c:pt idx="250">
                  <c:v>9.714985577068191</c:v>
                </c:pt>
                <c:pt idx="251">
                  <c:v>9.6765312015115033</c:v>
                </c:pt>
                <c:pt idx="252">
                  <c:v>9.5514502335891951</c:v>
                </c:pt>
                <c:pt idx="253">
                  <c:v>9.5985080242254917</c:v>
                </c:pt>
                <c:pt idx="254">
                  <c:v>9.8235093655596284</c:v>
                </c:pt>
                <c:pt idx="255">
                  <c:v>9.6360121081548211</c:v>
                </c:pt>
                <c:pt idx="256">
                  <c:v>9.921055478558598</c:v>
                </c:pt>
                <c:pt idx="257">
                  <c:v>9.7503167635980592</c:v>
                </c:pt>
                <c:pt idx="258">
                  <c:v>9.8581849265324344</c:v>
                </c:pt>
                <c:pt idx="259">
                  <c:v>9.884080598230609</c:v>
                </c:pt>
                <c:pt idx="260">
                  <c:v>10.139635675415327</c:v>
                </c:pt>
                <c:pt idx="261">
                  <c:v>10.113493235706489</c:v>
                </c:pt>
                <c:pt idx="262">
                  <c:v>9.922330916952717</c:v>
                </c:pt>
                <c:pt idx="263">
                  <c:v>10.063483304155897</c:v>
                </c:pt>
                <c:pt idx="264">
                  <c:v>9.8386957002115452</c:v>
                </c:pt>
                <c:pt idx="265">
                  <c:v>10.161834456841015</c:v>
                </c:pt>
                <c:pt idx="266">
                  <c:v>10.02704491107813</c:v>
                </c:pt>
                <c:pt idx="267">
                  <c:v>9.7761075078664472</c:v>
                </c:pt>
                <c:pt idx="268">
                  <c:v>10.154233261370665</c:v>
                </c:pt>
                <c:pt idx="269">
                  <c:v>10.213383961024057</c:v>
                </c:pt>
                <c:pt idx="270">
                  <c:v>10.011757424523053</c:v>
                </c:pt>
                <c:pt idx="271">
                  <c:v>9.9565678659528043</c:v>
                </c:pt>
                <c:pt idx="272">
                  <c:v>10.051919633966147</c:v>
                </c:pt>
                <c:pt idx="273">
                  <c:v>10.101908894862484</c:v>
                </c:pt>
                <c:pt idx="274">
                  <c:v>10.553822419476726</c:v>
                </c:pt>
                <c:pt idx="275">
                  <c:v>10.040479596734178</c:v>
                </c:pt>
                <c:pt idx="276">
                  <c:v>10.05293477746358</c:v>
                </c:pt>
                <c:pt idx="277">
                  <c:v>10.046498286445809</c:v>
                </c:pt>
                <c:pt idx="278">
                  <c:v>9.7520979631194749</c:v>
                </c:pt>
                <c:pt idx="279">
                  <c:v>10.130398171390722</c:v>
                </c:pt>
                <c:pt idx="280">
                  <c:v>9.6173612240941999</c:v>
                </c:pt>
              </c:numCache>
            </c:numRef>
          </c:xVal>
          <c:yVal>
            <c:numRef>
              <c:f>分析_3!$L$43:$L$323</c:f>
              <c:numCache>
                <c:formatCode>General</c:formatCode>
                <c:ptCount val="281"/>
                <c:pt idx="0">
                  <c:v>9.9600000000000009</c:v>
                </c:pt>
                <c:pt idx="1">
                  <c:v>9.74</c:v>
                </c:pt>
                <c:pt idx="2">
                  <c:v>10.01</c:v>
                </c:pt>
                <c:pt idx="3">
                  <c:v>10.16</c:v>
                </c:pt>
                <c:pt idx="4">
                  <c:v>10.029999999999999</c:v>
                </c:pt>
                <c:pt idx="5">
                  <c:v>9.64</c:v>
                </c:pt>
                <c:pt idx="6">
                  <c:v>9.74</c:v>
                </c:pt>
                <c:pt idx="7">
                  <c:v>9.8699999999999992</c:v>
                </c:pt>
                <c:pt idx="8">
                  <c:v>9.66</c:v>
                </c:pt>
                <c:pt idx="9">
                  <c:v>9.8000000000000007</c:v>
                </c:pt>
                <c:pt idx="10">
                  <c:v>9.7899999999999991</c:v>
                </c:pt>
                <c:pt idx="11">
                  <c:v>9.84</c:v>
                </c:pt>
                <c:pt idx="12">
                  <c:v>9.99</c:v>
                </c:pt>
                <c:pt idx="13">
                  <c:v>9.5</c:v>
                </c:pt>
                <c:pt idx="14">
                  <c:v>9.59</c:v>
                </c:pt>
                <c:pt idx="15">
                  <c:v>10.11</c:v>
                </c:pt>
                <c:pt idx="16">
                  <c:v>9.98</c:v>
                </c:pt>
                <c:pt idx="17">
                  <c:v>9.7899999999999991</c:v>
                </c:pt>
                <c:pt idx="18">
                  <c:v>9.7100000000000009</c:v>
                </c:pt>
                <c:pt idx="19">
                  <c:v>9.83</c:v>
                </c:pt>
                <c:pt idx="20">
                  <c:v>9.7200000000000006</c:v>
                </c:pt>
                <c:pt idx="21">
                  <c:v>9.91</c:v>
                </c:pt>
                <c:pt idx="22">
                  <c:v>9.81</c:v>
                </c:pt>
                <c:pt idx="23">
                  <c:v>9.7799999999999994</c:v>
                </c:pt>
                <c:pt idx="24">
                  <c:v>10.06</c:v>
                </c:pt>
                <c:pt idx="25">
                  <c:v>10.29</c:v>
                </c:pt>
                <c:pt idx="26">
                  <c:v>10.24</c:v>
                </c:pt>
                <c:pt idx="27">
                  <c:v>10</c:v>
                </c:pt>
                <c:pt idx="28">
                  <c:v>10.11</c:v>
                </c:pt>
                <c:pt idx="29">
                  <c:v>9.9700000000000006</c:v>
                </c:pt>
                <c:pt idx="30">
                  <c:v>10.029999999999999</c:v>
                </c:pt>
                <c:pt idx="31">
                  <c:v>10.18</c:v>
                </c:pt>
                <c:pt idx="32">
                  <c:v>10.039999999999999</c:v>
                </c:pt>
                <c:pt idx="33">
                  <c:v>10.220000000000001</c:v>
                </c:pt>
                <c:pt idx="34">
                  <c:v>10.29</c:v>
                </c:pt>
                <c:pt idx="35">
                  <c:v>10.28</c:v>
                </c:pt>
                <c:pt idx="36">
                  <c:v>10.220000000000001</c:v>
                </c:pt>
                <c:pt idx="37">
                  <c:v>10.17</c:v>
                </c:pt>
                <c:pt idx="38">
                  <c:v>10.220000000000001</c:v>
                </c:pt>
                <c:pt idx="39">
                  <c:v>10.68</c:v>
                </c:pt>
                <c:pt idx="40">
                  <c:v>10.26</c:v>
                </c:pt>
                <c:pt idx="41">
                  <c:v>10.29</c:v>
                </c:pt>
                <c:pt idx="42">
                  <c:v>10.3</c:v>
                </c:pt>
                <c:pt idx="43">
                  <c:v>9.83</c:v>
                </c:pt>
                <c:pt idx="44">
                  <c:v>10.36</c:v>
                </c:pt>
                <c:pt idx="45">
                  <c:v>9.9499999999999993</c:v>
                </c:pt>
                <c:pt idx="46">
                  <c:v>10.39</c:v>
                </c:pt>
                <c:pt idx="47">
                  <c:v>10.029999999999999</c:v>
                </c:pt>
                <c:pt idx="48">
                  <c:v>9.91</c:v>
                </c:pt>
                <c:pt idx="49">
                  <c:v>10.18</c:v>
                </c:pt>
                <c:pt idx="50">
                  <c:v>10.27</c:v>
                </c:pt>
                <c:pt idx="51">
                  <c:v>9.99</c:v>
                </c:pt>
                <c:pt idx="52">
                  <c:v>9.65</c:v>
                </c:pt>
                <c:pt idx="53">
                  <c:v>9.77</c:v>
                </c:pt>
                <c:pt idx="54">
                  <c:v>9.9</c:v>
                </c:pt>
                <c:pt idx="55">
                  <c:v>9.73</c:v>
                </c:pt>
                <c:pt idx="56">
                  <c:v>9.7100000000000009</c:v>
                </c:pt>
                <c:pt idx="57">
                  <c:v>9.76</c:v>
                </c:pt>
                <c:pt idx="58">
                  <c:v>9.81</c:v>
                </c:pt>
                <c:pt idx="59">
                  <c:v>9.85</c:v>
                </c:pt>
                <c:pt idx="60">
                  <c:v>9.51</c:v>
                </c:pt>
                <c:pt idx="61">
                  <c:v>9.61</c:v>
                </c:pt>
                <c:pt idx="62">
                  <c:v>9.89</c:v>
                </c:pt>
                <c:pt idx="63">
                  <c:v>9.9600000000000009</c:v>
                </c:pt>
                <c:pt idx="64">
                  <c:v>9.66</c:v>
                </c:pt>
                <c:pt idx="65">
                  <c:v>9.67</c:v>
                </c:pt>
                <c:pt idx="66">
                  <c:v>9.82</c:v>
                </c:pt>
                <c:pt idx="67">
                  <c:v>9.75</c:v>
                </c:pt>
                <c:pt idx="68">
                  <c:v>9.93</c:v>
                </c:pt>
                <c:pt idx="69">
                  <c:v>9.91</c:v>
                </c:pt>
                <c:pt idx="70">
                  <c:v>9.83</c:v>
                </c:pt>
                <c:pt idx="71">
                  <c:v>9.9499999999999993</c:v>
                </c:pt>
                <c:pt idx="72">
                  <c:v>10.220000000000001</c:v>
                </c:pt>
                <c:pt idx="73">
                  <c:v>10.130000000000001</c:v>
                </c:pt>
                <c:pt idx="74">
                  <c:v>9.9600000000000009</c:v>
                </c:pt>
                <c:pt idx="75">
                  <c:v>10.18</c:v>
                </c:pt>
                <c:pt idx="76">
                  <c:v>9.94</c:v>
                </c:pt>
                <c:pt idx="77">
                  <c:v>10.35</c:v>
                </c:pt>
                <c:pt idx="78">
                  <c:v>10.25</c:v>
                </c:pt>
                <c:pt idx="79">
                  <c:v>10.09</c:v>
                </c:pt>
                <c:pt idx="80">
                  <c:v>10.15</c:v>
                </c:pt>
                <c:pt idx="81">
                  <c:v>10.43</c:v>
                </c:pt>
                <c:pt idx="82">
                  <c:v>10.34</c:v>
                </c:pt>
                <c:pt idx="83">
                  <c:v>10.26</c:v>
                </c:pt>
                <c:pt idx="84">
                  <c:v>10.3</c:v>
                </c:pt>
                <c:pt idx="85">
                  <c:v>10.210000000000001</c:v>
                </c:pt>
                <c:pt idx="86">
                  <c:v>11</c:v>
                </c:pt>
                <c:pt idx="87">
                  <c:v>10.47</c:v>
                </c:pt>
                <c:pt idx="88">
                  <c:v>10.45</c:v>
                </c:pt>
                <c:pt idx="89">
                  <c:v>10.52</c:v>
                </c:pt>
                <c:pt idx="90">
                  <c:v>10.14</c:v>
                </c:pt>
                <c:pt idx="91">
                  <c:v>10.65</c:v>
                </c:pt>
                <c:pt idx="92">
                  <c:v>10.09</c:v>
                </c:pt>
                <c:pt idx="93">
                  <c:v>10.29</c:v>
                </c:pt>
                <c:pt idx="94">
                  <c:v>9.7899999999999991</c:v>
                </c:pt>
                <c:pt idx="95">
                  <c:v>9.77</c:v>
                </c:pt>
                <c:pt idx="96">
                  <c:v>10.050000000000001</c:v>
                </c:pt>
                <c:pt idx="97">
                  <c:v>9.86</c:v>
                </c:pt>
                <c:pt idx="98">
                  <c:v>9.98</c:v>
                </c:pt>
                <c:pt idx="99">
                  <c:v>9.5299999999999994</c:v>
                </c:pt>
                <c:pt idx="100">
                  <c:v>9.73</c:v>
                </c:pt>
                <c:pt idx="101">
                  <c:v>9.9600000000000009</c:v>
                </c:pt>
                <c:pt idx="102">
                  <c:v>9.76</c:v>
                </c:pt>
                <c:pt idx="103">
                  <c:v>9.82</c:v>
                </c:pt>
                <c:pt idx="104">
                  <c:v>9.8699999999999992</c:v>
                </c:pt>
                <c:pt idx="105">
                  <c:v>10</c:v>
                </c:pt>
                <c:pt idx="106">
                  <c:v>10.02</c:v>
                </c:pt>
                <c:pt idx="107">
                  <c:v>9.33</c:v>
                </c:pt>
                <c:pt idx="108">
                  <c:v>9.57</c:v>
                </c:pt>
                <c:pt idx="109">
                  <c:v>9.66</c:v>
                </c:pt>
                <c:pt idx="110">
                  <c:v>9.91</c:v>
                </c:pt>
                <c:pt idx="111">
                  <c:v>9.67</c:v>
                </c:pt>
                <c:pt idx="112">
                  <c:v>9.49</c:v>
                </c:pt>
                <c:pt idx="113">
                  <c:v>9.8000000000000007</c:v>
                </c:pt>
                <c:pt idx="114">
                  <c:v>9.75</c:v>
                </c:pt>
                <c:pt idx="115">
                  <c:v>10.01</c:v>
                </c:pt>
                <c:pt idx="116">
                  <c:v>9.81</c:v>
                </c:pt>
                <c:pt idx="117">
                  <c:v>9.73</c:v>
                </c:pt>
                <c:pt idx="118">
                  <c:v>10.09</c:v>
                </c:pt>
                <c:pt idx="119">
                  <c:v>10.29</c:v>
                </c:pt>
                <c:pt idx="120">
                  <c:v>10.17</c:v>
                </c:pt>
                <c:pt idx="121">
                  <c:v>10.14</c:v>
                </c:pt>
                <c:pt idx="122">
                  <c:v>9.94</c:v>
                </c:pt>
                <c:pt idx="123">
                  <c:v>9.82</c:v>
                </c:pt>
                <c:pt idx="124">
                  <c:v>10.26</c:v>
                </c:pt>
                <c:pt idx="125">
                  <c:v>10.07</c:v>
                </c:pt>
                <c:pt idx="126">
                  <c:v>9.92</c:v>
                </c:pt>
                <c:pt idx="127">
                  <c:v>9.9600000000000009</c:v>
                </c:pt>
                <c:pt idx="128">
                  <c:v>10.25</c:v>
                </c:pt>
                <c:pt idx="129">
                  <c:v>10.23</c:v>
                </c:pt>
                <c:pt idx="130">
                  <c:v>10.01</c:v>
                </c:pt>
                <c:pt idx="131">
                  <c:v>10.1</c:v>
                </c:pt>
                <c:pt idx="132">
                  <c:v>10.36</c:v>
                </c:pt>
                <c:pt idx="133">
                  <c:v>10.51</c:v>
                </c:pt>
                <c:pt idx="134">
                  <c:v>10.210000000000001</c:v>
                </c:pt>
                <c:pt idx="135">
                  <c:v>10.32</c:v>
                </c:pt>
                <c:pt idx="136">
                  <c:v>10.199999999999999</c:v>
                </c:pt>
                <c:pt idx="137">
                  <c:v>9.76</c:v>
                </c:pt>
                <c:pt idx="138">
                  <c:v>10.26</c:v>
                </c:pt>
                <c:pt idx="139">
                  <c:v>9.89</c:v>
                </c:pt>
                <c:pt idx="140">
                  <c:v>10.210000000000001</c:v>
                </c:pt>
                <c:pt idx="141">
                  <c:v>9.49</c:v>
                </c:pt>
                <c:pt idx="142">
                  <c:v>9.6300000000000008</c:v>
                </c:pt>
                <c:pt idx="143">
                  <c:v>10.01</c:v>
                </c:pt>
                <c:pt idx="144">
                  <c:v>9.85</c:v>
                </c:pt>
                <c:pt idx="145">
                  <c:v>9.84</c:v>
                </c:pt>
                <c:pt idx="146">
                  <c:v>9.59</c:v>
                </c:pt>
                <c:pt idx="147">
                  <c:v>9.66</c:v>
                </c:pt>
                <c:pt idx="148">
                  <c:v>9.7899999999999991</c:v>
                </c:pt>
                <c:pt idx="149">
                  <c:v>9.81</c:v>
                </c:pt>
                <c:pt idx="150">
                  <c:v>9.7799999999999994</c:v>
                </c:pt>
                <c:pt idx="151">
                  <c:v>9.77</c:v>
                </c:pt>
                <c:pt idx="152">
                  <c:v>9.98</c:v>
                </c:pt>
                <c:pt idx="153">
                  <c:v>10.02</c:v>
                </c:pt>
                <c:pt idx="154">
                  <c:v>9.35</c:v>
                </c:pt>
                <c:pt idx="155">
                  <c:v>9.6199999999999992</c:v>
                </c:pt>
                <c:pt idx="156">
                  <c:v>9.94</c:v>
                </c:pt>
                <c:pt idx="157">
                  <c:v>10.07</c:v>
                </c:pt>
                <c:pt idx="158">
                  <c:v>9.94</c:v>
                </c:pt>
                <c:pt idx="159">
                  <c:v>9.5500000000000007</c:v>
                </c:pt>
                <c:pt idx="160">
                  <c:v>9.91</c:v>
                </c:pt>
                <c:pt idx="161">
                  <c:v>9.85</c:v>
                </c:pt>
                <c:pt idx="162">
                  <c:v>10.02</c:v>
                </c:pt>
                <c:pt idx="163">
                  <c:v>9.94</c:v>
                </c:pt>
                <c:pt idx="164">
                  <c:v>9.89</c:v>
                </c:pt>
                <c:pt idx="165">
                  <c:v>10.130000000000001</c:v>
                </c:pt>
                <c:pt idx="166">
                  <c:v>10.34</c:v>
                </c:pt>
                <c:pt idx="167">
                  <c:v>10.18</c:v>
                </c:pt>
                <c:pt idx="168">
                  <c:v>10.220000000000001</c:v>
                </c:pt>
                <c:pt idx="169">
                  <c:v>10</c:v>
                </c:pt>
                <c:pt idx="170">
                  <c:v>9.68</c:v>
                </c:pt>
                <c:pt idx="171">
                  <c:v>9.92</c:v>
                </c:pt>
                <c:pt idx="172">
                  <c:v>10.02</c:v>
                </c:pt>
                <c:pt idx="173">
                  <c:v>9.9499999999999993</c:v>
                </c:pt>
                <c:pt idx="174">
                  <c:v>10.199999999999999</c:v>
                </c:pt>
                <c:pt idx="175">
                  <c:v>10.19</c:v>
                </c:pt>
                <c:pt idx="176">
                  <c:v>10.33</c:v>
                </c:pt>
                <c:pt idx="177">
                  <c:v>10.029999999999999</c:v>
                </c:pt>
                <c:pt idx="178">
                  <c:v>9.89</c:v>
                </c:pt>
                <c:pt idx="179">
                  <c:v>10.35</c:v>
                </c:pt>
                <c:pt idx="180">
                  <c:v>10.42</c:v>
                </c:pt>
                <c:pt idx="181">
                  <c:v>10.17</c:v>
                </c:pt>
                <c:pt idx="182">
                  <c:v>10.3</c:v>
                </c:pt>
                <c:pt idx="183">
                  <c:v>10.25</c:v>
                </c:pt>
                <c:pt idx="184">
                  <c:v>9.85</c:v>
                </c:pt>
                <c:pt idx="185">
                  <c:v>10.130000000000001</c:v>
                </c:pt>
                <c:pt idx="186">
                  <c:v>9.52</c:v>
                </c:pt>
                <c:pt idx="187">
                  <c:v>10.31</c:v>
                </c:pt>
                <c:pt idx="188">
                  <c:v>9.85</c:v>
                </c:pt>
                <c:pt idx="189">
                  <c:v>9.6199999999999992</c:v>
                </c:pt>
                <c:pt idx="190">
                  <c:v>10.11</c:v>
                </c:pt>
                <c:pt idx="191">
                  <c:v>10.01</c:v>
                </c:pt>
                <c:pt idx="192">
                  <c:v>9.75</c:v>
                </c:pt>
                <c:pt idx="193">
                  <c:v>9.6199999999999992</c:v>
                </c:pt>
                <c:pt idx="194">
                  <c:v>9.67</c:v>
                </c:pt>
                <c:pt idx="195">
                  <c:v>9.82</c:v>
                </c:pt>
                <c:pt idx="196">
                  <c:v>9.77</c:v>
                </c:pt>
                <c:pt idx="197">
                  <c:v>9.76</c:v>
                </c:pt>
                <c:pt idx="198">
                  <c:v>9.7899999999999991</c:v>
                </c:pt>
                <c:pt idx="199">
                  <c:v>9.91</c:v>
                </c:pt>
                <c:pt idx="200">
                  <c:v>9.92</c:v>
                </c:pt>
                <c:pt idx="201">
                  <c:v>9.5500000000000007</c:v>
                </c:pt>
                <c:pt idx="202">
                  <c:v>9.65</c:v>
                </c:pt>
                <c:pt idx="203">
                  <c:v>9.8800000000000008</c:v>
                </c:pt>
                <c:pt idx="204">
                  <c:v>9.94</c:v>
                </c:pt>
                <c:pt idx="205">
                  <c:v>9.89</c:v>
                </c:pt>
                <c:pt idx="206">
                  <c:v>9.69</c:v>
                </c:pt>
                <c:pt idx="207">
                  <c:v>9.93</c:v>
                </c:pt>
                <c:pt idx="208">
                  <c:v>9.8000000000000007</c:v>
                </c:pt>
                <c:pt idx="209">
                  <c:v>10.029999999999999</c:v>
                </c:pt>
                <c:pt idx="210">
                  <c:v>9.99</c:v>
                </c:pt>
                <c:pt idx="211">
                  <c:v>9.9700000000000006</c:v>
                </c:pt>
                <c:pt idx="212">
                  <c:v>10.029999999999999</c:v>
                </c:pt>
                <c:pt idx="213">
                  <c:v>10.24</c:v>
                </c:pt>
                <c:pt idx="214">
                  <c:v>10.16</c:v>
                </c:pt>
                <c:pt idx="215">
                  <c:v>10.02</c:v>
                </c:pt>
                <c:pt idx="216">
                  <c:v>10.19</c:v>
                </c:pt>
                <c:pt idx="217">
                  <c:v>9.93</c:v>
                </c:pt>
                <c:pt idx="218">
                  <c:v>9.94</c:v>
                </c:pt>
                <c:pt idx="219">
                  <c:v>10.17</c:v>
                </c:pt>
                <c:pt idx="220">
                  <c:v>9.9700000000000006</c:v>
                </c:pt>
                <c:pt idx="221">
                  <c:v>10.36</c:v>
                </c:pt>
                <c:pt idx="222">
                  <c:v>10.47</c:v>
                </c:pt>
                <c:pt idx="223">
                  <c:v>10.210000000000001</c:v>
                </c:pt>
                <c:pt idx="224">
                  <c:v>10.18</c:v>
                </c:pt>
                <c:pt idx="225">
                  <c:v>10.130000000000001</c:v>
                </c:pt>
                <c:pt idx="226">
                  <c:v>10.31</c:v>
                </c:pt>
                <c:pt idx="227">
                  <c:v>10.78</c:v>
                </c:pt>
                <c:pt idx="228">
                  <c:v>10.41</c:v>
                </c:pt>
                <c:pt idx="229">
                  <c:v>10.119999999999999</c:v>
                </c:pt>
                <c:pt idx="230">
                  <c:v>10.25</c:v>
                </c:pt>
                <c:pt idx="231">
                  <c:v>10.09</c:v>
                </c:pt>
                <c:pt idx="232">
                  <c:v>10.31</c:v>
                </c:pt>
                <c:pt idx="233">
                  <c:v>9.44</c:v>
                </c:pt>
                <c:pt idx="234">
                  <c:v>10.28</c:v>
                </c:pt>
                <c:pt idx="235">
                  <c:v>9.85</c:v>
                </c:pt>
                <c:pt idx="236">
                  <c:v>9.51</c:v>
                </c:pt>
                <c:pt idx="237">
                  <c:v>10.1</c:v>
                </c:pt>
                <c:pt idx="238">
                  <c:v>10.01</c:v>
                </c:pt>
                <c:pt idx="239">
                  <c:v>9.75</c:v>
                </c:pt>
                <c:pt idx="240">
                  <c:v>9.5</c:v>
                </c:pt>
                <c:pt idx="241">
                  <c:v>9.52</c:v>
                </c:pt>
                <c:pt idx="242">
                  <c:v>9.82</c:v>
                </c:pt>
                <c:pt idx="243">
                  <c:v>9.68</c:v>
                </c:pt>
                <c:pt idx="244">
                  <c:v>9.67</c:v>
                </c:pt>
                <c:pt idx="245">
                  <c:v>9.73</c:v>
                </c:pt>
                <c:pt idx="246">
                  <c:v>9.85</c:v>
                </c:pt>
                <c:pt idx="247">
                  <c:v>9.92</c:v>
                </c:pt>
                <c:pt idx="248">
                  <c:v>9.2100000000000009</c:v>
                </c:pt>
                <c:pt idx="249">
                  <c:v>9.59</c:v>
                </c:pt>
                <c:pt idx="250">
                  <c:v>9.6999999999999993</c:v>
                </c:pt>
                <c:pt idx="251">
                  <c:v>9.7100000000000009</c:v>
                </c:pt>
                <c:pt idx="252">
                  <c:v>9.5500000000000007</c:v>
                </c:pt>
                <c:pt idx="253">
                  <c:v>9.6300000000000008</c:v>
                </c:pt>
                <c:pt idx="254">
                  <c:v>9.8000000000000007</c:v>
                </c:pt>
                <c:pt idx="255">
                  <c:v>9.61</c:v>
                </c:pt>
                <c:pt idx="256">
                  <c:v>9.93</c:v>
                </c:pt>
                <c:pt idx="257">
                  <c:v>9.77</c:v>
                </c:pt>
                <c:pt idx="258">
                  <c:v>9.8800000000000008</c:v>
                </c:pt>
                <c:pt idx="259">
                  <c:v>9.89</c:v>
                </c:pt>
                <c:pt idx="260">
                  <c:v>10.130000000000001</c:v>
                </c:pt>
                <c:pt idx="261">
                  <c:v>10.119999999999999</c:v>
                </c:pt>
                <c:pt idx="262">
                  <c:v>9.91</c:v>
                </c:pt>
                <c:pt idx="263">
                  <c:v>10.06</c:v>
                </c:pt>
                <c:pt idx="264">
                  <c:v>9.86</c:v>
                </c:pt>
                <c:pt idx="265">
                  <c:v>9.94</c:v>
                </c:pt>
                <c:pt idx="266">
                  <c:v>10.050000000000001</c:v>
                </c:pt>
                <c:pt idx="267">
                  <c:v>9.7799999999999994</c:v>
                </c:pt>
                <c:pt idx="268">
                  <c:v>10.15</c:v>
                </c:pt>
                <c:pt idx="269">
                  <c:v>10.24</c:v>
                </c:pt>
                <c:pt idx="270">
                  <c:v>10.02</c:v>
                </c:pt>
                <c:pt idx="271">
                  <c:v>9.98</c:v>
                </c:pt>
                <c:pt idx="272">
                  <c:v>10.050000000000001</c:v>
                </c:pt>
                <c:pt idx="273">
                  <c:v>10.11</c:v>
                </c:pt>
                <c:pt idx="274">
                  <c:v>10.55</c:v>
                </c:pt>
                <c:pt idx="275">
                  <c:v>10.06</c:v>
                </c:pt>
                <c:pt idx="276">
                  <c:v>10.08</c:v>
                </c:pt>
                <c:pt idx="277">
                  <c:v>10.08</c:v>
                </c:pt>
                <c:pt idx="278">
                  <c:v>9.77</c:v>
                </c:pt>
                <c:pt idx="279">
                  <c:v>10.130000000000001</c:v>
                </c:pt>
                <c:pt idx="280">
                  <c:v>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8C-4C03-9CC4-37A4DDE3C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30016"/>
        <c:axId val="77246723"/>
      </c:scatterChart>
      <c:valAx>
        <c:axId val="91530016"/>
        <c:scaling>
          <c:orientation val="minMax"/>
        </c:scaling>
        <c:delete val="0"/>
        <c:axPos val="b"/>
        <c:numFmt formatCode="#,###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77246723"/>
        <c:crosses val="autoZero"/>
        <c:crossBetween val="midCat"/>
      </c:valAx>
      <c:valAx>
        <c:axId val="772467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9153001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-360</xdr:colOff>
      <xdr:row>37</xdr:row>
      <xdr:rowOff>108720</xdr:rowOff>
    </xdr:from>
    <xdr:to>
      <xdr:col>6</xdr:col>
      <xdr:colOff>1096560</xdr:colOff>
      <xdr:row>57</xdr:row>
      <xdr:rowOff>89640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1142280</xdr:colOff>
      <xdr:row>38</xdr:row>
      <xdr:rowOff>151200</xdr:rowOff>
    </xdr:from>
    <xdr:to>
      <xdr:col>5</xdr:col>
      <xdr:colOff>1016280</xdr:colOff>
      <xdr:row>58</xdr:row>
      <xdr:rowOff>132120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721800</xdr:colOff>
      <xdr:row>43</xdr:row>
      <xdr:rowOff>116280</xdr:rowOff>
    </xdr:from>
    <xdr:to>
      <xdr:col>9</xdr:col>
      <xdr:colOff>97920</xdr:colOff>
      <xdr:row>63</xdr:row>
      <xdr:rowOff>104400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337320</xdr:colOff>
      <xdr:row>28</xdr:row>
      <xdr:rowOff>95175</xdr:rowOff>
    </xdr:from>
    <xdr:to>
      <xdr:col>13</xdr:col>
      <xdr:colOff>574560</xdr:colOff>
      <xdr:row>48</xdr:row>
      <xdr:rowOff>58815</xdr:rowOff>
    </xdr:to>
    <xdr:sp macro="" textlink="">
      <xdr:nvSpPr>
        <xdr:cNvPr id="3" name="シェイプ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0090800" y="5357520"/>
          <a:ext cx="1050120" cy="3214800"/>
        </a:xfrm>
        <a:prstGeom prst="rightArrow">
          <a:avLst>
            <a:gd name="adj1" fmla="val 50000"/>
            <a:gd name="adj2" fmla="val 26412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ja-JP" sz="1000" b="0" strike="noStrike" spc="-1">
              <a:solidFill>
                <a:srgbClr val="000000"/>
              </a:solidFill>
              <a:latin typeface="Noto Serif CJK JP"/>
              <a:ea typeface="DejaVu Sans"/>
            </a:rPr>
            <a:t>使いやすいように加工</a:t>
          </a:r>
          <a:endParaRPr lang="en-US" sz="1000" b="0" strike="noStrike" spc="-1">
            <a:latin typeface="Noto Serif CJK JP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youkaikenpo.or.jp/assets/2024122313.pdf" TargetMode="External"/><Relationship Id="rId3" Type="http://schemas.openxmlformats.org/officeDocument/2006/relationships/hyperlink" Target="https://www.kyoukaikenpo.or.jp/assets/2024012914.pdf" TargetMode="External"/><Relationship Id="rId7" Type="http://schemas.openxmlformats.org/officeDocument/2006/relationships/hyperlink" Target="https://www.kyoukaikenpo.or.jp/assets/2025112813.pdf" TargetMode="External"/><Relationship Id="rId12" Type="http://schemas.openxmlformats.org/officeDocument/2006/relationships/hyperlink" Target="https://www.kyoukaikenpo.or.jp/assets/201125_03.pdf" TargetMode="External"/><Relationship Id="rId2" Type="http://schemas.openxmlformats.org/officeDocument/2006/relationships/hyperlink" Target="https://www.kyoukaikenpo.or.jp/assets/2025012908.pdf" TargetMode="External"/><Relationship Id="rId1" Type="http://schemas.openxmlformats.org/officeDocument/2006/relationships/hyperlink" Target="https://www.kyoukaikenpo.or.jp/assets/2026012907.pdf" TargetMode="External"/><Relationship Id="rId6" Type="http://schemas.openxmlformats.org/officeDocument/2006/relationships/hyperlink" Target="https://www.kyoukaikenpo.or.jp/assets/2021012613.pdf" TargetMode="External"/><Relationship Id="rId11" Type="http://schemas.openxmlformats.org/officeDocument/2006/relationships/hyperlink" Target="https://www.kyoukaikenpo.or.jp/assets/2021112604_01.pdf" TargetMode="External"/><Relationship Id="rId5" Type="http://schemas.openxmlformats.org/officeDocument/2006/relationships/hyperlink" Target="https://www.kyoukaikenpo.or.jp/assets/2022012612.pdf" TargetMode="External"/><Relationship Id="rId10" Type="http://schemas.openxmlformats.org/officeDocument/2006/relationships/hyperlink" Target="https://www.kyoukaikenpo.or.jp/assets/2022112408.pdf" TargetMode="External"/><Relationship Id="rId4" Type="http://schemas.openxmlformats.org/officeDocument/2006/relationships/hyperlink" Target="https://www.kyoukaikenpo.or.jp/assets/20230130011_2.pdf" TargetMode="External"/><Relationship Id="rId9" Type="http://schemas.openxmlformats.org/officeDocument/2006/relationships/hyperlink" Target="https://www.kyoukaikenpo.or.jp/assets/2023120415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zoomScaleNormal="100" workbookViewId="0">
      <selection activeCell="I3" sqref="I3"/>
    </sheetView>
  </sheetViews>
  <sheetFormatPr defaultColWidth="11.5703125" defaultRowHeight="12.75"/>
  <cols>
    <col min="1" max="1" width="7.42578125" customWidth="1"/>
    <col min="2" max="2" width="45.28515625" customWidth="1"/>
    <col min="4" max="4" width="12.5703125" customWidth="1"/>
    <col min="5" max="5" width="14.7109375" customWidth="1"/>
    <col min="6" max="6" width="16.5703125" customWidth="1"/>
    <col min="7" max="7" width="38.5703125" customWidth="1"/>
    <col min="8" max="8" width="17.5703125" customWidth="1"/>
    <col min="9" max="9" width="68" customWidth="1"/>
  </cols>
  <sheetData>
    <row r="1" spans="1:9" ht="29.8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72.400000000000006" customHeight="1">
      <c r="A2" s="3">
        <v>1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  <c r="I2" s="6"/>
    </row>
    <row r="3" spans="1:9" ht="72.400000000000006" customHeight="1">
      <c r="A3" s="4">
        <v>2</v>
      </c>
      <c r="B3" s="4" t="s">
        <v>16</v>
      </c>
      <c r="C3" s="4" t="s">
        <v>10</v>
      </c>
      <c r="D3" s="4" t="s">
        <v>11</v>
      </c>
      <c r="E3" s="4" t="s">
        <v>12</v>
      </c>
      <c r="F3" s="4" t="s">
        <v>13</v>
      </c>
      <c r="G3" s="5" t="s">
        <v>17</v>
      </c>
      <c r="H3" s="4" t="s">
        <v>18</v>
      </c>
      <c r="I3" s="6" t="s">
        <v>19</v>
      </c>
    </row>
    <row r="4" spans="1:9" ht="72.400000000000006" customHeight="1">
      <c r="A4" s="4">
        <v>3</v>
      </c>
      <c r="B4" s="5" t="s">
        <v>20</v>
      </c>
      <c r="C4" s="4" t="s">
        <v>10</v>
      </c>
      <c r="D4" s="4" t="s">
        <v>11</v>
      </c>
      <c r="E4" s="4" t="s">
        <v>12</v>
      </c>
      <c r="F4" s="4" t="s">
        <v>13</v>
      </c>
      <c r="G4" s="5" t="s">
        <v>21</v>
      </c>
      <c r="H4" s="4" t="s">
        <v>22</v>
      </c>
      <c r="I4" s="6" t="s">
        <v>23</v>
      </c>
    </row>
    <row r="5" spans="1:9" ht="72.400000000000006" customHeight="1">
      <c r="A5" s="4">
        <v>4</v>
      </c>
      <c r="B5" s="4"/>
      <c r="C5" s="4"/>
      <c r="D5" s="4"/>
      <c r="E5" s="4"/>
      <c r="F5" s="4"/>
      <c r="G5" s="4"/>
      <c r="H5" s="4"/>
      <c r="I5" s="6"/>
    </row>
    <row r="6" spans="1:9" ht="72.400000000000006" customHeight="1">
      <c r="A6" s="4">
        <v>5</v>
      </c>
      <c r="B6" s="4"/>
      <c r="C6" s="4"/>
      <c r="D6" s="4"/>
      <c r="E6" s="4"/>
      <c r="F6" s="4"/>
      <c r="G6" s="4"/>
      <c r="H6" s="4"/>
      <c r="I6" s="6"/>
    </row>
    <row r="7" spans="1:9" ht="72.400000000000006" customHeight="1">
      <c r="A7" s="4">
        <v>6</v>
      </c>
      <c r="B7" s="4"/>
      <c r="C7" s="4"/>
      <c r="D7" s="4"/>
      <c r="E7" s="4"/>
      <c r="F7" s="4"/>
      <c r="G7" s="4"/>
      <c r="H7" s="4"/>
      <c r="I7" s="6"/>
    </row>
    <row r="8" spans="1:9" ht="72.400000000000006" customHeight="1">
      <c r="A8" s="4">
        <v>7</v>
      </c>
      <c r="B8" s="4"/>
      <c r="C8" s="4"/>
      <c r="D8" s="4"/>
      <c r="E8" s="4"/>
      <c r="F8" s="4"/>
      <c r="G8" s="4"/>
      <c r="H8" s="4"/>
      <c r="I8" s="6"/>
    </row>
    <row r="9" spans="1:9" ht="72.400000000000006" customHeight="1">
      <c r="A9" s="4">
        <v>8</v>
      </c>
      <c r="B9" s="4"/>
      <c r="C9" s="4"/>
      <c r="D9" s="4"/>
      <c r="E9" s="4"/>
      <c r="F9" s="4"/>
      <c r="G9" s="4"/>
      <c r="H9" s="4"/>
      <c r="I9" s="6"/>
    </row>
    <row r="10" spans="1:9" ht="72.400000000000006" customHeight="1">
      <c r="A10" s="4">
        <v>9</v>
      </c>
      <c r="B10" s="4"/>
      <c r="C10" s="4"/>
      <c r="D10" s="4"/>
      <c r="E10" s="4"/>
      <c r="F10" s="4"/>
      <c r="G10" s="4"/>
      <c r="H10" s="4"/>
      <c r="I10" s="6"/>
    </row>
    <row r="11" spans="1:9" ht="72.400000000000006" customHeight="1">
      <c r="A11" s="4">
        <v>10</v>
      </c>
      <c r="B11" s="4"/>
      <c r="C11" s="4"/>
      <c r="D11" s="4"/>
      <c r="E11" s="4"/>
      <c r="F11" s="4"/>
      <c r="G11" s="4"/>
      <c r="H11" s="4"/>
      <c r="I11" s="6"/>
    </row>
    <row r="12" spans="1:9" ht="72.400000000000006" customHeight="1">
      <c r="A12" s="4">
        <v>11</v>
      </c>
      <c r="B12" s="4"/>
      <c r="C12" s="4"/>
      <c r="D12" s="4"/>
      <c r="E12" s="4"/>
      <c r="F12" s="4"/>
      <c r="G12" s="4"/>
      <c r="H12" s="4"/>
      <c r="I12" s="6"/>
    </row>
    <row r="13" spans="1:9" ht="72.400000000000006" customHeight="1">
      <c r="A13" s="4">
        <v>12</v>
      </c>
      <c r="B13" s="4"/>
      <c r="C13" s="4"/>
      <c r="D13" s="4"/>
      <c r="E13" s="4"/>
      <c r="F13" s="4"/>
      <c r="G13" s="4"/>
      <c r="H13" s="4"/>
      <c r="I13" s="6"/>
    </row>
    <row r="14" spans="1:9" ht="72.400000000000006" customHeight="1">
      <c r="A14" s="4">
        <v>13</v>
      </c>
      <c r="B14" s="4"/>
      <c r="C14" s="4"/>
      <c r="D14" s="4"/>
      <c r="E14" s="4"/>
      <c r="F14" s="4"/>
      <c r="G14" s="4"/>
      <c r="H14" s="4"/>
      <c r="I14" s="6"/>
    </row>
    <row r="15" spans="1:9" ht="72.400000000000006" customHeight="1">
      <c r="A15" s="4">
        <v>14</v>
      </c>
      <c r="B15" s="4"/>
      <c r="C15" s="4"/>
      <c r="D15" s="4"/>
      <c r="E15" s="4"/>
      <c r="F15" s="4"/>
      <c r="G15" s="4"/>
      <c r="H15" s="4"/>
      <c r="I15" s="6"/>
    </row>
    <row r="16" spans="1:9" ht="72.400000000000006" customHeight="1">
      <c r="A16" s="4">
        <v>15</v>
      </c>
      <c r="B16" s="4"/>
      <c r="C16" s="4"/>
      <c r="D16" s="4"/>
      <c r="E16" s="4"/>
      <c r="F16" s="4"/>
      <c r="G16" s="4"/>
      <c r="H16" s="4"/>
      <c r="I16" s="6"/>
    </row>
    <row r="17" spans="1:9" ht="72.400000000000006" customHeight="1">
      <c r="A17" s="4">
        <v>16</v>
      </c>
      <c r="B17" s="4"/>
      <c r="C17" s="4"/>
      <c r="D17" s="4"/>
      <c r="E17" s="4"/>
      <c r="F17" s="4"/>
      <c r="G17" s="4"/>
      <c r="H17" s="4"/>
      <c r="I17" s="6"/>
    </row>
    <row r="18" spans="1:9" ht="72.400000000000006" customHeight="1">
      <c r="A18" s="4">
        <v>17</v>
      </c>
      <c r="B18" s="4"/>
      <c r="C18" s="4"/>
      <c r="D18" s="4"/>
      <c r="E18" s="4"/>
      <c r="F18" s="4"/>
      <c r="G18" s="4"/>
      <c r="H18" s="4"/>
      <c r="I18" s="6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&amp;C&amp;"Arial,標準"&amp;A</oddHeader>
    <oddFooter>&amp;C&amp;"Arial,標準"ページ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8"/>
  <sheetViews>
    <sheetView zoomScaleNormal="100" workbookViewId="0">
      <selection activeCell="F25" sqref="F25"/>
    </sheetView>
  </sheetViews>
  <sheetFormatPr defaultColWidth="11.5703125" defaultRowHeight="12.75"/>
  <cols>
    <col min="1" max="8" width="16.5703125" customWidth="1"/>
    <col min="9" max="17" width="8.7109375" customWidth="1"/>
  </cols>
  <sheetData>
    <row r="1" spans="1:17" ht="15.6">
      <c r="J1" s="26" t="s">
        <v>24</v>
      </c>
      <c r="K1" s="26"/>
      <c r="L1" s="1">
        <v>1</v>
      </c>
      <c r="M1" s="1">
        <v>2</v>
      </c>
      <c r="N1" s="1">
        <v>2</v>
      </c>
      <c r="O1" s="1">
        <v>2</v>
      </c>
      <c r="P1" s="1">
        <v>2</v>
      </c>
      <c r="Q1" s="1">
        <v>2</v>
      </c>
    </row>
    <row r="2" spans="1:17" ht="41.85" customHeight="1">
      <c r="J2" s="7" t="s">
        <v>25</v>
      </c>
      <c r="K2" s="7" t="s">
        <v>26</v>
      </c>
      <c r="L2" s="8" t="s">
        <v>13</v>
      </c>
      <c r="M2" s="7" t="s">
        <v>27</v>
      </c>
      <c r="N2" s="7" t="s">
        <v>28</v>
      </c>
      <c r="O2" s="7" t="s">
        <v>29</v>
      </c>
      <c r="P2" s="7" t="s">
        <v>30</v>
      </c>
      <c r="Q2" s="7" t="s">
        <v>31</v>
      </c>
    </row>
    <row r="3" spans="1:17">
      <c r="A3" t="s">
        <v>32</v>
      </c>
      <c r="J3" s="9">
        <v>3</v>
      </c>
      <c r="K3" s="9" t="s">
        <v>33</v>
      </c>
      <c r="L3" s="9">
        <v>10.45</v>
      </c>
      <c r="M3" s="10">
        <v>48</v>
      </c>
      <c r="N3" s="10">
        <v>9.9</v>
      </c>
      <c r="O3" s="10">
        <v>32.5</v>
      </c>
      <c r="P3" s="10">
        <v>10.6</v>
      </c>
      <c r="Q3" s="10">
        <v>79.599999999999994</v>
      </c>
    </row>
    <row r="4" spans="1:17">
      <c r="A4" t="s">
        <v>34</v>
      </c>
      <c r="B4" t="s">
        <v>35</v>
      </c>
      <c r="J4" s="9">
        <v>3</v>
      </c>
      <c r="K4" s="9" t="s">
        <v>36</v>
      </c>
      <c r="L4" s="9">
        <v>9.9600000000000009</v>
      </c>
      <c r="M4" s="10">
        <v>55.1</v>
      </c>
      <c r="N4" s="10">
        <v>17.8</v>
      </c>
      <c r="O4" s="10">
        <v>32.299999999999997</v>
      </c>
      <c r="P4" s="10">
        <v>10.6</v>
      </c>
      <c r="Q4" s="10">
        <v>80.3</v>
      </c>
    </row>
    <row r="5" spans="1:17">
      <c r="J5" s="9">
        <v>3</v>
      </c>
      <c r="K5" s="9" t="s">
        <v>37</v>
      </c>
      <c r="L5" s="9">
        <v>9.74</v>
      </c>
      <c r="M5" s="10">
        <v>57.9</v>
      </c>
      <c r="N5" s="10">
        <v>14.6</v>
      </c>
      <c r="O5" s="10">
        <v>32.299999999999997</v>
      </c>
      <c r="P5" s="10">
        <v>11.8</v>
      </c>
      <c r="Q5" s="10">
        <v>83.2</v>
      </c>
    </row>
    <row r="6" spans="1:17">
      <c r="A6" s="11" t="s">
        <v>38</v>
      </c>
      <c r="J6" s="9">
        <v>3</v>
      </c>
      <c r="K6" s="9" t="s">
        <v>39</v>
      </c>
      <c r="L6" s="9">
        <v>10.01</v>
      </c>
      <c r="M6" s="10">
        <v>60</v>
      </c>
      <c r="N6" s="10">
        <v>27.4</v>
      </c>
      <c r="O6" s="10">
        <v>32.700000000000003</v>
      </c>
      <c r="P6" s="10">
        <v>9.9</v>
      </c>
      <c r="Q6" s="10">
        <v>81.099999999999994</v>
      </c>
    </row>
    <row r="7" spans="1:17">
      <c r="A7" s="12">
        <f t="array" ref="A7:F11">LINEST($L$3:$L$284, $M$3:$Q$284, 1, 1)</f>
        <v>3.5861539851514282E-5</v>
      </c>
      <c r="B7" s="12">
        <v>-2.2051479287401032E-3</v>
      </c>
      <c r="C7" s="12">
        <v>2.4665287418852253E-2</v>
      </c>
      <c r="D7" s="12">
        <v>8.467663724132303E-3</v>
      </c>
      <c r="E7" s="12">
        <v>-1.4850117221191776E-2</v>
      </c>
      <c r="F7" s="12">
        <v>9.8968060079332751</v>
      </c>
      <c r="J7" s="9">
        <v>3</v>
      </c>
      <c r="K7" s="9" t="s">
        <v>40</v>
      </c>
      <c r="L7" s="9">
        <v>10.16</v>
      </c>
      <c r="M7" s="10">
        <v>53.8</v>
      </c>
      <c r="N7" s="10">
        <v>28.7</v>
      </c>
      <c r="O7" s="10">
        <v>32.299999999999997</v>
      </c>
      <c r="P7" s="10">
        <v>9.1999999999999993</v>
      </c>
      <c r="Q7" s="10">
        <v>79.3</v>
      </c>
    </row>
    <row r="8" spans="1:17">
      <c r="A8" s="12">
        <v>8.6690062551376458E-4</v>
      </c>
      <c r="B8" s="12">
        <v>1.3789857100620496E-3</v>
      </c>
      <c r="C8" s="12">
        <v>1.4676236917994061E-2</v>
      </c>
      <c r="D8" s="12">
        <v>2.7188261006248489E-3</v>
      </c>
      <c r="E8" s="12">
        <v>2.8495990896001298E-3</v>
      </c>
      <c r="F8" s="12">
        <v>0.52061072787342866</v>
      </c>
      <c r="J8" s="9">
        <v>3</v>
      </c>
      <c r="K8" s="9" t="s">
        <v>41</v>
      </c>
      <c r="L8" s="9">
        <v>10.029999999999999</v>
      </c>
      <c r="M8" s="10">
        <v>73.8</v>
      </c>
      <c r="N8" s="10">
        <v>24</v>
      </c>
      <c r="O8" s="10">
        <v>33.6</v>
      </c>
      <c r="P8" s="10">
        <v>11.5</v>
      </c>
      <c r="Q8" s="10">
        <v>81.2</v>
      </c>
    </row>
    <row r="9" spans="1:17">
      <c r="A9" s="12">
        <v>0.13527893415674777</v>
      </c>
      <c r="B9" s="12">
        <v>0.25181476994537538</v>
      </c>
      <c r="C9" s="12" t="e">
        <v>#N/A</v>
      </c>
      <c r="D9" s="12" t="e">
        <v>#N/A</v>
      </c>
      <c r="E9" s="12" t="e">
        <v>#N/A</v>
      </c>
      <c r="F9" s="12" t="e">
        <v>#N/A</v>
      </c>
      <c r="J9" s="9">
        <v>3</v>
      </c>
      <c r="K9" s="9" t="s">
        <v>42</v>
      </c>
      <c r="L9" s="9">
        <v>9.64</v>
      </c>
      <c r="M9" s="10">
        <v>55</v>
      </c>
      <c r="N9" s="10">
        <v>23.9</v>
      </c>
      <c r="O9" s="10">
        <v>33.9</v>
      </c>
      <c r="P9" s="10">
        <v>10.6</v>
      </c>
      <c r="Q9" s="10">
        <v>79.5</v>
      </c>
    </row>
    <row r="10" spans="1:17">
      <c r="A10" s="12">
        <v>8.6356137954965586</v>
      </c>
      <c r="B10" s="12">
        <v>276</v>
      </c>
      <c r="C10" s="12" t="e">
        <v>#N/A</v>
      </c>
      <c r="D10" s="12" t="e">
        <v>#N/A</v>
      </c>
      <c r="E10" s="12" t="e">
        <v>#N/A</v>
      </c>
      <c r="F10" s="12" t="e">
        <v>#N/A</v>
      </c>
      <c r="J10" s="9">
        <v>3</v>
      </c>
      <c r="K10" s="9" t="s">
        <v>43</v>
      </c>
      <c r="L10" s="9">
        <v>9.74</v>
      </c>
      <c r="M10" s="10">
        <v>52.8</v>
      </c>
      <c r="N10" s="10">
        <v>20.2</v>
      </c>
      <c r="O10" s="10">
        <v>32.4</v>
      </c>
      <c r="P10" s="10">
        <v>11.4</v>
      </c>
      <c r="Q10" s="10">
        <v>76.599999999999994</v>
      </c>
    </row>
    <row r="11" spans="1:17">
      <c r="A11" s="12">
        <v>2.7379506442511463</v>
      </c>
      <c r="B11" s="12">
        <v>17.501347228089283</v>
      </c>
      <c r="C11" s="12" t="e">
        <v>#N/A</v>
      </c>
      <c r="D11" s="12" t="e">
        <v>#N/A</v>
      </c>
      <c r="E11" s="12" t="e">
        <v>#N/A</v>
      </c>
      <c r="F11" s="12" t="e">
        <v>#N/A</v>
      </c>
      <c r="J11" s="9">
        <v>3</v>
      </c>
      <c r="K11" s="9" t="s">
        <v>44</v>
      </c>
      <c r="L11" s="9">
        <v>9.8699999999999992</v>
      </c>
      <c r="M11" s="10">
        <v>53.3</v>
      </c>
      <c r="N11" s="10">
        <v>22.7</v>
      </c>
      <c r="O11" s="10">
        <v>33.9</v>
      </c>
      <c r="P11" s="10">
        <v>10</v>
      </c>
      <c r="Q11" s="10">
        <v>76.7</v>
      </c>
    </row>
    <row r="12" spans="1:17">
      <c r="J12" s="9">
        <v>3</v>
      </c>
      <c r="K12" s="9" t="s">
        <v>45</v>
      </c>
      <c r="L12" s="9">
        <v>9.66</v>
      </c>
      <c r="M12" s="10">
        <v>51.2</v>
      </c>
      <c r="N12" s="10">
        <v>13.5</v>
      </c>
      <c r="O12" s="10">
        <v>33</v>
      </c>
      <c r="P12" s="10">
        <v>10.3</v>
      </c>
      <c r="Q12" s="10">
        <v>77.8</v>
      </c>
    </row>
    <row r="13" spans="1:17">
      <c r="A13" s="11" t="s">
        <v>46</v>
      </c>
      <c r="J13" s="9">
        <v>3</v>
      </c>
      <c r="K13" s="9" t="s">
        <v>47</v>
      </c>
      <c r="L13" s="9">
        <v>9.8000000000000007</v>
      </c>
      <c r="M13" s="10">
        <v>47</v>
      </c>
      <c r="N13" s="10">
        <v>8.4</v>
      </c>
      <c r="O13" s="10">
        <v>31.7</v>
      </c>
      <c r="P13" s="10">
        <v>10.5</v>
      </c>
      <c r="Q13" s="10">
        <v>77.599999999999994</v>
      </c>
    </row>
    <row r="14" spans="1:17">
      <c r="A14" s="11" t="s">
        <v>48</v>
      </c>
      <c r="B14" s="27">
        <f>$A$9</f>
        <v>0.13527893415674777</v>
      </c>
      <c r="J14" s="9">
        <v>3</v>
      </c>
      <c r="K14" s="9" t="s">
        <v>49</v>
      </c>
      <c r="L14" s="9">
        <v>9.7899999999999991</v>
      </c>
      <c r="M14" s="10">
        <v>43.8</v>
      </c>
      <c r="N14" s="10">
        <v>12.9</v>
      </c>
      <c r="O14" s="10">
        <v>32.4</v>
      </c>
      <c r="P14" s="10">
        <v>10.199999999999999</v>
      </c>
      <c r="Q14" s="10">
        <v>78</v>
      </c>
    </row>
    <row r="15" spans="1:17">
      <c r="A15" t="s">
        <v>50</v>
      </c>
      <c r="B15" s="12">
        <f>$B$9</f>
        <v>0.25181476994537538</v>
      </c>
      <c r="J15" s="9">
        <v>3</v>
      </c>
      <c r="K15" s="9" t="s">
        <v>51</v>
      </c>
      <c r="L15" s="9">
        <v>9.84</v>
      </c>
      <c r="M15" s="10">
        <v>50.5</v>
      </c>
      <c r="N15" s="10">
        <v>7.5</v>
      </c>
      <c r="O15" s="10">
        <v>32.9</v>
      </c>
      <c r="P15" s="10">
        <v>9.9</v>
      </c>
      <c r="Q15" s="10">
        <v>76.3</v>
      </c>
    </row>
    <row r="16" spans="1:17" ht="15.6">
      <c r="A16" s="11" t="s">
        <v>52</v>
      </c>
      <c r="B16" s="12">
        <f>5</f>
        <v>5</v>
      </c>
      <c r="J16" s="9">
        <v>3</v>
      </c>
      <c r="K16" s="9" t="s">
        <v>53</v>
      </c>
      <c r="L16" s="9">
        <v>9.99</v>
      </c>
      <c r="M16" s="10">
        <v>46.1</v>
      </c>
      <c r="N16" s="10">
        <v>8.9</v>
      </c>
      <c r="O16" s="10">
        <v>32.1</v>
      </c>
      <c r="P16" s="10">
        <v>10.4</v>
      </c>
      <c r="Q16" s="10">
        <v>76.8</v>
      </c>
    </row>
    <row r="17" spans="1:17">
      <c r="A17" t="s">
        <v>54</v>
      </c>
      <c r="B17" s="12">
        <f>282</f>
        <v>282</v>
      </c>
      <c r="J17" s="9">
        <v>3</v>
      </c>
      <c r="K17" s="9" t="s">
        <v>55</v>
      </c>
      <c r="L17" s="9">
        <v>9.5</v>
      </c>
      <c r="M17" s="10">
        <v>66.400000000000006</v>
      </c>
      <c r="N17" s="10">
        <v>17.7</v>
      </c>
      <c r="O17" s="10">
        <v>33.4</v>
      </c>
      <c r="P17" s="10">
        <v>10.6</v>
      </c>
      <c r="Q17" s="10">
        <v>79.3</v>
      </c>
    </row>
    <row r="18" spans="1:17">
      <c r="A18" s="11" t="s">
        <v>56</v>
      </c>
      <c r="B18" s="12">
        <f>1 - (1 - $A$9)*($B$17 - 1)/($B$17 - $B$16 - 1)</f>
        <v>0.11961369745668882</v>
      </c>
      <c r="J18" s="9">
        <v>3</v>
      </c>
      <c r="K18" s="9" t="s">
        <v>57</v>
      </c>
      <c r="L18" s="9">
        <v>9.59</v>
      </c>
      <c r="M18" s="10">
        <v>66.3</v>
      </c>
      <c r="N18" s="10">
        <v>29.3</v>
      </c>
      <c r="O18" s="10">
        <v>31.4</v>
      </c>
      <c r="P18" s="10">
        <v>14.4</v>
      </c>
      <c r="Q18" s="10">
        <v>78.8</v>
      </c>
    </row>
    <row r="19" spans="1:17">
      <c r="J19" s="9">
        <v>3</v>
      </c>
      <c r="K19" s="9" t="s">
        <v>58</v>
      </c>
      <c r="L19" s="9">
        <v>10.11</v>
      </c>
      <c r="M19" s="10">
        <v>63.7</v>
      </c>
      <c r="N19" s="10">
        <v>21.1</v>
      </c>
      <c r="O19" s="10">
        <v>31.5</v>
      </c>
      <c r="P19" s="10">
        <v>12.1</v>
      </c>
      <c r="Q19" s="10">
        <v>77.8</v>
      </c>
    </row>
    <row r="20" spans="1:17" ht="15.6">
      <c r="A20" t="s">
        <v>59</v>
      </c>
      <c r="J20" s="9">
        <v>3</v>
      </c>
      <c r="K20" s="9" t="s">
        <v>60</v>
      </c>
      <c r="L20" s="9">
        <v>9.98</v>
      </c>
      <c r="M20" s="10">
        <v>61.2</v>
      </c>
      <c r="N20" s="10">
        <v>19.600000000000001</v>
      </c>
      <c r="O20" s="10">
        <v>33.700000000000003</v>
      </c>
      <c r="P20" s="10">
        <v>17.3</v>
      </c>
      <c r="Q20" s="10">
        <v>77.5</v>
      </c>
    </row>
    <row r="21" spans="1:17">
      <c r="B21" t="s">
        <v>61</v>
      </c>
      <c r="C21" t="s">
        <v>62</v>
      </c>
      <c r="D21" t="s">
        <v>63</v>
      </c>
      <c r="E21" s="11" t="s">
        <v>64</v>
      </c>
      <c r="F21" s="11" t="s">
        <v>65</v>
      </c>
      <c r="J21" s="9">
        <v>3</v>
      </c>
      <c r="K21" s="9" t="s">
        <v>66</v>
      </c>
      <c r="L21" s="9">
        <v>9.7899999999999991</v>
      </c>
      <c r="M21" s="10">
        <v>65.099999999999994</v>
      </c>
      <c r="N21" s="10">
        <v>18.899999999999999</v>
      </c>
      <c r="O21" s="10">
        <v>31.7</v>
      </c>
      <c r="P21" s="10">
        <v>9.1999999999999993</v>
      </c>
      <c r="Q21" s="10">
        <v>74.8</v>
      </c>
    </row>
    <row r="22" spans="1:17">
      <c r="A22" t="s">
        <v>32</v>
      </c>
      <c r="B22">
        <f>$B$16</f>
        <v>5</v>
      </c>
      <c r="C22" s="12">
        <f>$A$11</f>
        <v>2.7379506442511463</v>
      </c>
      <c r="D22" s="12">
        <f>$A$11 / $B$22</f>
        <v>0.54759012885022929</v>
      </c>
      <c r="E22" s="12">
        <f>$A$10</f>
        <v>8.6356137954965586</v>
      </c>
      <c r="F22" s="12">
        <f>FDIST($A$10, $B$22, $B$10)</f>
        <v>1.2805270110886765E-7</v>
      </c>
      <c r="J22" s="9">
        <v>3</v>
      </c>
      <c r="K22" s="9" t="s">
        <v>67</v>
      </c>
      <c r="L22" s="9">
        <v>9.7100000000000009</v>
      </c>
      <c r="M22" s="10">
        <v>58.7</v>
      </c>
      <c r="N22" s="10">
        <v>22.5</v>
      </c>
      <c r="O22" s="10">
        <v>33.1</v>
      </c>
      <c r="P22" s="10">
        <v>9.9</v>
      </c>
      <c r="Q22" s="10">
        <v>79.099999999999994</v>
      </c>
    </row>
    <row r="23" spans="1:17">
      <c r="A23" t="s">
        <v>68</v>
      </c>
      <c r="B23">
        <f>$B$10</f>
        <v>276</v>
      </c>
      <c r="C23" s="12">
        <f>$B$11</f>
        <v>17.501347228089283</v>
      </c>
      <c r="D23" s="12">
        <f>$B$11 / $B$10</f>
        <v>6.3410678362642331E-2</v>
      </c>
      <c r="E23" s="12"/>
      <c r="F23" s="12"/>
      <c r="J23" s="9">
        <v>3</v>
      </c>
      <c r="K23" s="9" t="s">
        <v>69</v>
      </c>
      <c r="L23" s="9">
        <v>9.83</v>
      </c>
      <c r="M23" s="10">
        <v>57</v>
      </c>
      <c r="N23" s="10">
        <v>27.4</v>
      </c>
      <c r="O23" s="10">
        <v>33.6</v>
      </c>
      <c r="P23" s="10">
        <v>9.6</v>
      </c>
      <c r="Q23" s="10">
        <v>75.5</v>
      </c>
    </row>
    <row r="24" spans="1:17">
      <c r="A24" t="s">
        <v>70</v>
      </c>
      <c r="B24">
        <f>$B$22 + $B$10</f>
        <v>281</v>
      </c>
      <c r="C24" s="12">
        <f>$A$11 + $B$11</f>
        <v>20.23929787234043</v>
      </c>
      <c r="D24" s="12"/>
      <c r="E24" s="12"/>
      <c r="F24" s="12"/>
      <c r="J24" s="9">
        <v>3</v>
      </c>
      <c r="K24" s="9" t="s">
        <v>71</v>
      </c>
      <c r="L24" s="9">
        <v>9.7200000000000006</v>
      </c>
      <c r="M24" s="10">
        <v>55.1</v>
      </c>
      <c r="N24" s="10">
        <v>14.7</v>
      </c>
      <c r="O24" s="10">
        <v>33.700000000000003</v>
      </c>
      <c r="P24" s="10">
        <v>10.3</v>
      </c>
      <c r="Q24" s="10">
        <v>78.2</v>
      </c>
    </row>
    <row r="25" spans="1:17">
      <c r="J25" s="9">
        <v>3</v>
      </c>
      <c r="K25" s="9" t="s">
        <v>72</v>
      </c>
      <c r="L25" s="9">
        <v>9.91</v>
      </c>
      <c r="M25" s="10">
        <v>50.3</v>
      </c>
      <c r="N25" s="10">
        <v>11.8</v>
      </c>
      <c r="O25" s="10">
        <v>33.299999999999997</v>
      </c>
      <c r="P25" s="10">
        <v>10.199999999999999</v>
      </c>
      <c r="Q25" s="10">
        <v>76.2</v>
      </c>
    </row>
    <row r="26" spans="1:17">
      <c r="A26" t="s">
        <v>73</v>
      </c>
      <c r="B26">
        <v>0.95</v>
      </c>
      <c r="J26" s="9">
        <v>3</v>
      </c>
      <c r="K26" s="9" t="s">
        <v>74</v>
      </c>
      <c r="L26" s="9">
        <v>9.81</v>
      </c>
      <c r="M26" s="10">
        <v>58.1</v>
      </c>
      <c r="N26" s="10">
        <v>15.2</v>
      </c>
      <c r="O26" s="10">
        <v>32.799999999999997</v>
      </c>
      <c r="P26" s="10">
        <v>12.7</v>
      </c>
      <c r="Q26" s="10">
        <v>76.400000000000006</v>
      </c>
    </row>
    <row r="27" spans="1:17">
      <c r="J27" s="9">
        <v>3</v>
      </c>
      <c r="K27" s="9" t="s">
        <v>75</v>
      </c>
      <c r="L27" s="9">
        <v>9.7799999999999994</v>
      </c>
      <c r="M27" s="10">
        <v>57.8</v>
      </c>
      <c r="N27" s="10">
        <v>23.5</v>
      </c>
      <c r="O27" s="10">
        <v>35.5</v>
      </c>
      <c r="P27" s="10">
        <v>10.7</v>
      </c>
      <c r="Q27" s="10">
        <v>78.3</v>
      </c>
    </row>
    <row r="28" spans="1:17" ht="15.6">
      <c r="B28" t="s">
        <v>76</v>
      </c>
      <c r="C28" t="s">
        <v>50</v>
      </c>
      <c r="D28" s="11" t="s">
        <v>77</v>
      </c>
      <c r="E28" s="11" t="s">
        <v>78</v>
      </c>
      <c r="F28" t="str">
        <f>_xlfn.CONCAT("Lower ", INT($B$26 * 100), "%")</f>
        <v>Lower 95%</v>
      </c>
      <c r="G28" t="str">
        <f>_xlfn.CONCAT("Upper ", INT($B$26 * 100), "%")</f>
        <v>Upper 95%</v>
      </c>
      <c r="J28" s="9">
        <v>3</v>
      </c>
      <c r="K28" s="9" t="s">
        <v>79</v>
      </c>
      <c r="L28" s="9">
        <v>10.06</v>
      </c>
      <c r="M28" s="10">
        <v>55.6</v>
      </c>
      <c r="N28" s="10">
        <v>15.6</v>
      </c>
      <c r="O28" s="10">
        <v>34.299999999999997</v>
      </c>
      <c r="P28" s="10">
        <v>10.7</v>
      </c>
      <c r="Q28" s="10">
        <v>74</v>
      </c>
    </row>
    <row r="29" spans="1:17">
      <c r="A29" t="str">
        <f>"切片"</f>
        <v>切片</v>
      </c>
      <c r="B29" s="12">
        <f t="array" ref="B29:B34">INDEX($A$7:$F$7, 1, ROW($B$34)+1 - ROW())</f>
        <v>9.8968060079332751</v>
      </c>
      <c r="C29" s="12">
        <f t="array" ref="C29:C34">INDEX($A$8:$F$8, 1, ROW($C$34)+1 - ROW())</f>
        <v>0.52061072787342866</v>
      </c>
      <c r="D29" s="12">
        <f t="array" ref="D29:D34">$B$29:$B$34 / $C$29:$C$34</f>
        <v>19.009992453208522</v>
      </c>
      <c r="E29" s="12">
        <f t="array" ref="E29:E34">TDIST(ABS($D$29:$D$34), $B$10, 2 )</f>
        <v>4.381386318570511E-52</v>
      </c>
      <c r="F29" s="12">
        <f t="array" ref="F29:F34">$B$29:$B$34 - $C$29:$C$34 * TINV(1 - $B$26, $B$10)</f>
        <v>8.8719336322223477</v>
      </c>
      <c r="G29" s="12">
        <f t="array" ref="G29:G34">$B$29:$B$34 + $C$29:$C$34 * TINV(1 - $B$26, $B$10)</f>
        <v>10.921678383644203</v>
      </c>
      <c r="J29" s="9">
        <v>3</v>
      </c>
      <c r="K29" s="9" t="s">
        <v>80</v>
      </c>
      <c r="L29" s="9">
        <v>10.29</v>
      </c>
      <c r="M29" s="10">
        <v>45.2</v>
      </c>
      <c r="N29" s="10">
        <v>12.5</v>
      </c>
      <c r="O29" s="10">
        <v>33.5</v>
      </c>
      <c r="P29" s="10">
        <v>10.9</v>
      </c>
      <c r="Q29" s="10">
        <v>74.3</v>
      </c>
    </row>
    <row r="30" spans="1:17">
      <c r="A30" t="str">
        <f>"X1"</f>
        <v>X1</v>
      </c>
      <c r="B30" s="12">
        <v>-1.4850117221191776E-2</v>
      </c>
      <c r="C30" s="12">
        <v>2.8495990896001298E-3</v>
      </c>
      <c r="D30" s="12">
        <v>-5.2113005213219727</v>
      </c>
      <c r="E30" s="12">
        <v>3.67732480589027E-7</v>
      </c>
      <c r="F30" s="12">
        <v>-2.0459827571786417E-2</v>
      </c>
      <c r="G30" s="12">
        <v>-9.2404068705971357E-3</v>
      </c>
      <c r="J30" s="9">
        <v>3</v>
      </c>
      <c r="K30" s="9" t="s">
        <v>81</v>
      </c>
      <c r="L30" s="9">
        <v>10.24</v>
      </c>
      <c r="M30" s="10">
        <v>50.9</v>
      </c>
      <c r="N30" s="10">
        <v>14.3</v>
      </c>
      <c r="O30" s="10">
        <v>33.200000000000003</v>
      </c>
      <c r="P30" s="10">
        <v>10.9</v>
      </c>
      <c r="Q30" s="10">
        <v>76.900000000000006</v>
      </c>
    </row>
    <row r="31" spans="1:17">
      <c r="A31" t="str">
        <f>"X2"</f>
        <v>X2</v>
      </c>
      <c r="B31" s="12">
        <v>8.467663724132303E-3</v>
      </c>
      <c r="C31" s="12">
        <v>2.7188261006248489E-3</v>
      </c>
      <c r="D31" s="12">
        <v>3.1144558021516118</v>
      </c>
      <c r="E31" s="12">
        <v>2.0367987463837892E-3</v>
      </c>
      <c r="F31" s="12">
        <v>3.1153926015715875E-3</v>
      </c>
      <c r="G31" s="12">
        <v>1.3819934846693019E-2</v>
      </c>
      <c r="J31" s="9">
        <v>3</v>
      </c>
      <c r="K31" s="9" t="s">
        <v>82</v>
      </c>
      <c r="L31" s="9">
        <v>10</v>
      </c>
      <c r="M31" s="10">
        <v>49.6</v>
      </c>
      <c r="N31" s="10">
        <v>23.5</v>
      </c>
      <c r="O31" s="10">
        <v>35.4</v>
      </c>
      <c r="P31" s="10">
        <v>10.8</v>
      </c>
      <c r="Q31" s="10">
        <v>71.7</v>
      </c>
    </row>
    <row r="32" spans="1:17">
      <c r="A32" t="str">
        <f>"X3"</f>
        <v>X3</v>
      </c>
      <c r="B32" s="12">
        <v>2.4665287418852253E-2</v>
      </c>
      <c r="C32" s="12">
        <v>1.4676236917994061E-2</v>
      </c>
      <c r="D32" s="12">
        <v>1.6806275039489815</v>
      </c>
      <c r="E32" s="12">
        <v>9.3966619322189623E-2</v>
      </c>
      <c r="F32" s="12">
        <v>-4.2262989264407469E-3</v>
      </c>
      <c r="G32" s="12">
        <v>5.3556873764145252E-2</v>
      </c>
      <c r="J32" s="9">
        <v>3</v>
      </c>
      <c r="K32" s="9" t="s">
        <v>83</v>
      </c>
      <c r="L32" s="9">
        <v>10.11</v>
      </c>
      <c r="M32" s="10">
        <v>49.4</v>
      </c>
      <c r="N32" s="10">
        <v>19.600000000000001</v>
      </c>
      <c r="O32" s="10">
        <v>34</v>
      </c>
      <c r="P32" s="10">
        <v>12.5</v>
      </c>
      <c r="Q32" s="10">
        <v>72.7</v>
      </c>
    </row>
    <row r="33" spans="1:17">
      <c r="A33" t="str">
        <f>"X4"</f>
        <v>X4</v>
      </c>
      <c r="B33" s="12">
        <v>-2.2051479287401032E-3</v>
      </c>
      <c r="C33" s="12">
        <v>1.3789857100620496E-3</v>
      </c>
      <c r="D33" s="12">
        <v>-1.5991086148680098</v>
      </c>
      <c r="E33" s="12">
        <v>0.11094056375918999</v>
      </c>
      <c r="F33" s="12">
        <v>-4.9198141564523994E-3</v>
      </c>
      <c r="G33" s="12">
        <v>5.0951829897219339E-4</v>
      </c>
      <c r="J33" s="9">
        <v>3</v>
      </c>
      <c r="K33" s="9" t="s">
        <v>84</v>
      </c>
      <c r="L33" s="9">
        <v>9.9700000000000006</v>
      </c>
      <c r="M33" s="10">
        <v>53.1</v>
      </c>
      <c r="N33" s="10">
        <v>16.100000000000001</v>
      </c>
      <c r="O33" s="10">
        <v>32.799999999999997</v>
      </c>
      <c r="P33" s="10">
        <v>10.4</v>
      </c>
      <c r="Q33" s="10">
        <v>79.099999999999994</v>
      </c>
    </row>
    <row r="34" spans="1:17">
      <c r="A34" t="str">
        <f>"X5"</f>
        <v>X5</v>
      </c>
      <c r="B34" s="12">
        <v>3.5861539851514282E-5</v>
      </c>
      <c r="C34" s="12">
        <v>8.6690062551376458E-4</v>
      </c>
      <c r="D34" s="12">
        <v>4.1367532559180138E-2</v>
      </c>
      <c r="E34" s="12">
        <v>0.9670328050206991</v>
      </c>
      <c r="F34" s="12">
        <v>-1.6707158624327989E-3</v>
      </c>
      <c r="G34" s="12">
        <v>1.7424389421358275E-3</v>
      </c>
      <c r="J34" s="9">
        <v>3</v>
      </c>
      <c r="K34" s="9" t="s">
        <v>85</v>
      </c>
      <c r="L34" s="9">
        <v>10.029999999999999</v>
      </c>
      <c r="M34" s="10">
        <v>65.3</v>
      </c>
      <c r="N34" s="10">
        <v>25.8</v>
      </c>
      <c r="O34" s="10">
        <v>34.200000000000003</v>
      </c>
      <c r="P34" s="10">
        <v>11.2</v>
      </c>
      <c r="Q34" s="10">
        <v>80.599999999999994</v>
      </c>
    </row>
    <row r="35" spans="1:17">
      <c r="J35" s="9">
        <v>3</v>
      </c>
      <c r="K35" s="9" t="s">
        <v>86</v>
      </c>
      <c r="L35" s="9">
        <v>10.18</v>
      </c>
      <c r="M35" s="10">
        <v>56.8</v>
      </c>
      <c r="N35" s="10">
        <v>31.6</v>
      </c>
      <c r="O35" s="10">
        <v>32.4</v>
      </c>
      <c r="P35" s="10">
        <v>11.7</v>
      </c>
      <c r="Q35" s="10">
        <v>76.2</v>
      </c>
    </row>
    <row r="36" spans="1:17">
      <c r="A36" t="str">
        <f>"X1"</f>
        <v>X1</v>
      </c>
      <c r="B36" t="str">
        <f>"X2"</f>
        <v>X2</v>
      </c>
      <c r="C36" t="str">
        <f>"X3"</f>
        <v>X3</v>
      </c>
      <c r="D36" t="str">
        <f>"X4"</f>
        <v>X4</v>
      </c>
      <c r="E36" t="str">
        <f>"X5"</f>
        <v>X5</v>
      </c>
      <c r="F36" s="11" t="s">
        <v>87</v>
      </c>
      <c r="G36" t="str">
        <f>"Y"</f>
        <v>Y</v>
      </c>
      <c r="H36" t="s">
        <v>68</v>
      </c>
      <c r="J36" s="9">
        <v>3</v>
      </c>
      <c r="K36" s="9" t="s">
        <v>88</v>
      </c>
      <c r="L36" s="9">
        <v>10.039999999999999</v>
      </c>
      <c r="M36" s="10">
        <v>54.7</v>
      </c>
      <c r="N36" s="10">
        <v>19.7</v>
      </c>
      <c r="O36" s="10">
        <v>32.9</v>
      </c>
      <c r="P36" s="10">
        <v>10.9</v>
      </c>
      <c r="Q36" s="10">
        <v>75.7</v>
      </c>
    </row>
    <row r="37" spans="1:17">
      <c r="A37">
        <f t="array" ref="A37:E318">$M$3:$Q$284</f>
        <v>48</v>
      </c>
      <c r="B37">
        <v>9.9</v>
      </c>
      <c r="C37">
        <v>32.5</v>
      </c>
      <c r="D37">
        <v>10.6</v>
      </c>
      <c r="E37">
        <v>79.599999999999994</v>
      </c>
      <c r="F37" s="13">
        <f t="array" ref="F37:F318">MMULT($A$37:$E$318, $B$30:$B$34) + $B$29</f>
        <v>10.048932103825214</v>
      </c>
      <c r="G37">
        <f t="array" ref="G37:G318">$L$3:$L$284</f>
        <v>10.45</v>
      </c>
      <c r="H37" s="13">
        <f t="array" ref="H37:H318">$G$37:$G$318 - $F$37:$F$318</f>
        <v>0.40106789617478533</v>
      </c>
      <c r="J37" s="9">
        <v>3</v>
      </c>
      <c r="K37" s="9" t="s">
        <v>89</v>
      </c>
      <c r="L37" s="9">
        <v>10.220000000000001</v>
      </c>
      <c r="M37" s="10">
        <v>51.2</v>
      </c>
      <c r="N37" s="10">
        <v>18.8</v>
      </c>
      <c r="O37" s="10">
        <v>33.1</v>
      </c>
      <c r="P37" s="10">
        <v>10.4</v>
      </c>
      <c r="Q37" s="10">
        <v>78.2</v>
      </c>
    </row>
    <row r="38" spans="1:17">
      <c r="A38">
        <v>55.1</v>
      </c>
      <c r="B38">
        <v>17.8</v>
      </c>
      <c r="C38">
        <v>32.299999999999997</v>
      </c>
      <c r="D38">
        <v>10.6</v>
      </c>
      <c r="E38">
        <v>80.3</v>
      </c>
      <c r="F38" s="13">
        <v>10.005482860569522</v>
      </c>
      <c r="G38">
        <v>9.9600000000000009</v>
      </c>
      <c r="H38" s="13">
        <v>-4.5482860569521222E-2</v>
      </c>
      <c r="J38" s="9">
        <v>3</v>
      </c>
      <c r="K38" s="9" t="s">
        <v>90</v>
      </c>
      <c r="L38" s="9">
        <v>10.29</v>
      </c>
      <c r="M38" s="10">
        <v>54.7</v>
      </c>
      <c r="N38" s="10">
        <v>24.2</v>
      </c>
      <c r="O38" s="10">
        <v>34</v>
      </c>
      <c r="P38" s="10">
        <v>10.4</v>
      </c>
      <c r="Q38" s="10">
        <v>68</v>
      </c>
    </row>
    <row r="39" spans="1:17">
      <c r="A39">
        <v>57.9</v>
      </c>
      <c r="B39">
        <v>14.6</v>
      </c>
      <c r="C39">
        <v>32.299999999999997</v>
      </c>
      <c r="D39">
        <v>11.8</v>
      </c>
      <c r="E39">
        <v>83.2</v>
      </c>
      <c r="F39" s="13">
        <v>9.9342638293840437</v>
      </c>
      <c r="G39">
        <v>9.74</v>
      </c>
      <c r="H39" s="13">
        <v>-0.19426382938404352</v>
      </c>
      <c r="J39" s="9">
        <v>3</v>
      </c>
      <c r="K39" s="9" t="s">
        <v>91</v>
      </c>
      <c r="L39" s="9">
        <v>10.28</v>
      </c>
      <c r="M39" s="10">
        <v>52.3</v>
      </c>
      <c r="N39" s="10">
        <v>36.1</v>
      </c>
      <c r="O39" s="10">
        <v>32.5</v>
      </c>
      <c r="P39" s="10">
        <v>11.6</v>
      </c>
      <c r="Q39" s="10">
        <v>73.8</v>
      </c>
    </row>
    <row r="40" spans="1:17">
      <c r="A40">
        <v>60</v>
      </c>
      <c r="B40">
        <v>27.4</v>
      </c>
      <c r="C40">
        <v>32.700000000000003</v>
      </c>
      <c r="D40">
        <v>9.9</v>
      </c>
      <c r="E40">
        <v>81.099999999999994</v>
      </c>
      <c r="F40" s="13">
        <v>10.025445265686892</v>
      </c>
      <c r="G40">
        <v>10.01</v>
      </c>
      <c r="H40" s="13">
        <v>-1.544526568689264E-2</v>
      </c>
      <c r="J40" s="9">
        <v>3</v>
      </c>
      <c r="K40" s="9" t="s">
        <v>92</v>
      </c>
      <c r="L40" s="9">
        <v>10.220000000000001</v>
      </c>
      <c r="M40" s="10">
        <v>58.3</v>
      </c>
      <c r="N40" s="10">
        <v>22.1</v>
      </c>
      <c r="O40" s="10">
        <v>32.200000000000003</v>
      </c>
      <c r="P40" s="10">
        <v>10.6</v>
      </c>
      <c r="Q40" s="10">
        <v>74.099999999999994</v>
      </c>
    </row>
    <row r="41" spans="1:17">
      <c r="A41">
        <v>53.8</v>
      </c>
      <c r="B41">
        <v>28.7</v>
      </c>
      <c r="C41">
        <v>32.299999999999997</v>
      </c>
      <c r="D41">
        <v>9.1999999999999993</v>
      </c>
      <c r="E41">
        <v>79.3</v>
      </c>
      <c r="F41" s="13">
        <v>10.120136893110498</v>
      </c>
      <c r="G41">
        <v>10.16</v>
      </c>
      <c r="H41" s="13">
        <v>3.986310688950212E-2</v>
      </c>
      <c r="J41" s="9">
        <v>3</v>
      </c>
      <c r="K41" s="9" t="s">
        <v>93</v>
      </c>
      <c r="L41" s="9">
        <v>10.17</v>
      </c>
      <c r="M41" s="10">
        <v>61.2</v>
      </c>
      <c r="N41" s="10">
        <v>17.7</v>
      </c>
      <c r="O41" s="10">
        <v>30.6</v>
      </c>
      <c r="P41" s="10">
        <v>9.4</v>
      </c>
      <c r="Q41" s="10">
        <v>71.7</v>
      </c>
    </row>
    <row r="42" spans="1:17">
      <c r="A42">
        <v>73.8</v>
      </c>
      <c r="B42">
        <v>24</v>
      </c>
      <c r="C42">
        <v>33.6</v>
      </c>
      <c r="D42">
        <v>11.5</v>
      </c>
      <c r="E42">
        <v>81.2</v>
      </c>
      <c r="F42" s="13">
        <v>9.810397699517365</v>
      </c>
      <c r="G42">
        <v>10.029999999999999</v>
      </c>
      <c r="H42" s="13">
        <v>0.2196023004826344</v>
      </c>
      <c r="J42" s="9">
        <v>3</v>
      </c>
      <c r="K42" s="9" t="s">
        <v>94</v>
      </c>
      <c r="L42" s="9">
        <v>10.220000000000001</v>
      </c>
      <c r="M42" s="10">
        <v>51.5</v>
      </c>
      <c r="N42" s="10">
        <v>17.3</v>
      </c>
      <c r="O42" s="10">
        <v>33</v>
      </c>
      <c r="P42" s="10">
        <v>13.5</v>
      </c>
      <c r="Q42" s="10">
        <v>78.599999999999994</v>
      </c>
    </row>
    <row r="43" spans="1:17">
      <c r="A43">
        <v>55</v>
      </c>
      <c r="B43">
        <v>23.9</v>
      </c>
      <c r="C43">
        <v>33.9</v>
      </c>
      <c r="D43">
        <v>10.6</v>
      </c>
      <c r="E43">
        <v>79.5</v>
      </c>
      <c r="F43" s="13">
        <v>10.09805639164713</v>
      </c>
      <c r="G43">
        <v>9.64</v>
      </c>
      <c r="H43" s="13">
        <v>-0.45805639164712986</v>
      </c>
      <c r="J43" s="9">
        <v>3</v>
      </c>
      <c r="K43" s="9" t="s">
        <v>95</v>
      </c>
      <c r="L43" s="9">
        <v>10.68</v>
      </c>
      <c r="M43" s="10">
        <v>53.4</v>
      </c>
      <c r="N43" s="10">
        <v>19.899999999999999</v>
      </c>
      <c r="O43" s="10">
        <v>35.299999999999997</v>
      </c>
      <c r="P43" s="10">
        <v>13.2</v>
      </c>
      <c r="Q43" s="10">
        <v>80.400000000000006</v>
      </c>
    </row>
    <row r="44" spans="1:17">
      <c r="A44">
        <v>52.8</v>
      </c>
      <c r="B44">
        <v>20.2</v>
      </c>
      <c r="C44">
        <v>32.4</v>
      </c>
      <c r="D44">
        <v>11.4</v>
      </c>
      <c r="E44">
        <v>76.599999999999994</v>
      </c>
      <c r="F44" s="13">
        <v>10.060530245817624</v>
      </c>
      <c r="G44">
        <v>9.74</v>
      </c>
      <c r="H44" s="13">
        <v>-0.32053024581762379</v>
      </c>
      <c r="J44" s="9">
        <v>3</v>
      </c>
      <c r="K44" s="9" t="s">
        <v>96</v>
      </c>
      <c r="L44" s="9">
        <v>10.26</v>
      </c>
      <c r="M44" s="10">
        <v>55.3</v>
      </c>
      <c r="N44" s="10">
        <v>22.5</v>
      </c>
      <c r="O44" s="10">
        <v>33.299999999999997</v>
      </c>
      <c r="P44" s="10">
        <v>10.7</v>
      </c>
      <c r="Q44" s="10">
        <v>79.7</v>
      </c>
    </row>
    <row r="45" spans="1:17">
      <c r="A45">
        <v>53.3</v>
      </c>
      <c r="B45">
        <v>22.7</v>
      </c>
      <c r="C45">
        <v>33.9</v>
      </c>
      <c r="D45">
        <v>10</v>
      </c>
      <c r="E45">
        <v>76.7</v>
      </c>
      <c r="F45" s="13">
        <v>10.114363070899858</v>
      </c>
      <c r="G45">
        <v>9.8699999999999992</v>
      </c>
      <c r="H45" s="13">
        <v>-0.24436307089985831</v>
      </c>
      <c r="J45" s="9">
        <v>3</v>
      </c>
      <c r="K45" s="9" t="s">
        <v>97</v>
      </c>
      <c r="L45" s="9">
        <v>10.29</v>
      </c>
      <c r="M45" s="10">
        <v>58.5</v>
      </c>
      <c r="N45" s="10">
        <v>30.1</v>
      </c>
      <c r="O45" s="10">
        <v>33.200000000000003</v>
      </c>
      <c r="P45" s="10">
        <v>11.1</v>
      </c>
      <c r="Q45" s="10">
        <v>79.599999999999994</v>
      </c>
    </row>
    <row r="46" spans="1:17">
      <c r="A46">
        <v>51.2</v>
      </c>
      <c r="B46">
        <v>13.5</v>
      </c>
      <c r="C46">
        <v>33</v>
      </c>
      <c r="D46">
        <v>10.3</v>
      </c>
      <c r="E46">
        <v>77.8</v>
      </c>
      <c r="F46" s="13">
        <v>10.044824955440591</v>
      </c>
      <c r="G46">
        <v>9.66</v>
      </c>
      <c r="H46" s="13">
        <v>-0.3848249554405907</v>
      </c>
      <c r="J46" s="9">
        <v>3</v>
      </c>
      <c r="K46" s="9" t="s">
        <v>98</v>
      </c>
      <c r="L46" s="9">
        <v>10.3</v>
      </c>
      <c r="M46" s="10">
        <v>63.8</v>
      </c>
      <c r="N46" s="10">
        <v>26.5</v>
      </c>
      <c r="O46" s="10">
        <v>33.700000000000003</v>
      </c>
      <c r="P46" s="10">
        <v>8.5</v>
      </c>
      <c r="Q46" s="10">
        <v>76.900000000000006</v>
      </c>
    </row>
    <row r="47" spans="1:17">
      <c r="A47">
        <v>47</v>
      </c>
      <c r="B47">
        <v>8.4</v>
      </c>
      <c r="C47">
        <v>31.7</v>
      </c>
      <c r="D47">
        <v>10.5</v>
      </c>
      <c r="E47">
        <v>77.599999999999994</v>
      </c>
      <c r="F47" s="13">
        <v>10.031497287238295</v>
      </c>
      <c r="G47">
        <v>9.8000000000000007</v>
      </c>
      <c r="H47" s="13">
        <v>-0.23149728723829455</v>
      </c>
      <c r="J47" s="9">
        <v>3</v>
      </c>
      <c r="K47" s="9" t="s">
        <v>99</v>
      </c>
      <c r="L47" s="9">
        <v>9.83</v>
      </c>
      <c r="M47" s="10">
        <v>51.9</v>
      </c>
      <c r="N47" s="10">
        <v>21.7</v>
      </c>
      <c r="O47" s="10">
        <v>34.200000000000003</v>
      </c>
      <c r="P47" s="10">
        <v>11.3</v>
      </c>
      <c r="Q47" s="10">
        <v>80.5</v>
      </c>
    </row>
    <row r="48" spans="1:17">
      <c r="A48">
        <v>43.8</v>
      </c>
      <c r="B48">
        <v>12.9</v>
      </c>
      <c r="C48">
        <v>32.4</v>
      </c>
      <c r="D48">
        <v>10.199999999999999</v>
      </c>
      <c r="E48">
        <v>78</v>
      </c>
      <c r="F48" s="13">
        <v>10.135063739292464</v>
      </c>
      <c r="G48">
        <v>9.7899999999999991</v>
      </c>
      <c r="H48" s="13">
        <v>-0.34506373929246514</v>
      </c>
      <c r="J48" s="9">
        <v>3</v>
      </c>
      <c r="K48" s="9" t="s">
        <v>100</v>
      </c>
      <c r="L48" s="9">
        <v>10.36</v>
      </c>
      <c r="M48" s="10">
        <v>50.5</v>
      </c>
      <c r="N48" s="10">
        <v>16.899999999999999</v>
      </c>
      <c r="O48" s="10">
        <v>33.1</v>
      </c>
      <c r="P48" s="10">
        <v>10.5</v>
      </c>
      <c r="Q48" s="10">
        <v>83</v>
      </c>
    </row>
    <row r="49" spans="1:17">
      <c r="A49">
        <v>50.5</v>
      </c>
      <c r="B49">
        <v>7.5</v>
      </c>
      <c r="C49">
        <v>32.9</v>
      </c>
      <c r="D49">
        <v>9.9</v>
      </c>
      <c r="E49">
        <v>76.3</v>
      </c>
      <c r="F49" s="13">
        <v>10.002775793270466</v>
      </c>
      <c r="G49">
        <v>9.84</v>
      </c>
      <c r="H49" s="13">
        <v>-0.1627757932704661</v>
      </c>
      <c r="J49" s="9">
        <v>3</v>
      </c>
      <c r="K49" s="9" t="s">
        <v>101</v>
      </c>
      <c r="L49" s="9">
        <v>9.9499999999999993</v>
      </c>
      <c r="M49" s="10">
        <v>55.8</v>
      </c>
      <c r="N49" s="10">
        <v>30.8</v>
      </c>
      <c r="O49" s="10">
        <v>33.200000000000003</v>
      </c>
      <c r="P49" s="10">
        <v>10.3</v>
      </c>
      <c r="Q49" s="10">
        <v>87.6</v>
      </c>
    </row>
    <row r="50" spans="1:17">
      <c r="A50">
        <v>46.1</v>
      </c>
      <c r="B50">
        <v>8.9</v>
      </c>
      <c r="C50">
        <v>32.1</v>
      </c>
      <c r="D50">
        <v>10.4</v>
      </c>
      <c r="E50">
        <v>76.8</v>
      </c>
      <c r="F50" s="13">
        <v>10.059154165127968</v>
      </c>
      <c r="G50">
        <v>9.99</v>
      </c>
      <c r="H50" s="13">
        <v>-6.915416512796746E-2</v>
      </c>
      <c r="J50" s="9">
        <v>4</v>
      </c>
      <c r="K50" s="9" t="s">
        <v>33</v>
      </c>
      <c r="L50" s="9">
        <v>10.39</v>
      </c>
      <c r="M50" s="9">
        <v>45</v>
      </c>
      <c r="N50" s="9">
        <v>9.8000000000000007</v>
      </c>
      <c r="O50" s="9">
        <v>31.7</v>
      </c>
      <c r="P50" s="9">
        <v>9.1999999999999993</v>
      </c>
      <c r="Q50" s="9">
        <v>81.5</v>
      </c>
    </row>
    <row r="51" spans="1:17">
      <c r="A51">
        <v>66.400000000000006</v>
      </c>
      <c r="B51">
        <v>17.7</v>
      </c>
      <c r="C51">
        <v>33.4</v>
      </c>
      <c r="D51">
        <v>10.6</v>
      </c>
      <c r="E51">
        <v>79.3</v>
      </c>
      <c r="F51" s="13">
        <v>9.8639257242185288</v>
      </c>
      <c r="G51">
        <v>9.5</v>
      </c>
      <c r="H51" s="13">
        <v>-0.36392572421852876</v>
      </c>
      <c r="J51" s="14">
        <v>4</v>
      </c>
      <c r="K51" s="9" t="s">
        <v>36</v>
      </c>
      <c r="L51" s="9">
        <v>10.029999999999999</v>
      </c>
      <c r="M51" s="9">
        <v>55.8</v>
      </c>
      <c r="N51" s="9">
        <v>17.600000000000001</v>
      </c>
      <c r="O51" s="9">
        <v>31.4</v>
      </c>
      <c r="P51" s="9">
        <v>9.1999999999999993</v>
      </c>
      <c r="Q51" s="9">
        <v>82.1</v>
      </c>
    </row>
    <row r="52" spans="1:17">
      <c r="A52">
        <v>66.3</v>
      </c>
      <c r="B52">
        <v>29.3</v>
      </c>
      <c r="C52">
        <v>31.4</v>
      </c>
      <c r="D52">
        <v>14.4</v>
      </c>
      <c r="E52">
        <v>78.8</v>
      </c>
      <c r="F52" s="13">
        <v>9.9059075674037391</v>
      </c>
      <c r="G52">
        <v>9.59</v>
      </c>
      <c r="H52" s="13">
        <v>-0.31590756740373926</v>
      </c>
      <c r="J52" s="9">
        <v>4</v>
      </c>
      <c r="K52" s="9" t="s">
        <v>37</v>
      </c>
      <c r="L52" s="9">
        <v>9.91</v>
      </c>
      <c r="M52" s="9">
        <v>55.7</v>
      </c>
      <c r="N52" s="9">
        <v>14.5</v>
      </c>
      <c r="O52" s="9">
        <v>31.4</v>
      </c>
      <c r="P52" s="9">
        <v>9</v>
      </c>
      <c r="Q52" s="9">
        <v>85</v>
      </c>
    </row>
    <row r="53" spans="1:17">
      <c r="A53">
        <v>63.7</v>
      </c>
      <c r="B53">
        <v>21.1</v>
      </c>
      <c r="C53">
        <v>31.5</v>
      </c>
      <c r="D53">
        <v>12.1</v>
      </c>
      <c r="E53">
        <v>77.8</v>
      </c>
      <c r="F53" s="13">
        <v>9.8825855370790894</v>
      </c>
      <c r="G53">
        <v>10.11</v>
      </c>
      <c r="H53" s="13">
        <v>0.22741446292091005</v>
      </c>
      <c r="J53" s="14">
        <v>4</v>
      </c>
      <c r="K53" s="9" t="s">
        <v>39</v>
      </c>
      <c r="L53" s="9">
        <v>10.18</v>
      </c>
      <c r="M53" s="9">
        <v>58.5</v>
      </c>
      <c r="N53" s="9">
        <v>22.9</v>
      </c>
      <c r="O53" s="9">
        <v>31.6</v>
      </c>
      <c r="P53" s="9">
        <v>11.6</v>
      </c>
      <c r="Q53" s="9">
        <v>83.1</v>
      </c>
    </row>
    <row r="54" spans="1:17">
      <c r="A54">
        <v>61.2</v>
      </c>
      <c r="B54">
        <v>19.600000000000001</v>
      </c>
      <c r="C54">
        <v>33.700000000000003</v>
      </c>
      <c r="D54">
        <v>17.3</v>
      </c>
      <c r="E54">
        <v>77.5</v>
      </c>
      <c r="F54" s="13">
        <v>9.9497954391759418</v>
      </c>
      <c r="G54">
        <v>9.98</v>
      </c>
      <c r="H54" s="13">
        <v>3.0204560824058646E-2</v>
      </c>
      <c r="J54" s="9">
        <v>4</v>
      </c>
      <c r="K54" s="9" t="s">
        <v>40</v>
      </c>
      <c r="L54" s="9">
        <v>10.27</v>
      </c>
      <c r="M54" s="9">
        <v>55.9</v>
      </c>
      <c r="N54" s="9">
        <v>24.4</v>
      </c>
      <c r="O54" s="9">
        <v>33.200000000000003</v>
      </c>
      <c r="P54" s="9">
        <v>9</v>
      </c>
      <c r="Q54" s="9">
        <v>81.7</v>
      </c>
    </row>
    <row r="55" spans="1:17">
      <c r="A55">
        <v>65.099999999999994</v>
      </c>
      <c r="B55">
        <v>18.899999999999999</v>
      </c>
      <c r="C55">
        <v>31.7</v>
      </c>
      <c r="D55">
        <v>9.1999999999999993</v>
      </c>
      <c r="E55">
        <v>74.8</v>
      </c>
      <c r="F55" s="13">
        <v>9.854386914633892</v>
      </c>
      <c r="G55">
        <v>9.7899999999999991</v>
      </c>
      <c r="H55" s="13">
        <v>-6.43869146338929E-2</v>
      </c>
      <c r="J55" s="14">
        <v>4</v>
      </c>
      <c r="K55" s="9" t="s">
        <v>41</v>
      </c>
      <c r="L55" s="9">
        <v>9.99</v>
      </c>
      <c r="M55" s="9">
        <v>73</v>
      </c>
      <c r="N55" s="9">
        <v>22.7</v>
      </c>
      <c r="O55" s="9">
        <v>33.299999999999997</v>
      </c>
      <c r="P55" s="9">
        <v>10.8</v>
      </c>
      <c r="Q55" s="9">
        <v>83.3</v>
      </c>
    </row>
    <row r="56" spans="1:17">
      <c r="A56">
        <v>58.7</v>
      </c>
      <c r="B56">
        <v>22.5</v>
      </c>
      <c r="C56">
        <v>33.1</v>
      </c>
      <c r="D56">
        <v>9.9</v>
      </c>
      <c r="E56">
        <v>79.099999999999994</v>
      </c>
      <c r="F56" s="13">
        <v>10.013053257714033</v>
      </c>
      <c r="G56">
        <v>9.7100000000000009</v>
      </c>
      <c r="H56" s="13">
        <v>-0.30305325771403169</v>
      </c>
      <c r="J56" s="9">
        <v>4</v>
      </c>
      <c r="K56" s="9" t="s">
        <v>42</v>
      </c>
      <c r="L56" s="9">
        <v>9.65</v>
      </c>
      <c r="M56" s="9">
        <v>53.1</v>
      </c>
      <c r="N56" s="9">
        <v>24.9</v>
      </c>
      <c r="O56" s="9">
        <v>33.5</v>
      </c>
      <c r="P56" s="9">
        <v>10.3</v>
      </c>
      <c r="Q56" s="9">
        <v>81.8</v>
      </c>
    </row>
    <row r="57" spans="1:17">
      <c r="A57">
        <v>57</v>
      </c>
      <c r="B57">
        <v>27.4</v>
      </c>
      <c r="C57">
        <v>33.6</v>
      </c>
      <c r="D57">
        <v>9.6</v>
      </c>
      <c r="E57">
        <v>75.5</v>
      </c>
      <c r="F57" s="13">
        <v>10.09265509578289</v>
      </c>
      <c r="G57">
        <v>9.83</v>
      </c>
      <c r="H57" s="13">
        <v>-0.2626550957828897</v>
      </c>
      <c r="J57" s="14">
        <v>4</v>
      </c>
      <c r="K57" s="9" t="s">
        <v>43</v>
      </c>
      <c r="L57" s="9">
        <v>9.77</v>
      </c>
      <c r="M57" s="9">
        <v>52.3</v>
      </c>
      <c r="N57" s="9">
        <v>13.9</v>
      </c>
      <c r="O57" s="9">
        <v>31.7</v>
      </c>
      <c r="P57" s="9">
        <v>12</v>
      </c>
      <c r="Q57" s="9">
        <v>78.8</v>
      </c>
    </row>
    <row r="58" spans="1:17">
      <c r="A58">
        <v>55.1</v>
      </c>
      <c r="B58">
        <v>14.7</v>
      </c>
      <c r="C58">
        <v>33.700000000000003</v>
      </c>
      <c r="D58">
        <v>10.3</v>
      </c>
      <c r="E58">
        <v>78.2</v>
      </c>
      <c r="F58" s="13">
        <v>10.01435074055604</v>
      </c>
      <c r="G58">
        <v>9.7200000000000006</v>
      </c>
      <c r="H58" s="13">
        <v>-0.29435074055603927</v>
      </c>
      <c r="J58" s="9">
        <v>4</v>
      </c>
      <c r="K58" s="9" t="s">
        <v>44</v>
      </c>
      <c r="L58" s="9">
        <v>9.9</v>
      </c>
      <c r="M58" s="9">
        <v>53.4</v>
      </c>
      <c r="N58" s="9">
        <v>23.5</v>
      </c>
      <c r="O58" s="9">
        <v>32.4</v>
      </c>
      <c r="P58" s="9">
        <v>10.5</v>
      </c>
      <c r="Q58" s="9">
        <v>79.5</v>
      </c>
    </row>
    <row r="59" spans="1:17">
      <c r="A59">
        <v>50.3</v>
      </c>
      <c r="B59">
        <v>11.8</v>
      </c>
      <c r="C59">
        <v>33.299999999999997</v>
      </c>
      <c r="D59">
        <v>10.199999999999999</v>
      </c>
      <c r="E59">
        <v>76.2</v>
      </c>
      <c r="F59" s="13">
        <v>10.051357755163407</v>
      </c>
      <c r="G59">
        <v>9.91</v>
      </c>
      <c r="H59" s="13">
        <v>-0.14135775516340665</v>
      </c>
      <c r="J59" s="14">
        <v>4</v>
      </c>
      <c r="K59" s="9" t="s">
        <v>45</v>
      </c>
      <c r="L59" s="9">
        <v>9.73</v>
      </c>
      <c r="M59" s="9">
        <v>51.2</v>
      </c>
      <c r="N59" s="9">
        <v>10.6</v>
      </c>
      <c r="O59" s="9">
        <v>31.7</v>
      </c>
      <c r="P59" s="9">
        <v>9.3000000000000007</v>
      </c>
      <c r="Q59" s="9">
        <v>80.3</v>
      </c>
    </row>
    <row r="60" spans="1:17">
      <c r="A60">
        <v>58.1</v>
      </c>
      <c r="B60">
        <v>15.2</v>
      </c>
      <c r="C60">
        <v>32.799999999999997</v>
      </c>
      <c r="D60">
        <v>12.7</v>
      </c>
      <c r="E60">
        <v>76.400000000000006</v>
      </c>
      <c r="F60" s="13">
        <v>9.9464785562768547</v>
      </c>
      <c r="G60">
        <v>9.81</v>
      </c>
      <c r="H60" s="13">
        <v>-0.13647855627685423</v>
      </c>
      <c r="J60" s="9">
        <v>4</v>
      </c>
      <c r="K60" s="9" t="s">
        <v>47</v>
      </c>
      <c r="L60" s="9">
        <v>9.7100000000000009</v>
      </c>
      <c r="M60" s="9">
        <v>43</v>
      </c>
      <c r="N60" s="9">
        <v>6.6</v>
      </c>
      <c r="O60" s="9">
        <v>31.8</v>
      </c>
      <c r="P60" s="9">
        <v>8.6999999999999993</v>
      </c>
      <c r="Q60" s="9">
        <v>79.8</v>
      </c>
    </row>
    <row r="61" spans="1:17">
      <c r="A61">
        <v>57.8</v>
      </c>
      <c r="B61">
        <v>23.5</v>
      </c>
      <c r="C61">
        <v>35.5</v>
      </c>
      <c r="D61">
        <v>10.7</v>
      </c>
      <c r="E61">
        <v>78.3</v>
      </c>
      <c r="F61" s="13">
        <v>10.09228990916761</v>
      </c>
      <c r="G61">
        <v>9.7799999999999994</v>
      </c>
      <c r="H61" s="13">
        <v>-0.31228990916761035</v>
      </c>
      <c r="J61" s="14">
        <v>4</v>
      </c>
      <c r="K61" s="9" t="s">
        <v>49</v>
      </c>
      <c r="L61" s="9">
        <v>9.76</v>
      </c>
      <c r="M61" s="9">
        <v>40</v>
      </c>
      <c r="N61" s="9">
        <v>12.6</v>
      </c>
      <c r="O61" s="9">
        <v>31.4</v>
      </c>
      <c r="P61" s="9">
        <v>9.6999999999999993</v>
      </c>
      <c r="Q61" s="9">
        <v>80.099999999999994</v>
      </c>
    </row>
    <row r="62" spans="1:17">
      <c r="A62">
        <v>55.6</v>
      </c>
      <c r="B62">
        <v>15.6</v>
      </c>
      <c r="C62">
        <v>34.299999999999997</v>
      </c>
      <c r="D62">
        <v>10.7</v>
      </c>
      <c r="E62">
        <v>74</v>
      </c>
      <c r="F62" s="13">
        <v>10.028313074109601</v>
      </c>
      <c r="G62">
        <v>10.06</v>
      </c>
      <c r="H62" s="13">
        <v>3.1686925890399564E-2</v>
      </c>
      <c r="J62" s="9">
        <v>4</v>
      </c>
      <c r="K62" s="9" t="s">
        <v>51</v>
      </c>
      <c r="L62" s="9">
        <v>9.81</v>
      </c>
      <c r="M62" s="9">
        <v>47.2</v>
      </c>
      <c r="N62" s="9">
        <v>7.7</v>
      </c>
      <c r="O62" s="9">
        <v>32.4</v>
      </c>
      <c r="P62" s="9">
        <v>9.1999999999999993</v>
      </c>
      <c r="Q62" s="9">
        <v>78.400000000000006</v>
      </c>
    </row>
    <row r="63" spans="1:17">
      <c r="A63">
        <v>45.2</v>
      </c>
      <c r="B63">
        <v>12.5</v>
      </c>
      <c r="C63">
        <v>33.5</v>
      </c>
      <c r="D63">
        <v>10.9</v>
      </c>
      <c r="E63">
        <v>74.3</v>
      </c>
      <c r="F63" s="13">
        <v>10.136342034606312</v>
      </c>
      <c r="G63">
        <v>10.29</v>
      </c>
      <c r="H63" s="13">
        <v>0.15365796539368759</v>
      </c>
      <c r="J63" s="14">
        <v>4</v>
      </c>
      <c r="K63" s="9" t="s">
        <v>53</v>
      </c>
      <c r="L63" s="9">
        <v>9.85</v>
      </c>
      <c r="M63" s="9">
        <v>41.7</v>
      </c>
      <c r="N63" s="9">
        <v>8.9</v>
      </c>
      <c r="O63" s="9">
        <v>31.7</v>
      </c>
      <c r="P63" s="9">
        <v>10.199999999999999</v>
      </c>
      <c r="Q63" s="9">
        <v>79</v>
      </c>
    </row>
    <row r="64" spans="1:17">
      <c r="A64">
        <v>50.9</v>
      </c>
      <c r="B64">
        <v>14.3</v>
      </c>
      <c r="C64">
        <v>33.200000000000003</v>
      </c>
      <c r="D64">
        <v>10.9</v>
      </c>
      <c r="E64">
        <v>76.900000000000006</v>
      </c>
      <c r="F64" s="13">
        <v>10.059631814926915</v>
      </c>
      <c r="G64">
        <v>10.24</v>
      </c>
      <c r="H64" s="13">
        <v>0.18036818507308539</v>
      </c>
      <c r="J64" s="9">
        <v>4</v>
      </c>
      <c r="K64" s="9" t="s">
        <v>55</v>
      </c>
      <c r="L64" s="9">
        <v>9.51</v>
      </c>
      <c r="M64" s="9">
        <v>65.2</v>
      </c>
      <c r="N64" s="9">
        <v>17.5</v>
      </c>
      <c r="O64" s="9">
        <v>33.1</v>
      </c>
      <c r="P64" s="9">
        <v>11.1</v>
      </c>
      <c r="Q64" s="9">
        <v>81.5</v>
      </c>
    </row>
    <row r="65" spans="1:17">
      <c r="A65">
        <v>49.6</v>
      </c>
      <c r="B65">
        <v>23.5</v>
      </c>
      <c r="C65">
        <v>35.4</v>
      </c>
      <c r="D65">
        <v>10.8</v>
      </c>
      <c r="E65">
        <v>71.7</v>
      </c>
      <c r="F65" s="13">
        <v>10.211137140683602</v>
      </c>
      <c r="G65">
        <v>10</v>
      </c>
      <c r="H65" s="13">
        <v>-0.21113714068360245</v>
      </c>
      <c r="J65" s="14">
        <v>4</v>
      </c>
      <c r="K65" s="9" t="s">
        <v>57</v>
      </c>
      <c r="L65" s="9">
        <v>9.61</v>
      </c>
      <c r="M65" s="9">
        <v>67.2</v>
      </c>
      <c r="N65" s="9">
        <v>27.6</v>
      </c>
      <c r="O65" s="9">
        <v>31.6</v>
      </c>
      <c r="P65" s="9">
        <v>15.9</v>
      </c>
      <c r="Q65" s="9">
        <v>80.8</v>
      </c>
    </row>
    <row r="66" spans="1:17">
      <c r="A66">
        <v>49.4</v>
      </c>
      <c r="B66">
        <v>19.600000000000001</v>
      </c>
      <c r="C66">
        <v>34</v>
      </c>
      <c r="D66">
        <v>12.5</v>
      </c>
      <c r="E66">
        <v>72.7</v>
      </c>
      <c r="F66" s="13">
        <v>10.142838983278326</v>
      </c>
      <c r="G66">
        <v>10.11</v>
      </c>
      <c r="H66" s="13">
        <v>-3.2838983278326239E-2</v>
      </c>
      <c r="J66" s="9">
        <v>4</v>
      </c>
      <c r="K66" s="9" t="s">
        <v>58</v>
      </c>
      <c r="L66" s="9">
        <v>9.89</v>
      </c>
      <c r="M66" s="9">
        <v>61.1</v>
      </c>
      <c r="N66" s="9">
        <v>15.4</v>
      </c>
      <c r="O66" s="9">
        <v>31</v>
      </c>
      <c r="P66" s="9">
        <v>13.1</v>
      </c>
      <c r="Q66" s="9">
        <v>79.5</v>
      </c>
    </row>
    <row r="67" spans="1:17">
      <c r="A67">
        <v>53.1</v>
      </c>
      <c r="B67">
        <v>16.100000000000001</v>
      </c>
      <c r="C67">
        <v>32.799999999999997</v>
      </c>
      <c r="D67">
        <v>10.4</v>
      </c>
      <c r="E67">
        <v>79.099999999999994</v>
      </c>
      <c r="F67" s="13">
        <v>10.033518706128234</v>
      </c>
      <c r="G67">
        <v>9.9700000000000006</v>
      </c>
      <c r="H67" s="13">
        <v>-6.3518706128233404E-2</v>
      </c>
      <c r="J67" s="14">
        <v>4</v>
      </c>
      <c r="K67" s="9" t="s">
        <v>60</v>
      </c>
      <c r="L67" s="9">
        <v>9.9600000000000009</v>
      </c>
      <c r="M67" s="9">
        <v>58.3</v>
      </c>
      <c r="N67" s="9">
        <v>17</v>
      </c>
      <c r="O67" s="9">
        <v>32.700000000000003</v>
      </c>
      <c r="P67" s="9">
        <v>13.9</v>
      </c>
      <c r="Q67" s="9">
        <v>79.099999999999994</v>
      </c>
    </row>
    <row r="68" spans="1:17">
      <c r="A68">
        <v>65.3</v>
      </c>
      <c r="B68">
        <v>25.8</v>
      </c>
      <c r="C68">
        <v>34.200000000000003</v>
      </c>
      <c r="D68">
        <v>11.2</v>
      </c>
      <c r="E68">
        <v>80.599999999999994</v>
      </c>
      <c r="F68" s="13">
        <v>9.9673046905069551</v>
      </c>
      <c r="G68">
        <v>10.029999999999999</v>
      </c>
      <c r="H68" s="13">
        <v>6.2695309493044249E-2</v>
      </c>
      <c r="J68" s="9">
        <v>4</v>
      </c>
      <c r="K68" s="9" t="s">
        <v>66</v>
      </c>
      <c r="L68" s="9">
        <v>9.66</v>
      </c>
      <c r="M68" s="9">
        <v>62.9</v>
      </c>
      <c r="N68" s="9">
        <v>16.2</v>
      </c>
      <c r="O68" s="9">
        <v>31.6</v>
      </c>
      <c r="P68" s="9">
        <v>10.6</v>
      </c>
      <c r="Q68" s="9">
        <v>78.900000000000006</v>
      </c>
    </row>
    <row r="69" spans="1:17">
      <c r="A69">
        <v>56.8</v>
      </c>
      <c r="B69">
        <v>31.6</v>
      </c>
      <c r="C69">
        <v>32.4</v>
      </c>
      <c r="D69">
        <v>11.7</v>
      </c>
      <c r="E69">
        <v>76.2</v>
      </c>
      <c r="F69" s="13">
        <v>10.096985254393402</v>
      </c>
      <c r="G69">
        <v>10.18</v>
      </c>
      <c r="H69" s="13">
        <v>8.3014745606597273E-2</v>
      </c>
      <c r="J69" s="14">
        <v>4</v>
      </c>
      <c r="K69" s="9" t="s">
        <v>67</v>
      </c>
      <c r="L69" s="9">
        <v>9.67</v>
      </c>
      <c r="M69" s="9">
        <v>58.8</v>
      </c>
      <c r="N69" s="9">
        <v>18.7</v>
      </c>
      <c r="O69" s="9">
        <v>32.299999999999997</v>
      </c>
      <c r="P69" s="9">
        <v>9.9</v>
      </c>
      <c r="Q69" s="9">
        <v>81.2</v>
      </c>
    </row>
    <row r="70" spans="1:17">
      <c r="A70">
        <v>54.7</v>
      </c>
      <c r="B70">
        <v>19.7</v>
      </c>
      <c r="C70">
        <v>32.9</v>
      </c>
      <c r="D70">
        <v>10.9</v>
      </c>
      <c r="E70">
        <v>75.7</v>
      </c>
      <c r="F70" s="13">
        <v>10.041484133523223</v>
      </c>
      <c r="G70">
        <v>10.039999999999999</v>
      </c>
      <c r="H70" s="13">
        <v>-1.4841335232240738E-3</v>
      </c>
      <c r="J70" s="9">
        <v>4</v>
      </c>
      <c r="K70" s="9" t="s">
        <v>69</v>
      </c>
      <c r="L70" s="9">
        <v>9.82</v>
      </c>
      <c r="M70" s="9">
        <v>56.6</v>
      </c>
      <c r="N70" s="9">
        <v>21.8</v>
      </c>
      <c r="O70" s="9">
        <v>33.200000000000003</v>
      </c>
      <c r="P70" s="9">
        <v>8.9</v>
      </c>
      <c r="Q70" s="9">
        <v>77.900000000000006</v>
      </c>
    </row>
    <row r="71" spans="1:17">
      <c r="A71">
        <v>51.2</v>
      </c>
      <c r="B71">
        <v>18.8</v>
      </c>
      <c r="C71">
        <v>33.1</v>
      </c>
      <c r="D71">
        <v>10.4</v>
      </c>
      <c r="E71">
        <v>78.2</v>
      </c>
      <c r="F71" s="13">
        <v>10.091963931743445</v>
      </c>
      <c r="G71">
        <v>10.220000000000001</v>
      </c>
      <c r="H71" s="13">
        <v>0.12803606825655578</v>
      </c>
      <c r="J71" s="14">
        <v>4</v>
      </c>
      <c r="K71" s="9" t="s">
        <v>71</v>
      </c>
      <c r="L71" s="9">
        <v>9.75</v>
      </c>
      <c r="M71" s="9">
        <v>54.6</v>
      </c>
      <c r="N71" s="9">
        <v>15.6</v>
      </c>
      <c r="O71" s="9">
        <v>33.5</v>
      </c>
      <c r="P71" s="9">
        <v>10.5</v>
      </c>
      <c r="Q71" s="9">
        <v>80.400000000000006</v>
      </c>
    </row>
    <row r="72" spans="1:17">
      <c r="A72">
        <v>54.7</v>
      </c>
      <c r="B72">
        <v>24.2</v>
      </c>
      <c r="C72">
        <v>34</v>
      </c>
      <c r="D72">
        <v>10.4</v>
      </c>
      <c r="E72">
        <v>68</v>
      </c>
      <c r="F72" s="13">
        <v>10.107546876550069</v>
      </c>
      <c r="G72">
        <v>10.29</v>
      </c>
      <c r="H72" s="13">
        <v>0.18245312344993003</v>
      </c>
      <c r="J72" s="9">
        <v>4</v>
      </c>
      <c r="K72" s="9" t="s">
        <v>72</v>
      </c>
      <c r="L72" s="9">
        <v>9.93</v>
      </c>
      <c r="M72" s="9">
        <v>49.7</v>
      </c>
      <c r="N72" s="9">
        <v>11.2</v>
      </c>
      <c r="O72" s="9">
        <v>31.8</v>
      </c>
      <c r="P72" s="9">
        <v>9.8000000000000007</v>
      </c>
      <c r="Q72" s="9">
        <v>78.3</v>
      </c>
    </row>
    <row r="73" spans="1:17">
      <c r="A73">
        <v>52.3</v>
      </c>
      <c r="B73">
        <v>36.1</v>
      </c>
      <c r="C73">
        <v>32.5</v>
      </c>
      <c r="D73">
        <v>11.6</v>
      </c>
      <c r="E73">
        <v>73.8</v>
      </c>
      <c r="F73" s="13">
        <v>10.204516244486475</v>
      </c>
      <c r="G73">
        <v>10.28</v>
      </c>
      <c r="H73" s="13">
        <v>7.5483755513523931E-2</v>
      </c>
      <c r="J73" s="14">
        <v>4</v>
      </c>
      <c r="K73" s="9" t="s">
        <v>74</v>
      </c>
      <c r="L73" s="9">
        <v>9.91</v>
      </c>
      <c r="M73" s="9">
        <v>57.7</v>
      </c>
      <c r="N73" s="9">
        <v>14.4</v>
      </c>
      <c r="O73" s="9">
        <v>32.4</v>
      </c>
      <c r="P73" s="9">
        <v>9.6</v>
      </c>
      <c r="Q73" s="9">
        <v>78.3</v>
      </c>
    </row>
    <row r="74" spans="1:17">
      <c r="A74">
        <v>58.3</v>
      </c>
      <c r="B74">
        <v>22.1</v>
      </c>
      <c r="C74">
        <v>32.200000000000003</v>
      </c>
      <c r="D74">
        <v>10.6</v>
      </c>
      <c r="E74">
        <v>74.099999999999994</v>
      </c>
      <c r="F74" s="13">
        <v>9.9916845691865124</v>
      </c>
      <c r="G74">
        <v>10.220000000000001</v>
      </c>
      <c r="H74" s="13">
        <v>0.22831543081348826</v>
      </c>
      <c r="J74" s="9">
        <v>4</v>
      </c>
      <c r="K74" s="9" t="s">
        <v>75</v>
      </c>
      <c r="L74" s="9">
        <v>9.83</v>
      </c>
      <c r="M74" s="9">
        <v>57</v>
      </c>
      <c r="N74" s="9">
        <v>19.8</v>
      </c>
      <c r="O74" s="9">
        <v>33.9</v>
      </c>
      <c r="P74" s="9">
        <v>10.9</v>
      </c>
      <c r="Q74" s="9">
        <v>80.3</v>
      </c>
    </row>
    <row r="75" spans="1:17">
      <c r="A75">
        <v>61.2</v>
      </c>
      <c r="B75">
        <v>17.7</v>
      </c>
      <c r="C75">
        <v>30.6</v>
      </c>
      <c r="D75">
        <v>9.4</v>
      </c>
      <c r="E75">
        <v>71.7</v>
      </c>
      <c r="F75" s="13">
        <v>9.8744571588075551</v>
      </c>
      <c r="G75">
        <v>10.17</v>
      </c>
      <c r="H75" s="13">
        <v>0.29554284119244478</v>
      </c>
      <c r="J75" s="14">
        <v>4</v>
      </c>
      <c r="K75" s="9" t="s">
        <v>79</v>
      </c>
      <c r="L75" s="9">
        <v>9.9499999999999993</v>
      </c>
      <c r="M75" s="9">
        <v>55.9</v>
      </c>
      <c r="N75" s="9">
        <v>11.3</v>
      </c>
      <c r="O75" s="9">
        <v>33.700000000000003</v>
      </c>
      <c r="P75" s="9">
        <v>8.9</v>
      </c>
      <c r="Q75" s="9">
        <v>76.099999999999994</v>
      </c>
    </row>
    <row r="76" spans="1:17">
      <c r="A76">
        <v>51.5</v>
      </c>
      <c r="B76">
        <v>17.3</v>
      </c>
      <c r="C76">
        <v>33</v>
      </c>
      <c r="D76">
        <v>13.5</v>
      </c>
      <c r="E76">
        <v>78.599999999999994</v>
      </c>
      <c r="F76" s="13">
        <v>10.06551925828585</v>
      </c>
      <c r="G76">
        <v>10.220000000000001</v>
      </c>
      <c r="H76" s="13">
        <v>0.15448074171415094</v>
      </c>
      <c r="J76" s="9">
        <v>4</v>
      </c>
      <c r="K76" s="9" t="s">
        <v>80</v>
      </c>
      <c r="L76" s="9">
        <v>10.220000000000001</v>
      </c>
      <c r="M76" s="9">
        <v>42.8</v>
      </c>
      <c r="N76" s="9">
        <v>11.7</v>
      </c>
      <c r="O76" s="9">
        <v>32.9</v>
      </c>
      <c r="P76" s="9">
        <v>10.199999999999999</v>
      </c>
      <c r="Q76" s="9">
        <v>76.400000000000006</v>
      </c>
    </row>
    <row r="77" spans="1:17">
      <c r="A77">
        <v>53.4</v>
      </c>
      <c r="B77">
        <v>19.899999999999999</v>
      </c>
      <c r="C77">
        <v>35.299999999999997</v>
      </c>
      <c r="D77">
        <v>13.2</v>
      </c>
      <c r="E77">
        <v>80.400000000000006</v>
      </c>
      <c r="F77" s="13">
        <v>10.116776217462045</v>
      </c>
      <c r="G77">
        <v>10.68</v>
      </c>
      <c r="H77" s="13">
        <v>0.56322378253795513</v>
      </c>
      <c r="J77" s="14">
        <v>4</v>
      </c>
      <c r="K77" s="9" t="s">
        <v>81</v>
      </c>
      <c r="L77" s="9">
        <v>10.130000000000001</v>
      </c>
      <c r="M77" s="9">
        <v>49.1</v>
      </c>
      <c r="N77" s="9">
        <v>11.5</v>
      </c>
      <c r="O77" s="9">
        <v>32.6</v>
      </c>
      <c r="P77" s="9">
        <v>10.6</v>
      </c>
      <c r="Q77" s="9">
        <v>78.900000000000006</v>
      </c>
    </row>
    <row r="78" spans="1:17">
      <c r="A78">
        <v>55.3</v>
      </c>
      <c r="B78">
        <v>22.5</v>
      </c>
      <c r="C78">
        <v>33.299999999999997</v>
      </c>
      <c r="D78">
        <v>10.7</v>
      </c>
      <c r="E78">
        <v>79.7</v>
      </c>
      <c r="F78" s="13">
        <v>10.066734112330773</v>
      </c>
      <c r="G78">
        <v>10.26</v>
      </c>
      <c r="H78" s="13">
        <v>0.19326588766922725</v>
      </c>
      <c r="J78" s="9">
        <v>4</v>
      </c>
      <c r="K78" s="9" t="s">
        <v>82</v>
      </c>
      <c r="L78" s="9">
        <v>9.9600000000000009</v>
      </c>
      <c r="M78" s="9">
        <v>50.1</v>
      </c>
      <c r="N78" s="9">
        <v>17.8</v>
      </c>
      <c r="O78" s="9">
        <v>35.1</v>
      </c>
      <c r="P78" s="9">
        <v>11.2</v>
      </c>
      <c r="Q78" s="9">
        <v>74</v>
      </c>
    </row>
    <row r="79" spans="1:17">
      <c r="A79">
        <v>58.5</v>
      </c>
      <c r="B79">
        <v>30.1</v>
      </c>
      <c r="C79">
        <v>33.200000000000003</v>
      </c>
      <c r="D79">
        <v>11.1</v>
      </c>
      <c r="E79">
        <v>79.599999999999994</v>
      </c>
      <c r="F79" s="13">
        <v>10.080215807458998</v>
      </c>
      <c r="G79">
        <v>10.29</v>
      </c>
      <c r="H79" s="13">
        <v>0.20978419254100089</v>
      </c>
      <c r="J79" s="14">
        <v>4</v>
      </c>
      <c r="K79" s="9" t="s">
        <v>83</v>
      </c>
      <c r="L79" s="9">
        <v>10.18</v>
      </c>
      <c r="M79" s="9">
        <v>49.8</v>
      </c>
      <c r="N79" s="9">
        <v>13.7</v>
      </c>
      <c r="O79" s="9">
        <v>34.799999999999997</v>
      </c>
      <c r="P79" s="9">
        <v>11.4</v>
      </c>
      <c r="Q79" s="9">
        <v>74.8</v>
      </c>
    </row>
    <row r="80" spans="1:17">
      <c r="A80">
        <v>63.8</v>
      </c>
      <c r="B80">
        <v>26.5</v>
      </c>
      <c r="C80">
        <v>33.700000000000003</v>
      </c>
      <c r="D80">
        <v>8.5</v>
      </c>
      <c r="E80">
        <v>76.900000000000006</v>
      </c>
      <c r="F80" s="13">
        <v>9.9889957989463571</v>
      </c>
      <c r="G80">
        <v>10.3</v>
      </c>
      <c r="H80" s="13">
        <v>0.31100420105364357</v>
      </c>
      <c r="J80" s="9">
        <v>4</v>
      </c>
      <c r="K80" s="9" t="s">
        <v>84</v>
      </c>
      <c r="L80" s="9">
        <v>9.94</v>
      </c>
      <c r="M80" s="9">
        <v>50</v>
      </c>
      <c r="N80" s="9">
        <v>15.8</v>
      </c>
      <c r="O80" s="9">
        <v>32.6</v>
      </c>
      <c r="P80" s="9">
        <v>9.4</v>
      </c>
      <c r="Q80" s="9">
        <v>81.2</v>
      </c>
    </row>
    <row r="81" spans="1:17">
      <c r="A81">
        <v>51.9</v>
      </c>
      <c r="B81">
        <v>21.7</v>
      </c>
      <c r="C81">
        <v>34.200000000000003</v>
      </c>
      <c r="D81">
        <v>11.3</v>
      </c>
      <c r="E81">
        <v>80.5</v>
      </c>
      <c r="F81" s="13">
        <v>10.131354739055123</v>
      </c>
      <c r="G81">
        <v>9.83</v>
      </c>
      <c r="H81" s="13">
        <v>-0.30135473905512278</v>
      </c>
      <c r="J81" s="14">
        <v>4</v>
      </c>
      <c r="K81" s="9" t="s">
        <v>85</v>
      </c>
      <c r="L81" s="9">
        <v>10.35</v>
      </c>
      <c r="M81" s="9">
        <v>64.8</v>
      </c>
      <c r="N81" s="9">
        <v>23.2</v>
      </c>
      <c r="O81" s="9">
        <v>32.799999999999997</v>
      </c>
      <c r="P81" s="9">
        <v>8.6</v>
      </c>
      <c r="Q81" s="9">
        <v>82.7</v>
      </c>
    </row>
    <row r="82" spans="1:17">
      <c r="A82">
        <v>50.5</v>
      </c>
      <c r="B82">
        <v>16.899999999999999</v>
      </c>
      <c r="C82">
        <v>33.1</v>
      </c>
      <c r="D82">
        <v>10.5</v>
      </c>
      <c r="E82">
        <v>83</v>
      </c>
      <c r="F82" s="13">
        <v>10.08622207332084</v>
      </c>
      <c r="G82">
        <v>10.36</v>
      </c>
      <c r="H82" s="13">
        <v>0.27377792667915912</v>
      </c>
      <c r="J82" s="9">
        <v>4</v>
      </c>
      <c r="K82" s="9" t="s">
        <v>86</v>
      </c>
      <c r="L82" s="9">
        <v>10.25</v>
      </c>
      <c r="M82" s="9">
        <v>56</v>
      </c>
      <c r="N82" s="9">
        <v>28.8</v>
      </c>
      <c r="O82" s="9">
        <v>31.6</v>
      </c>
      <c r="P82" s="9">
        <v>8</v>
      </c>
      <c r="Q82" s="9">
        <v>78.2</v>
      </c>
    </row>
    <row r="83" spans="1:17">
      <c r="A83">
        <v>55.8</v>
      </c>
      <c r="B83">
        <v>30.8</v>
      </c>
      <c r="C83">
        <v>33.200000000000003</v>
      </c>
      <c r="D83">
        <v>10.3</v>
      </c>
      <c r="E83">
        <v>87.6</v>
      </c>
      <c r="F83" s="13">
        <v>10.128289499224913</v>
      </c>
      <c r="G83">
        <v>9.9499999999999993</v>
      </c>
      <c r="H83" s="13">
        <v>-0.17828949922491333</v>
      </c>
      <c r="J83" s="14">
        <v>4</v>
      </c>
      <c r="K83" s="9" t="s">
        <v>88</v>
      </c>
      <c r="L83" s="9">
        <v>10.09</v>
      </c>
      <c r="M83" s="9">
        <v>53.3</v>
      </c>
      <c r="N83" s="9">
        <v>15.4</v>
      </c>
      <c r="O83" s="9">
        <v>31.8</v>
      </c>
      <c r="P83" s="9">
        <v>8.6</v>
      </c>
      <c r="Q83" s="9">
        <v>77.900000000000006</v>
      </c>
    </row>
    <row r="84" spans="1:17">
      <c r="A84">
        <v>45</v>
      </c>
      <c r="B84">
        <v>9.8000000000000007</v>
      </c>
      <c r="C84">
        <v>31.7</v>
      </c>
      <c r="D84">
        <v>9.1999999999999993</v>
      </c>
      <c r="E84">
        <v>81.5</v>
      </c>
      <c r="F84" s="13">
        <v>10.076058803207248</v>
      </c>
      <c r="G84">
        <v>10.39</v>
      </c>
      <c r="H84" s="13">
        <v>0.31394119679275256</v>
      </c>
      <c r="J84" s="9">
        <v>4</v>
      </c>
      <c r="K84" s="9" t="s">
        <v>89</v>
      </c>
      <c r="L84" s="9">
        <v>10.15</v>
      </c>
      <c r="M84" s="9">
        <v>53.4</v>
      </c>
      <c r="N84" s="9">
        <v>17</v>
      </c>
      <c r="O84" s="9">
        <v>33</v>
      </c>
      <c r="P84" s="9">
        <v>8.4</v>
      </c>
      <c r="Q84" s="9">
        <v>81</v>
      </c>
    </row>
    <row r="85" spans="1:17">
      <c r="A85">
        <v>55.8</v>
      </c>
      <c r="B85">
        <v>17.600000000000001</v>
      </c>
      <c r="C85">
        <v>31.4</v>
      </c>
      <c r="D85">
        <v>9.1999999999999993</v>
      </c>
      <c r="E85">
        <v>82.1</v>
      </c>
      <c r="F85" s="13">
        <v>9.9743472449648642</v>
      </c>
      <c r="G85">
        <v>10.029999999999999</v>
      </c>
      <c r="H85" s="13">
        <v>5.5652755035135115E-2</v>
      </c>
      <c r="J85" s="14">
        <v>4</v>
      </c>
      <c r="K85" s="9" t="s">
        <v>90</v>
      </c>
      <c r="L85" s="9">
        <v>10.43</v>
      </c>
      <c r="M85" s="9">
        <v>55.2</v>
      </c>
      <c r="N85" s="9">
        <v>20.3</v>
      </c>
      <c r="O85" s="9">
        <v>34.700000000000003</v>
      </c>
      <c r="P85" s="9">
        <v>10</v>
      </c>
      <c r="Q85" s="9">
        <v>72.099999999999994</v>
      </c>
    </row>
    <row r="86" spans="1:17">
      <c r="A86">
        <v>55.7</v>
      </c>
      <c r="B86">
        <v>14.5</v>
      </c>
      <c r="C86">
        <v>31.4</v>
      </c>
      <c r="D86">
        <v>9</v>
      </c>
      <c r="E86">
        <v>85</v>
      </c>
      <c r="F86" s="13">
        <v>9.9501275271934908</v>
      </c>
      <c r="G86">
        <v>9.91</v>
      </c>
      <c r="H86" s="13">
        <v>-4.0127527193490664E-2</v>
      </c>
      <c r="J86" s="9">
        <v>4</v>
      </c>
      <c r="K86" s="9" t="s">
        <v>91</v>
      </c>
      <c r="L86" s="9">
        <v>10.34</v>
      </c>
      <c r="M86" s="9">
        <v>51.3</v>
      </c>
      <c r="N86" s="9">
        <v>29.1</v>
      </c>
      <c r="O86" s="9">
        <v>32.5</v>
      </c>
      <c r="P86" s="9">
        <v>8.8000000000000007</v>
      </c>
      <c r="Q86" s="9">
        <v>76.5</v>
      </c>
    </row>
    <row r="87" spans="1:17">
      <c r="A87">
        <v>58.5</v>
      </c>
      <c r="B87">
        <v>22.9</v>
      </c>
      <c r="C87">
        <v>31.6</v>
      </c>
      <c r="D87">
        <v>11.6</v>
      </c>
      <c r="E87">
        <v>83.1</v>
      </c>
      <c r="F87" s="13">
        <v>9.9788071102001936</v>
      </c>
      <c r="G87">
        <v>10.18</v>
      </c>
      <c r="H87" s="13">
        <v>0.2011928897998061</v>
      </c>
      <c r="J87" s="14">
        <v>4</v>
      </c>
      <c r="K87" s="9" t="s">
        <v>92</v>
      </c>
      <c r="L87" s="9">
        <v>10.26</v>
      </c>
      <c r="M87" s="9">
        <v>56.7</v>
      </c>
      <c r="N87" s="9">
        <v>16.100000000000001</v>
      </c>
      <c r="O87" s="9">
        <v>32.200000000000003</v>
      </c>
      <c r="P87" s="9">
        <v>8.1999999999999993</v>
      </c>
      <c r="Q87" s="9">
        <v>76.400000000000006</v>
      </c>
    </row>
    <row r="88" spans="1:17">
      <c r="A88">
        <v>55.9</v>
      </c>
      <c r="B88">
        <v>24.4</v>
      </c>
      <c r="C88">
        <v>33.200000000000003</v>
      </c>
      <c r="D88">
        <v>9</v>
      </c>
      <c r="E88">
        <v>81.7</v>
      </c>
      <c r="F88" s="13">
        <v>10.075266548890585</v>
      </c>
      <c r="G88">
        <v>10.27</v>
      </c>
      <c r="H88" s="13">
        <v>0.19473345110941409</v>
      </c>
      <c r="J88" s="9">
        <v>4</v>
      </c>
      <c r="K88" s="9" t="s">
        <v>93</v>
      </c>
      <c r="L88" s="9">
        <v>10.3</v>
      </c>
      <c r="M88" s="9">
        <v>60.8</v>
      </c>
      <c r="N88" s="9">
        <v>14.2</v>
      </c>
      <c r="O88" s="9">
        <v>29.3</v>
      </c>
      <c r="P88" s="9">
        <v>9.1999999999999993</v>
      </c>
      <c r="Q88" s="9">
        <v>74.900000000000006</v>
      </c>
    </row>
    <row r="89" spans="1:17">
      <c r="A89">
        <v>73</v>
      </c>
      <c r="B89">
        <v>22.7</v>
      </c>
      <c r="C89">
        <v>33.299999999999997</v>
      </c>
      <c r="D89">
        <v>10.8</v>
      </c>
      <c r="E89">
        <v>83.3</v>
      </c>
      <c r="F89" s="13">
        <v>9.8054891570110971</v>
      </c>
      <c r="G89">
        <v>9.99</v>
      </c>
      <c r="H89" s="13">
        <v>0.18451084298890308</v>
      </c>
      <c r="J89" s="14">
        <v>4</v>
      </c>
      <c r="K89" s="9" t="s">
        <v>94</v>
      </c>
      <c r="L89" s="9">
        <v>10.210000000000001</v>
      </c>
      <c r="M89" s="9">
        <v>50.1</v>
      </c>
      <c r="N89" s="9">
        <v>14.3</v>
      </c>
      <c r="O89" s="9">
        <v>32.9</v>
      </c>
      <c r="P89" s="9">
        <v>12</v>
      </c>
      <c r="Q89" s="9">
        <v>80.5</v>
      </c>
    </row>
    <row r="90" spans="1:17">
      <c r="A90">
        <v>53.1</v>
      </c>
      <c r="B90">
        <v>24.9</v>
      </c>
      <c r="C90">
        <v>33.5</v>
      </c>
      <c r="D90">
        <v>10.3</v>
      </c>
      <c r="E90">
        <v>81.8</v>
      </c>
      <c r="F90" s="13">
        <v>10.125617189044268</v>
      </c>
      <c r="G90">
        <v>9.65</v>
      </c>
      <c r="H90" s="13">
        <v>-0.47561718904426797</v>
      </c>
      <c r="J90" s="9">
        <v>4</v>
      </c>
      <c r="K90" s="9" t="s">
        <v>95</v>
      </c>
      <c r="L90" s="9">
        <v>11</v>
      </c>
      <c r="M90" s="9">
        <v>49.3</v>
      </c>
      <c r="N90" s="9">
        <v>17.899999999999999</v>
      </c>
      <c r="O90" s="9">
        <v>33.4</v>
      </c>
      <c r="P90" s="9">
        <v>9</v>
      </c>
      <c r="Q90" s="9">
        <v>82</v>
      </c>
    </row>
    <row r="91" spans="1:17">
      <c r="A91">
        <v>52.3</v>
      </c>
      <c r="B91">
        <v>13.9</v>
      </c>
      <c r="C91">
        <v>31.7</v>
      </c>
      <c r="D91">
        <v>12</v>
      </c>
      <c r="E91">
        <v>78.8</v>
      </c>
      <c r="F91" s="13">
        <v>9.9960991284034186</v>
      </c>
      <c r="G91">
        <v>9.77</v>
      </c>
      <c r="H91" s="13">
        <v>-0.22609912840341906</v>
      </c>
      <c r="J91" s="14">
        <v>4</v>
      </c>
      <c r="K91" s="9" t="s">
        <v>96</v>
      </c>
      <c r="L91" s="9">
        <v>10.47</v>
      </c>
      <c r="M91" s="9">
        <v>54</v>
      </c>
      <c r="N91" s="9">
        <v>21</v>
      </c>
      <c r="O91" s="9">
        <v>33.1</v>
      </c>
      <c r="P91" s="9">
        <v>9.1</v>
      </c>
      <c r="Q91" s="9">
        <v>81.599999999999994</v>
      </c>
    </row>
    <row r="92" spans="1:17">
      <c r="A92">
        <v>53.4</v>
      </c>
      <c r="B92">
        <v>23.5</v>
      </c>
      <c r="C92">
        <v>32.4</v>
      </c>
      <c r="D92">
        <v>10.5</v>
      </c>
      <c r="E92">
        <v>79.5</v>
      </c>
      <c r="F92" s="13">
        <v>10.081652097375981</v>
      </c>
      <c r="G92">
        <v>9.9</v>
      </c>
      <c r="H92" s="13">
        <v>-0.18165209737598076</v>
      </c>
      <c r="J92" s="9">
        <v>4</v>
      </c>
      <c r="K92" s="9" t="s">
        <v>97</v>
      </c>
      <c r="L92" s="9">
        <v>10.45</v>
      </c>
      <c r="M92" s="9">
        <v>57.9</v>
      </c>
      <c r="N92" s="9">
        <v>29.1</v>
      </c>
      <c r="O92" s="9">
        <v>32.799999999999997</v>
      </c>
      <c r="P92" s="9">
        <v>11.2</v>
      </c>
      <c r="Q92" s="9">
        <v>81.7</v>
      </c>
    </row>
    <row r="93" spans="1:17">
      <c r="A93">
        <v>51.2</v>
      </c>
      <c r="B93">
        <v>10.6</v>
      </c>
      <c r="C93">
        <v>31.7</v>
      </c>
      <c r="D93">
        <v>9.3000000000000007</v>
      </c>
      <c r="E93">
        <v>80.3</v>
      </c>
      <c r="F93" s="13">
        <v>9.9904986587744684</v>
      </c>
      <c r="G93">
        <v>9.73</v>
      </c>
      <c r="H93" s="13">
        <v>-0.26049865877446798</v>
      </c>
      <c r="J93" s="14">
        <v>4</v>
      </c>
      <c r="K93" s="9" t="s">
        <v>98</v>
      </c>
      <c r="L93" s="9">
        <v>10.52</v>
      </c>
      <c r="M93" s="9">
        <v>61</v>
      </c>
      <c r="N93" s="9">
        <v>24.3</v>
      </c>
      <c r="O93" s="9">
        <v>33.1</v>
      </c>
      <c r="P93" s="9">
        <v>8.9</v>
      </c>
      <c r="Q93" s="9">
        <v>79.3</v>
      </c>
    </row>
    <row r="94" spans="1:17">
      <c r="A94">
        <v>43</v>
      </c>
      <c r="B94">
        <v>6.6</v>
      </c>
      <c r="C94">
        <v>31.8</v>
      </c>
      <c r="D94">
        <v>8.6999999999999993</v>
      </c>
      <c r="E94">
        <v>79.8</v>
      </c>
      <c r="F94" s="13">
        <v>10.082170651820915</v>
      </c>
      <c r="G94">
        <v>9.7100000000000009</v>
      </c>
      <c r="H94" s="13">
        <v>-0.37217065182091424</v>
      </c>
      <c r="J94" s="9">
        <v>4</v>
      </c>
      <c r="K94" s="9" t="s">
        <v>99</v>
      </c>
      <c r="L94" s="9">
        <v>10.14</v>
      </c>
      <c r="M94" s="9">
        <v>52.2</v>
      </c>
      <c r="N94" s="9">
        <v>14.6</v>
      </c>
      <c r="O94" s="9">
        <v>34.299999999999997</v>
      </c>
      <c r="P94" s="9">
        <v>8.9</v>
      </c>
      <c r="Q94" s="9">
        <v>82.3</v>
      </c>
    </row>
    <row r="95" spans="1:17">
      <c r="A95">
        <v>40</v>
      </c>
      <c r="B95">
        <v>12.6</v>
      </c>
      <c r="C95">
        <v>31.4</v>
      </c>
      <c r="D95">
        <v>9.6999999999999993</v>
      </c>
      <c r="E95">
        <v>80.099999999999994</v>
      </c>
      <c r="F95" s="13">
        <v>10.16546648139496</v>
      </c>
      <c r="G95">
        <v>9.76</v>
      </c>
      <c r="H95" s="13">
        <v>-0.40546648139496</v>
      </c>
      <c r="J95" s="14">
        <v>4</v>
      </c>
      <c r="K95" s="9" t="s">
        <v>100</v>
      </c>
      <c r="L95" s="9">
        <v>10.65</v>
      </c>
      <c r="M95" s="9">
        <v>49.2</v>
      </c>
      <c r="N95" s="9">
        <v>12.9</v>
      </c>
      <c r="O95" s="9">
        <v>32.200000000000003</v>
      </c>
      <c r="P95" s="9">
        <v>9.6</v>
      </c>
      <c r="Q95" s="9">
        <v>84.7</v>
      </c>
    </row>
    <row r="96" spans="1:17">
      <c r="A96">
        <v>47.2</v>
      </c>
      <c r="B96">
        <v>7.7</v>
      </c>
      <c r="C96">
        <v>32.4</v>
      </c>
      <c r="D96">
        <v>9.1999999999999993</v>
      </c>
      <c r="E96">
        <v>78.400000000000006</v>
      </c>
      <c r="F96" s="13">
        <v>10.042760981919605</v>
      </c>
      <c r="G96">
        <v>9.81</v>
      </c>
      <c r="H96" s="13">
        <v>-0.23276098191960415</v>
      </c>
      <c r="J96" s="9">
        <v>4</v>
      </c>
      <c r="K96" s="9" t="s">
        <v>101</v>
      </c>
      <c r="L96" s="9">
        <v>10.09</v>
      </c>
      <c r="M96" s="9">
        <v>55.8</v>
      </c>
      <c r="N96" s="9">
        <v>25.9</v>
      </c>
      <c r="O96" s="9">
        <v>33.1</v>
      </c>
      <c r="P96" s="9">
        <v>9.6</v>
      </c>
      <c r="Q96" s="9">
        <v>88.6</v>
      </c>
    </row>
    <row r="97" spans="1:20">
      <c r="A97">
        <v>41.7</v>
      </c>
      <c r="B97">
        <v>8.9</v>
      </c>
      <c r="C97">
        <v>31.7</v>
      </c>
      <c r="D97">
        <v>10.199999999999999</v>
      </c>
      <c r="E97">
        <v>79</v>
      </c>
      <c r="F97" s="13">
        <v>10.115148490907092</v>
      </c>
      <c r="G97">
        <v>9.85</v>
      </c>
      <c r="H97" s="13">
        <v>-0.26514849090709269</v>
      </c>
      <c r="J97" s="9">
        <v>5</v>
      </c>
      <c r="K97" s="9" t="s">
        <v>33</v>
      </c>
      <c r="L97" s="9">
        <v>10.29</v>
      </c>
      <c r="M97" s="9">
        <v>47.3</v>
      </c>
      <c r="N97" s="9">
        <v>11.6</v>
      </c>
      <c r="O97" s="9">
        <v>34.5</v>
      </c>
      <c r="P97" s="9">
        <v>9.6999999999999993</v>
      </c>
      <c r="Q97" s="9">
        <v>82.3</v>
      </c>
    </row>
    <row r="98" spans="1:20">
      <c r="A98">
        <v>65.2</v>
      </c>
      <c r="B98">
        <v>17.5</v>
      </c>
      <c r="C98">
        <v>33.1</v>
      </c>
      <c r="D98">
        <v>11.1</v>
      </c>
      <c r="E98">
        <v>81.5</v>
      </c>
      <c r="F98" s="13">
        <v>9.8716290673367801</v>
      </c>
      <c r="G98">
        <v>9.51</v>
      </c>
      <c r="H98" s="13">
        <v>-0.36162906733678035</v>
      </c>
      <c r="J98" s="9">
        <v>5</v>
      </c>
      <c r="K98" s="9" t="s">
        <v>36</v>
      </c>
      <c r="L98" s="9">
        <v>9.7899999999999991</v>
      </c>
      <c r="M98" s="9">
        <v>58.1</v>
      </c>
      <c r="N98" s="9">
        <v>19.2</v>
      </c>
      <c r="O98" s="9">
        <v>34.299999999999997</v>
      </c>
      <c r="P98" s="9">
        <v>9.3000000000000007</v>
      </c>
      <c r="Q98" s="9">
        <v>82.5</v>
      </c>
    </row>
    <row r="99" spans="1:20">
      <c r="A99">
        <v>67.2</v>
      </c>
      <c r="B99">
        <v>27.6</v>
      </c>
      <c r="C99">
        <v>31.6</v>
      </c>
      <c r="D99">
        <v>15.9</v>
      </c>
      <c r="E99">
        <v>80.8</v>
      </c>
      <c r="F99" s="13">
        <v>9.8798444922440058</v>
      </c>
      <c r="G99">
        <v>9.61</v>
      </c>
      <c r="H99" s="13">
        <v>-0.26984449224400642</v>
      </c>
      <c r="J99" s="9">
        <v>5</v>
      </c>
      <c r="K99" s="9" t="s">
        <v>37</v>
      </c>
      <c r="L99" s="9">
        <v>9.77</v>
      </c>
      <c r="M99" s="9">
        <v>61.1</v>
      </c>
      <c r="N99" s="9">
        <v>17</v>
      </c>
      <c r="O99" s="9">
        <v>33.299999999999997</v>
      </c>
      <c r="P99" s="9">
        <v>10.6</v>
      </c>
      <c r="Q99" s="9">
        <v>85.3</v>
      </c>
    </row>
    <row r="100" spans="1:20">
      <c r="A100">
        <v>61.1</v>
      </c>
      <c r="B100">
        <v>15.4</v>
      </c>
      <c r="C100">
        <v>31</v>
      </c>
      <c r="D100">
        <v>13.1</v>
      </c>
      <c r="E100">
        <v>79.5</v>
      </c>
      <c r="F100" s="13">
        <v>9.8584533316062153</v>
      </c>
      <c r="G100">
        <v>9.89</v>
      </c>
      <c r="H100" s="13">
        <v>3.1546668393785282E-2</v>
      </c>
      <c r="J100" s="9">
        <v>5</v>
      </c>
      <c r="K100" s="9" t="s">
        <v>39</v>
      </c>
      <c r="L100" s="9">
        <v>10.050000000000001</v>
      </c>
      <c r="M100" s="9">
        <v>60.6</v>
      </c>
      <c r="N100" s="9">
        <v>24.3</v>
      </c>
      <c r="O100" s="9">
        <v>35</v>
      </c>
      <c r="P100" s="9">
        <v>11.9</v>
      </c>
      <c r="Q100" s="9">
        <v>83.6</v>
      </c>
    </row>
    <row r="101" spans="1:20">
      <c r="A101">
        <v>58.3</v>
      </c>
      <c r="B101">
        <v>17</v>
      </c>
      <c r="C101">
        <v>32.700000000000003</v>
      </c>
      <c r="D101">
        <v>13.9</v>
      </c>
      <c r="E101">
        <v>79.099999999999994</v>
      </c>
      <c r="F101" s="13">
        <v>9.9537344474372791</v>
      </c>
      <c r="G101">
        <v>9.9600000000000009</v>
      </c>
      <c r="H101" s="13">
        <v>6.2655525627217656E-3</v>
      </c>
      <c r="J101" s="9">
        <v>5</v>
      </c>
      <c r="K101" s="9" t="s">
        <v>40</v>
      </c>
      <c r="L101" s="9">
        <v>9.86</v>
      </c>
      <c r="M101" s="9">
        <v>59.2</v>
      </c>
      <c r="N101" s="9">
        <v>36.200000000000003</v>
      </c>
      <c r="O101" s="9">
        <v>34.5</v>
      </c>
      <c r="P101" s="9">
        <v>9</v>
      </c>
      <c r="Q101" s="9">
        <v>82.5</v>
      </c>
    </row>
    <row r="102" spans="1:20">
      <c r="A102">
        <v>62.9</v>
      </c>
      <c r="B102">
        <v>16.2</v>
      </c>
      <c r="C102">
        <v>31.6</v>
      </c>
      <c r="D102">
        <v>10.6</v>
      </c>
      <c r="E102">
        <v>78.900000000000006</v>
      </c>
      <c r="F102" s="13">
        <v>9.8587877769366266</v>
      </c>
      <c r="G102">
        <v>9.66</v>
      </c>
      <c r="H102" s="13">
        <v>-0.19878777693662641</v>
      </c>
      <c r="J102" s="9">
        <v>5</v>
      </c>
      <c r="K102" s="9" t="s">
        <v>41</v>
      </c>
      <c r="L102" s="9">
        <v>9.98</v>
      </c>
      <c r="M102" s="9">
        <v>75.099999999999994</v>
      </c>
      <c r="N102" s="9">
        <v>27.3</v>
      </c>
      <c r="O102" s="9">
        <v>34.700000000000003</v>
      </c>
      <c r="P102" s="9">
        <v>10.5</v>
      </c>
      <c r="Q102" s="9">
        <v>84</v>
      </c>
    </row>
    <row r="103" spans="1:20">
      <c r="A103">
        <v>58.8</v>
      </c>
      <c r="B103">
        <v>18.7</v>
      </c>
      <c r="C103">
        <v>32.299999999999997</v>
      </c>
      <c r="D103">
        <v>9.9</v>
      </c>
      <c r="E103">
        <v>81.2</v>
      </c>
      <c r="F103" s="13">
        <v>9.959734203138817</v>
      </c>
      <c r="G103">
        <v>9.67</v>
      </c>
      <c r="H103" s="13">
        <v>-0.28973420313881704</v>
      </c>
      <c r="J103" s="9">
        <v>5</v>
      </c>
      <c r="K103" s="9" t="s">
        <v>42</v>
      </c>
      <c r="L103" s="9">
        <v>9.5299999999999994</v>
      </c>
      <c r="M103" s="9">
        <v>57.4</v>
      </c>
      <c r="N103" s="9">
        <v>26.4</v>
      </c>
      <c r="O103" s="9">
        <v>35.1</v>
      </c>
      <c r="P103" s="10">
        <v>48</v>
      </c>
      <c r="Q103" s="10">
        <v>9.9</v>
      </c>
      <c r="R103" s="11"/>
      <c r="S103" s="11"/>
      <c r="T103" s="11"/>
    </row>
    <row r="104" spans="1:20">
      <c r="A104">
        <v>56.6</v>
      </c>
      <c r="B104">
        <v>21.8</v>
      </c>
      <c r="C104">
        <v>33.200000000000003</v>
      </c>
      <c r="D104">
        <v>8.9</v>
      </c>
      <c r="E104">
        <v>77.900000000000006</v>
      </c>
      <c r="F104" s="13">
        <v>10.042939782094447</v>
      </c>
      <c r="G104">
        <v>9.82</v>
      </c>
      <c r="H104" s="13">
        <v>-0.22293978209444631</v>
      </c>
      <c r="J104" s="9">
        <v>5</v>
      </c>
      <c r="K104" s="9" t="s">
        <v>43</v>
      </c>
      <c r="L104" s="9">
        <v>9.73</v>
      </c>
      <c r="M104" s="9">
        <v>55.9</v>
      </c>
      <c r="N104" s="9">
        <v>14.9</v>
      </c>
      <c r="O104" s="9">
        <v>33</v>
      </c>
      <c r="P104" s="10">
        <v>55.1</v>
      </c>
      <c r="Q104" s="10">
        <v>17.8</v>
      </c>
      <c r="R104" s="11"/>
      <c r="S104" s="11"/>
      <c r="T104" s="11"/>
    </row>
    <row r="105" spans="1:20">
      <c r="A105">
        <v>54.6</v>
      </c>
      <c r="B105">
        <v>15.6</v>
      </c>
      <c r="C105">
        <v>33.5</v>
      </c>
      <c r="D105">
        <v>10.5</v>
      </c>
      <c r="E105">
        <v>80.400000000000006</v>
      </c>
      <c r="F105" s="13">
        <v>10.024101504836509</v>
      </c>
      <c r="G105">
        <v>9.75</v>
      </c>
      <c r="H105" s="13">
        <v>-0.27410150483650852</v>
      </c>
      <c r="J105" s="9">
        <v>5</v>
      </c>
      <c r="K105" s="9" t="s">
        <v>44</v>
      </c>
      <c r="L105" s="9">
        <v>9.9600000000000009</v>
      </c>
      <c r="M105" s="9">
        <v>58.3</v>
      </c>
      <c r="N105" s="9">
        <v>23.9</v>
      </c>
      <c r="O105" s="9">
        <v>34.9</v>
      </c>
      <c r="P105" s="10">
        <v>57.9</v>
      </c>
      <c r="Q105" s="10">
        <v>14.6</v>
      </c>
      <c r="R105" s="11"/>
      <c r="S105" s="11"/>
      <c r="T105" s="11"/>
    </row>
    <row r="106" spans="1:20">
      <c r="A106">
        <v>49.7</v>
      </c>
      <c r="B106">
        <v>11.2</v>
      </c>
      <c r="C106">
        <v>31.8</v>
      </c>
      <c r="D106">
        <v>9.8000000000000007</v>
      </c>
      <c r="E106">
        <v>78.3</v>
      </c>
      <c r="F106" s="13">
        <v>10.019146664538548</v>
      </c>
      <c r="G106">
        <v>9.93</v>
      </c>
      <c r="H106" s="13">
        <v>-8.9146664538548137E-2</v>
      </c>
      <c r="J106" s="9">
        <v>5</v>
      </c>
      <c r="K106" s="9" t="s">
        <v>45</v>
      </c>
      <c r="L106" s="9">
        <v>9.76</v>
      </c>
      <c r="M106" s="9">
        <v>54.2</v>
      </c>
      <c r="N106" s="9">
        <v>12.4</v>
      </c>
      <c r="O106" s="9">
        <v>33.6</v>
      </c>
      <c r="P106" s="10">
        <v>60</v>
      </c>
      <c r="Q106" s="10">
        <v>27.4</v>
      </c>
      <c r="R106" s="11"/>
      <c r="S106" s="11"/>
      <c r="T106" s="11"/>
    </row>
    <row r="107" spans="1:20">
      <c r="A107">
        <v>57.7</v>
      </c>
      <c r="B107">
        <v>14.4</v>
      </c>
      <c r="C107">
        <v>32.4</v>
      </c>
      <c r="D107">
        <v>9.6</v>
      </c>
      <c r="E107">
        <v>78.3</v>
      </c>
      <c r="F107" s="13">
        <v>9.9426824527232966</v>
      </c>
      <c r="G107">
        <v>9.91</v>
      </c>
      <c r="H107" s="13">
        <v>-3.2682452723296507E-2</v>
      </c>
      <c r="J107" s="9">
        <v>5</v>
      </c>
      <c r="K107" s="9" t="s">
        <v>47</v>
      </c>
      <c r="L107" s="9">
        <v>9.82</v>
      </c>
      <c r="M107" s="9">
        <v>48</v>
      </c>
      <c r="N107" s="9">
        <v>9.4</v>
      </c>
      <c r="O107" s="9">
        <v>34.4</v>
      </c>
      <c r="P107" s="10">
        <v>53.8</v>
      </c>
      <c r="Q107" s="10">
        <v>28.7</v>
      </c>
      <c r="R107" s="11"/>
      <c r="S107" s="11"/>
      <c r="T107" s="11"/>
    </row>
    <row r="108" spans="1:20">
      <c r="A108">
        <v>57</v>
      </c>
      <c r="B108">
        <v>19.8</v>
      </c>
      <c r="C108">
        <v>33.9</v>
      </c>
      <c r="D108">
        <v>10.9</v>
      </c>
      <c r="E108">
        <v>80.3</v>
      </c>
      <c r="F108" s="13">
        <v>10.033005880789064</v>
      </c>
      <c r="G108">
        <v>9.83</v>
      </c>
      <c r="H108" s="13">
        <v>-0.20300588078906401</v>
      </c>
      <c r="J108" s="9">
        <v>5</v>
      </c>
      <c r="K108" s="9" t="s">
        <v>49</v>
      </c>
      <c r="L108" s="9">
        <v>9.8699999999999992</v>
      </c>
      <c r="M108" s="9">
        <v>44.8</v>
      </c>
      <c r="N108" s="9">
        <v>14.5</v>
      </c>
      <c r="O108" s="9">
        <v>34.799999999999997</v>
      </c>
      <c r="P108" s="10">
        <v>73.8</v>
      </c>
      <c r="Q108" s="10">
        <v>24</v>
      </c>
      <c r="R108" s="11"/>
      <c r="S108" s="11"/>
      <c r="T108" s="11"/>
    </row>
    <row r="109" spans="1:20">
      <c r="A109">
        <v>55.9</v>
      </c>
      <c r="B109">
        <v>11.3</v>
      </c>
      <c r="C109">
        <v>33.700000000000003</v>
      </c>
      <c r="D109">
        <v>8.9</v>
      </c>
      <c r="E109">
        <v>76.099999999999994</v>
      </c>
      <c r="F109" s="13">
        <v>9.9766924879835841</v>
      </c>
      <c r="G109">
        <v>9.9499999999999993</v>
      </c>
      <c r="H109" s="13">
        <v>-2.6692487983584812E-2</v>
      </c>
      <c r="J109" s="9">
        <v>5</v>
      </c>
      <c r="K109" s="9" t="s">
        <v>51</v>
      </c>
      <c r="L109" s="9">
        <v>10</v>
      </c>
      <c r="M109" s="9">
        <v>51.5</v>
      </c>
      <c r="N109" s="9">
        <v>8.9</v>
      </c>
      <c r="O109" s="9">
        <v>35.5</v>
      </c>
      <c r="P109" s="10">
        <v>55</v>
      </c>
      <c r="Q109" s="10">
        <v>23.9</v>
      </c>
      <c r="R109" s="11"/>
      <c r="S109" s="11"/>
      <c r="T109" s="11"/>
    </row>
    <row r="110" spans="1:20">
      <c r="A110">
        <v>42.8</v>
      </c>
      <c r="B110">
        <v>11.7</v>
      </c>
      <c r="C110">
        <v>32.9</v>
      </c>
      <c r="D110">
        <v>10.199999999999999</v>
      </c>
      <c r="E110">
        <v>76.400000000000006</v>
      </c>
      <c r="F110" s="13">
        <v>10.15202792529036</v>
      </c>
      <c r="G110">
        <v>10.220000000000001</v>
      </c>
      <c r="H110" s="13">
        <v>6.7972074709640395E-2</v>
      </c>
      <c r="J110" s="9">
        <v>5</v>
      </c>
      <c r="K110" s="9" t="s">
        <v>53</v>
      </c>
      <c r="L110" s="9">
        <v>10.02</v>
      </c>
      <c r="M110" s="9">
        <v>46.5</v>
      </c>
      <c r="N110" s="9">
        <v>10.5</v>
      </c>
      <c r="O110" s="9">
        <v>35.1</v>
      </c>
      <c r="P110" s="10">
        <v>52.8</v>
      </c>
      <c r="Q110" s="10">
        <v>20.2</v>
      </c>
      <c r="R110" s="11"/>
      <c r="S110" s="11"/>
      <c r="T110" s="11"/>
    </row>
    <row r="111" spans="1:20">
      <c r="A111">
        <v>49.1</v>
      </c>
      <c r="B111">
        <v>11.5</v>
      </c>
      <c r="C111">
        <v>32.6</v>
      </c>
      <c r="D111">
        <v>10.6</v>
      </c>
      <c r="E111">
        <v>78.900000000000006</v>
      </c>
      <c r="F111" s="13">
        <v>10.048586662504503</v>
      </c>
      <c r="G111">
        <v>10.130000000000001</v>
      </c>
      <c r="H111" s="13">
        <v>8.1413337495497728E-2</v>
      </c>
      <c r="J111" s="9">
        <v>5</v>
      </c>
      <c r="K111" s="9" t="s">
        <v>55</v>
      </c>
      <c r="L111" s="9">
        <v>9.33</v>
      </c>
      <c r="M111" s="9">
        <v>67.5</v>
      </c>
      <c r="N111" s="9">
        <v>21.9</v>
      </c>
      <c r="O111" s="9">
        <v>34.9</v>
      </c>
      <c r="P111" s="10">
        <v>53.3</v>
      </c>
      <c r="Q111" s="10">
        <v>22.7</v>
      </c>
      <c r="R111" s="11"/>
      <c r="S111" s="11"/>
      <c r="T111" s="11"/>
    </row>
    <row r="112" spans="1:20">
      <c r="A112">
        <v>50.1</v>
      </c>
      <c r="B112">
        <v>17.8</v>
      </c>
      <c r="C112">
        <v>35.1</v>
      </c>
      <c r="D112">
        <v>11.2</v>
      </c>
      <c r="E112">
        <v>74</v>
      </c>
      <c r="F112" s="13">
        <v>10.147247234989958</v>
      </c>
      <c r="G112">
        <v>9.9600000000000009</v>
      </c>
      <c r="H112" s="13">
        <v>-0.18724723498995743</v>
      </c>
      <c r="J112" s="9">
        <v>5</v>
      </c>
      <c r="K112" s="9" t="s">
        <v>57</v>
      </c>
      <c r="L112" s="9">
        <v>9.57</v>
      </c>
      <c r="M112" s="9">
        <v>69.099999999999994</v>
      </c>
      <c r="N112" s="9">
        <v>33.1</v>
      </c>
      <c r="O112" s="9">
        <v>33.700000000000003</v>
      </c>
      <c r="P112" s="10">
        <v>51.2</v>
      </c>
      <c r="Q112" s="10">
        <v>13.5</v>
      </c>
      <c r="R112" s="11"/>
      <c r="S112" s="11"/>
      <c r="T112" s="11"/>
    </row>
    <row r="113" spans="1:20">
      <c r="A113">
        <v>49.8</v>
      </c>
      <c r="B113">
        <v>13.7</v>
      </c>
      <c r="C113">
        <v>34.799999999999997</v>
      </c>
      <c r="D113">
        <v>11.4</v>
      </c>
      <c r="E113">
        <v>74.8</v>
      </c>
      <c r="F113" s="13">
        <v>10.109172922307852</v>
      </c>
      <c r="G113">
        <v>10.18</v>
      </c>
      <c r="H113" s="13">
        <v>7.0827077692147355E-2</v>
      </c>
      <c r="J113" s="9">
        <v>5</v>
      </c>
      <c r="K113" s="9" t="s">
        <v>58</v>
      </c>
      <c r="L113" s="9">
        <v>9.66</v>
      </c>
      <c r="M113" s="9">
        <v>65.400000000000006</v>
      </c>
      <c r="N113" s="9">
        <v>22.5</v>
      </c>
      <c r="O113" s="9">
        <v>35.1</v>
      </c>
      <c r="P113" s="10">
        <v>47</v>
      </c>
      <c r="Q113" s="10">
        <v>8.4</v>
      </c>
      <c r="R113" s="11"/>
      <c r="S113" s="11"/>
      <c r="T113" s="11"/>
    </row>
    <row r="114" spans="1:20">
      <c r="A114">
        <v>50</v>
      </c>
      <c r="B114">
        <v>15.8</v>
      </c>
      <c r="C114">
        <v>32.6</v>
      </c>
      <c r="D114">
        <v>9.4</v>
      </c>
      <c r="E114">
        <v>81.2</v>
      </c>
      <c r="F114" s="13">
        <v>10.074361170075345</v>
      </c>
      <c r="G114">
        <v>9.94</v>
      </c>
      <c r="H114" s="13">
        <v>-0.13436117007534598</v>
      </c>
      <c r="J114" s="9">
        <v>5</v>
      </c>
      <c r="K114" s="9" t="s">
        <v>60</v>
      </c>
      <c r="L114" s="9">
        <v>9.91</v>
      </c>
      <c r="M114" s="9">
        <v>64.2</v>
      </c>
      <c r="N114" s="9">
        <v>20.8</v>
      </c>
      <c r="O114" s="9">
        <v>35.200000000000003</v>
      </c>
      <c r="P114" s="10">
        <v>43.8</v>
      </c>
      <c r="Q114" s="10">
        <v>12.9</v>
      </c>
      <c r="R114" s="11"/>
      <c r="S114" s="11"/>
      <c r="T114" s="11"/>
    </row>
    <row r="115" spans="1:20">
      <c r="A115">
        <v>64.8</v>
      </c>
      <c r="B115">
        <v>23.2</v>
      </c>
      <c r="C115">
        <v>32.799999999999997</v>
      </c>
      <c r="D115">
        <v>8.6</v>
      </c>
      <c r="E115">
        <v>82.7</v>
      </c>
      <c r="F115" s="13">
        <v>9.9239911148968272</v>
      </c>
      <c r="G115">
        <v>10.35</v>
      </c>
      <c r="H115" s="13">
        <v>0.42600888510317247</v>
      </c>
      <c r="J115" s="9">
        <v>5</v>
      </c>
      <c r="K115" s="9" t="s">
        <v>66</v>
      </c>
      <c r="L115" s="9">
        <v>9.67</v>
      </c>
      <c r="M115" s="9">
        <v>64.5</v>
      </c>
      <c r="N115" s="9">
        <v>21</v>
      </c>
      <c r="O115" s="9">
        <v>33.4</v>
      </c>
      <c r="P115" s="10">
        <v>50.5</v>
      </c>
      <c r="Q115" s="10">
        <v>7.5</v>
      </c>
      <c r="R115" s="11"/>
      <c r="S115" s="11"/>
      <c r="T115" s="11"/>
    </row>
    <row r="116" spans="1:20">
      <c r="A116">
        <v>56</v>
      </c>
      <c r="B116">
        <v>28.8</v>
      </c>
      <c r="C116">
        <v>31.6</v>
      </c>
      <c r="D116">
        <v>8</v>
      </c>
      <c r="E116">
        <v>78.2</v>
      </c>
      <c r="F116" s="13">
        <v>10.073654430223744</v>
      </c>
      <c r="G116">
        <v>10.25</v>
      </c>
      <c r="H116" s="13">
        <v>0.17634556977625593</v>
      </c>
      <c r="J116" s="9">
        <v>5</v>
      </c>
      <c r="K116" s="9" t="s">
        <v>67</v>
      </c>
      <c r="L116" s="9">
        <v>9.49</v>
      </c>
      <c r="M116" s="9">
        <v>61.4</v>
      </c>
      <c r="N116" s="9">
        <v>29.8</v>
      </c>
      <c r="O116" s="9">
        <v>35.200000000000003</v>
      </c>
      <c r="P116" s="10">
        <v>46.1</v>
      </c>
      <c r="Q116" s="10">
        <v>8.9</v>
      </c>
      <c r="R116" s="11"/>
      <c r="S116" s="11"/>
      <c r="T116" s="11"/>
    </row>
    <row r="117" spans="1:20">
      <c r="A117">
        <v>53.3</v>
      </c>
      <c r="B117">
        <v>15.4</v>
      </c>
      <c r="C117">
        <v>31.8</v>
      </c>
      <c r="D117">
        <v>8.6</v>
      </c>
      <c r="E117">
        <v>77.900000000000006</v>
      </c>
      <c r="F117" s="13">
        <v>10.003882263082161</v>
      </c>
      <c r="G117">
        <v>10.09</v>
      </c>
      <c r="H117" s="13">
        <v>8.6117736917838528E-2</v>
      </c>
      <c r="J117" s="9">
        <v>5</v>
      </c>
      <c r="K117" s="9" t="s">
        <v>69</v>
      </c>
      <c r="L117" s="9">
        <v>9.8000000000000007</v>
      </c>
      <c r="M117" s="9">
        <v>63.4</v>
      </c>
      <c r="N117" s="9">
        <v>26</v>
      </c>
      <c r="O117" s="9">
        <v>36.1</v>
      </c>
      <c r="P117" s="10">
        <v>66.400000000000006</v>
      </c>
      <c r="Q117" s="10">
        <v>17.7</v>
      </c>
      <c r="R117" s="11"/>
      <c r="S117" s="11"/>
      <c r="T117" s="11"/>
    </row>
    <row r="118" spans="1:20">
      <c r="A118">
        <v>53.4</v>
      </c>
      <c r="B118">
        <v>17</v>
      </c>
      <c r="C118">
        <v>33</v>
      </c>
      <c r="D118">
        <v>8.4</v>
      </c>
      <c r="E118">
        <v>81</v>
      </c>
      <c r="F118" s="13">
        <v>10.046096058580563</v>
      </c>
      <c r="G118">
        <v>10.15</v>
      </c>
      <c r="H118" s="13">
        <v>0.10390394141943737</v>
      </c>
      <c r="J118" s="9">
        <v>5</v>
      </c>
      <c r="K118" s="9" t="s">
        <v>71</v>
      </c>
      <c r="L118" s="9">
        <v>9.75</v>
      </c>
      <c r="M118" s="9">
        <v>56.5</v>
      </c>
      <c r="N118" s="9">
        <v>16.7</v>
      </c>
      <c r="O118" s="9">
        <v>35.5</v>
      </c>
      <c r="P118" s="10">
        <v>66.3</v>
      </c>
      <c r="Q118" s="10">
        <v>29.3</v>
      </c>
      <c r="R118" s="11"/>
      <c r="S118" s="11"/>
      <c r="T118" s="11"/>
    </row>
    <row r="119" spans="1:20">
      <c r="A119">
        <v>55.2</v>
      </c>
      <c r="B119">
        <v>20.3</v>
      </c>
      <c r="C119">
        <v>34.700000000000003</v>
      </c>
      <c r="D119">
        <v>10</v>
      </c>
      <c r="E119">
        <v>72.099999999999994</v>
      </c>
      <c r="F119" s="13">
        <v>10.085392722093442</v>
      </c>
      <c r="G119">
        <v>10.43</v>
      </c>
      <c r="H119" s="13">
        <v>0.3446072779065581</v>
      </c>
      <c r="J119" s="9">
        <v>5</v>
      </c>
      <c r="K119" s="9" t="s">
        <v>72</v>
      </c>
      <c r="L119" s="9">
        <v>10.01</v>
      </c>
      <c r="M119" s="9">
        <v>53.1</v>
      </c>
      <c r="N119" s="9">
        <v>13.6</v>
      </c>
      <c r="O119" s="9">
        <v>34.700000000000003</v>
      </c>
      <c r="P119" s="10">
        <v>63.7</v>
      </c>
      <c r="Q119" s="10">
        <v>21.1</v>
      </c>
      <c r="R119" s="11"/>
      <c r="S119" s="11"/>
      <c r="T119" s="11"/>
    </row>
    <row r="120" spans="1:20">
      <c r="A120">
        <v>51.3</v>
      </c>
      <c r="B120">
        <v>29.1</v>
      </c>
      <c r="C120">
        <v>32.5</v>
      </c>
      <c r="D120">
        <v>8.8000000000000007</v>
      </c>
      <c r="E120">
        <v>76.5</v>
      </c>
      <c r="F120" s="13">
        <v>10.166363955996813</v>
      </c>
      <c r="G120">
        <v>10.34</v>
      </c>
      <c r="H120" s="13">
        <v>0.173636044003187</v>
      </c>
      <c r="J120" s="9">
        <v>5</v>
      </c>
      <c r="K120" s="9" t="s">
        <v>74</v>
      </c>
      <c r="L120" s="9">
        <v>9.81</v>
      </c>
      <c r="M120" s="9">
        <v>60.4</v>
      </c>
      <c r="N120" s="9">
        <v>18.399999999999999</v>
      </c>
      <c r="O120" s="9">
        <v>33.799999999999997</v>
      </c>
      <c r="P120" s="10">
        <v>61.2</v>
      </c>
      <c r="Q120" s="10">
        <v>19.600000000000001</v>
      </c>
      <c r="R120" s="11"/>
      <c r="S120" s="11"/>
      <c r="T120" s="11"/>
    </row>
    <row r="121" spans="1:20">
      <c r="A121">
        <v>56.7</v>
      </c>
      <c r="B121">
        <v>16.100000000000001</v>
      </c>
      <c r="C121">
        <v>32.200000000000003</v>
      </c>
      <c r="D121">
        <v>8.1999999999999993</v>
      </c>
      <c r="E121">
        <v>76.400000000000006</v>
      </c>
      <c r="F121" s="13">
        <v>9.9700136109662605</v>
      </c>
      <c r="G121">
        <v>10.26</v>
      </c>
      <c r="H121" s="13">
        <v>0.2899863890337393</v>
      </c>
      <c r="J121" s="9">
        <v>5</v>
      </c>
      <c r="K121" s="9" t="s">
        <v>75</v>
      </c>
      <c r="L121" s="9">
        <v>9.73</v>
      </c>
      <c r="M121" s="9">
        <v>62.2</v>
      </c>
      <c r="N121" s="9">
        <v>20.100000000000001</v>
      </c>
      <c r="O121" s="9">
        <v>34.9</v>
      </c>
      <c r="P121" s="10">
        <v>65.099999999999994</v>
      </c>
      <c r="Q121" s="10">
        <v>18.899999999999999</v>
      </c>
      <c r="R121" s="11"/>
      <c r="S121" s="11"/>
      <c r="T121" s="11"/>
    </row>
    <row r="122" spans="1:20">
      <c r="A122">
        <v>60.8</v>
      </c>
      <c r="B122">
        <v>14.2</v>
      </c>
      <c r="C122">
        <v>29.3</v>
      </c>
      <c r="D122">
        <v>9.1999999999999993</v>
      </c>
      <c r="E122">
        <v>74.900000000000006</v>
      </c>
      <c r="F122" s="13">
        <v>9.8192512955303339</v>
      </c>
      <c r="G122">
        <v>10.3</v>
      </c>
      <c r="H122" s="13">
        <v>0.48074870446966678</v>
      </c>
      <c r="J122" s="9">
        <v>5</v>
      </c>
      <c r="K122" s="9" t="s">
        <v>79</v>
      </c>
      <c r="L122" s="9">
        <v>10.09</v>
      </c>
      <c r="M122" s="9">
        <v>58.6</v>
      </c>
      <c r="N122" s="9">
        <v>17.600000000000001</v>
      </c>
      <c r="O122" s="9">
        <v>36.1</v>
      </c>
      <c r="P122" s="10">
        <v>58.7</v>
      </c>
      <c r="Q122" s="10">
        <v>22.5</v>
      </c>
      <c r="R122" s="11"/>
      <c r="S122" s="11"/>
      <c r="T122" s="11"/>
    </row>
    <row r="123" spans="1:20">
      <c r="A123">
        <v>50.1</v>
      </c>
      <c r="B123">
        <v>14.3</v>
      </c>
      <c r="C123">
        <v>32.9</v>
      </c>
      <c r="D123">
        <v>12</v>
      </c>
      <c r="E123">
        <v>80.5</v>
      </c>
      <c r="F123" s="13">
        <v>10.061815761300064</v>
      </c>
      <c r="G123">
        <v>10.210000000000001</v>
      </c>
      <c r="H123" s="13">
        <v>0.1481842386999368</v>
      </c>
      <c r="J123" s="9">
        <v>5</v>
      </c>
      <c r="K123" s="9" t="s">
        <v>80</v>
      </c>
      <c r="L123" s="9">
        <v>10.29</v>
      </c>
      <c r="M123" s="9">
        <v>46.8</v>
      </c>
      <c r="N123" s="9">
        <v>12.6</v>
      </c>
      <c r="O123" s="9">
        <v>35.5</v>
      </c>
      <c r="P123" s="10">
        <v>57</v>
      </c>
      <c r="Q123" s="10">
        <v>27.4</v>
      </c>
      <c r="R123" s="11"/>
      <c r="S123" s="11"/>
      <c r="T123" s="11"/>
    </row>
    <row r="124" spans="1:20">
      <c r="A124">
        <v>49.3</v>
      </c>
      <c r="B124">
        <v>17.899999999999999</v>
      </c>
      <c r="C124">
        <v>33.4</v>
      </c>
      <c r="D124">
        <v>9</v>
      </c>
      <c r="E124">
        <v>82</v>
      </c>
      <c r="F124" s="13">
        <v>10.123181324289318</v>
      </c>
      <c r="G124">
        <v>11</v>
      </c>
      <c r="H124" s="13">
        <v>0.87681867571068217</v>
      </c>
      <c r="J124" s="9">
        <v>5</v>
      </c>
      <c r="K124" s="9" t="s">
        <v>81</v>
      </c>
      <c r="L124" s="9">
        <v>10.17</v>
      </c>
      <c r="M124" s="9">
        <v>54</v>
      </c>
      <c r="N124" s="9">
        <v>15.9</v>
      </c>
      <c r="O124" s="9">
        <v>34.700000000000003</v>
      </c>
      <c r="P124" s="10">
        <v>55.1</v>
      </c>
      <c r="Q124" s="10">
        <v>14.7</v>
      </c>
      <c r="R124" s="11"/>
      <c r="S124" s="11"/>
      <c r="T124" s="11"/>
    </row>
    <row r="125" spans="1:20">
      <c r="A125">
        <v>54</v>
      </c>
      <c r="B125">
        <v>21</v>
      </c>
      <c r="C125">
        <v>33.1</v>
      </c>
      <c r="D125">
        <v>9.1</v>
      </c>
      <c r="E125">
        <v>81.599999999999994</v>
      </c>
      <c r="F125" s="13">
        <v>10.072001085260055</v>
      </c>
      <c r="G125">
        <v>10.47</v>
      </c>
      <c r="H125" s="13">
        <v>0.39799891473994542</v>
      </c>
      <c r="J125" s="9">
        <v>5</v>
      </c>
      <c r="K125" s="9" t="s">
        <v>82</v>
      </c>
      <c r="L125" s="9">
        <v>10.14</v>
      </c>
      <c r="M125" s="9">
        <v>54.7</v>
      </c>
      <c r="N125" s="9">
        <v>21.4</v>
      </c>
      <c r="O125" s="9">
        <v>37.200000000000003</v>
      </c>
      <c r="P125" s="10">
        <v>50.3</v>
      </c>
      <c r="Q125" s="10">
        <v>11.8</v>
      </c>
      <c r="R125" s="11"/>
      <c r="S125" s="11"/>
      <c r="T125" s="11"/>
    </row>
    <row r="126" spans="1:20">
      <c r="A126">
        <v>57.9</v>
      </c>
      <c r="B126">
        <v>29.1</v>
      </c>
      <c r="C126">
        <v>32.799999999999997</v>
      </c>
      <c r="D126">
        <v>11.2</v>
      </c>
      <c r="E126">
        <v>81.7</v>
      </c>
      <c r="F126" s="13">
        <v>10.070646893540856</v>
      </c>
      <c r="G126">
        <v>10.45</v>
      </c>
      <c r="H126" s="13">
        <v>0.37935310645914377</v>
      </c>
      <c r="J126" s="9">
        <v>5</v>
      </c>
      <c r="K126" s="9" t="s">
        <v>83</v>
      </c>
      <c r="L126" s="9">
        <v>9.94</v>
      </c>
      <c r="M126" s="9">
        <v>53.8</v>
      </c>
      <c r="N126" s="9">
        <v>17.899999999999999</v>
      </c>
      <c r="O126" s="9">
        <v>36</v>
      </c>
      <c r="P126" s="10">
        <v>58.1</v>
      </c>
      <c r="Q126" s="10">
        <v>15.2</v>
      </c>
      <c r="R126" s="11"/>
      <c r="S126" s="11"/>
      <c r="T126" s="11"/>
    </row>
    <row r="127" spans="1:20">
      <c r="A127">
        <v>61</v>
      </c>
      <c r="B127">
        <v>24.3</v>
      </c>
      <c r="C127">
        <v>33.1</v>
      </c>
      <c r="D127">
        <v>8.9</v>
      </c>
      <c r="E127">
        <v>79.3</v>
      </c>
      <c r="F127" s="13">
        <v>9.9963521030454388</v>
      </c>
      <c r="G127">
        <v>10.52</v>
      </c>
      <c r="H127" s="13">
        <v>0.52364789695456082</v>
      </c>
      <c r="J127" s="9">
        <v>5</v>
      </c>
      <c r="K127" s="9" t="s">
        <v>84</v>
      </c>
      <c r="L127" s="9">
        <v>9.82</v>
      </c>
      <c r="M127" s="9">
        <v>55.5</v>
      </c>
      <c r="N127" s="9">
        <v>20.399999999999999</v>
      </c>
      <c r="O127" s="9">
        <v>35</v>
      </c>
      <c r="P127" s="10">
        <v>57.8</v>
      </c>
      <c r="Q127" s="10">
        <v>23.5</v>
      </c>
      <c r="R127" s="11"/>
      <c r="S127" s="11"/>
      <c r="T127" s="11"/>
    </row>
    <row r="128" spans="1:20">
      <c r="A128">
        <v>52.2</v>
      </c>
      <c r="B128">
        <v>14.6</v>
      </c>
      <c r="C128">
        <v>34.299999999999997</v>
      </c>
      <c r="D128">
        <v>8.9</v>
      </c>
      <c r="E128">
        <v>82.3</v>
      </c>
      <c r="F128" s="13">
        <v>10.074602725990021</v>
      </c>
      <c r="G128">
        <v>10.14</v>
      </c>
      <c r="H128" s="13">
        <v>6.5397274009979967E-2</v>
      </c>
      <c r="J128" s="9">
        <v>5</v>
      </c>
      <c r="K128" s="9" t="s">
        <v>85</v>
      </c>
      <c r="L128" s="9">
        <v>10.26</v>
      </c>
      <c r="M128" s="9">
        <v>66.8</v>
      </c>
      <c r="N128" s="9">
        <v>23.5</v>
      </c>
      <c r="O128" s="9">
        <v>34.4</v>
      </c>
      <c r="P128" s="10">
        <v>55.6</v>
      </c>
      <c r="Q128" s="10">
        <v>15.6</v>
      </c>
      <c r="R128" s="11"/>
      <c r="S128" s="11"/>
      <c r="T128" s="11"/>
    </row>
    <row r="129" spans="1:20">
      <c r="A129">
        <v>49.2</v>
      </c>
      <c r="B129">
        <v>12.9</v>
      </c>
      <c r="C129">
        <v>32.200000000000003</v>
      </c>
      <c r="D129">
        <v>9.6</v>
      </c>
      <c r="E129">
        <v>84.7</v>
      </c>
      <c r="F129" s="13">
        <v>10.051503409888507</v>
      </c>
      <c r="G129">
        <v>10.65</v>
      </c>
      <c r="H129" s="13">
        <v>0.59849659011149292</v>
      </c>
      <c r="J129" s="9">
        <v>5</v>
      </c>
      <c r="K129" s="9" t="s">
        <v>86</v>
      </c>
      <c r="L129" s="9">
        <v>10.07</v>
      </c>
      <c r="M129" s="9">
        <v>57.9</v>
      </c>
      <c r="N129" s="9">
        <v>35.200000000000003</v>
      </c>
      <c r="O129" s="9">
        <v>33.4</v>
      </c>
      <c r="P129" s="10">
        <v>45.2</v>
      </c>
      <c r="Q129" s="10">
        <v>12.5</v>
      </c>
      <c r="R129" s="11"/>
      <c r="S129" s="11"/>
      <c r="T129" s="11"/>
    </row>
    <row r="130" spans="1:20">
      <c r="A130">
        <v>55.8</v>
      </c>
      <c r="B130">
        <v>25.9</v>
      </c>
      <c r="C130">
        <v>33.1</v>
      </c>
      <c r="D130">
        <v>9.6</v>
      </c>
      <c r="E130">
        <v>88.6</v>
      </c>
      <c r="F130" s="13">
        <v>10.08591088332475</v>
      </c>
      <c r="G130">
        <v>10.09</v>
      </c>
      <c r="H130" s="13">
        <v>4.0891166752494712E-3</v>
      </c>
      <c r="J130" s="9">
        <v>5</v>
      </c>
      <c r="K130" s="9" t="s">
        <v>88</v>
      </c>
      <c r="L130" s="9">
        <v>9.92</v>
      </c>
      <c r="M130" s="9">
        <v>56.2</v>
      </c>
      <c r="N130" s="9">
        <v>18</v>
      </c>
      <c r="O130" s="9">
        <v>34.5</v>
      </c>
      <c r="P130" s="10">
        <v>50.9</v>
      </c>
      <c r="Q130" s="10">
        <v>14.3</v>
      </c>
      <c r="R130" s="11"/>
      <c r="S130" s="11"/>
      <c r="T130" s="11"/>
    </row>
    <row r="131" spans="1:20">
      <c r="A131">
        <v>47.3</v>
      </c>
      <c r="B131">
        <v>11.6</v>
      </c>
      <c r="C131">
        <v>34.5</v>
      </c>
      <c r="D131">
        <v>9.6999999999999993</v>
      </c>
      <c r="E131">
        <v>82.3</v>
      </c>
      <c r="F131" s="13">
        <v>10.125134248342242</v>
      </c>
      <c r="G131">
        <v>10.29</v>
      </c>
      <c r="H131" s="13">
        <v>0.16486575165775719</v>
      </c>
      <c r="J131" s="9">
        <v>5</v>
      </c>
      <c r="K131" s="9" t="s">
        <v>89</v>
      </c>
      <c r="L131" s="9">
        <v>9.9600000000000009</v>
      </c>
      <c r="M131" s="9">
        <v>55.2</v>
      </c>
      <c r="N131" s="9">
        <v>19.5</v>
      </c>
      <c r="O131" s="9">
        <v>33.6</v>
      </c>
      <c r="P131" s="10">
        <v>49.6</v>
      </c>
      <c r="Q131" s="10">
        <v>23.5</v>
      </c>
      <c r="R131" s="11"/>
      <c r="S131" s="11"/>
      <c r="T131" s="11"/>
    </row>
    <row r="132" spans="1:20">
      <c r="A132">
        <v>58.1</v>
      </c>
      <c r="B132">
        <v>19.2</v>
      </c>
      <c r="C132">
        <v>34.299999999999997</v>
      </c>
      <c r="D132">
        <v>9.3000000000000007</v>
      </c>
      <c r="E132">
        <v>82.5</v>
      </c>
      <c r="F132" s="13">
        <v>10.025063400652472</v>
      </c>
      <c r="G132">
        <v>9.7899999999999991</v>
      </c>
      <c r="H132" s="13">
        <v>-0.23506340065247322</v>
      </c>
      <c r="J132" s="9">
        <v>5</v>
      </c>
      <c r="K132" s="9" t="s">
        <v>90</v>
      </c>
      <c r="L132" s="9">
        <v>10.25</v>
      </c>
      <c r="M132" s="9">
        <v>54.4</v>
      </c>
      <c r="N132" s="9">
        <v>27.3</v>
      </c>
      <c r="O132" s="9">
        <v>36</v>
      </c>
      <c r="P132" s="10">
        <v>49.4</v>
      </c>
      <c r="Q132" s="10">
        <v>19.600000000000001</v>
      </c>
      <c r="R132" s="11"/>
      <c r="S132" s="11"/>
      <c r="T132" s="11"/>
    </row>
    <row r="133" spans="1:20">
      <c r="A133">
        <v>61.1</v>
      </c>
      <c r="B133">
        <v>17</v>
      </c>
      <c r="C133">
        <v>33.299999999999997</v>
      </c>
      <c r="D133">
        <v>10.6</v>
      </c>
      <c r="E133">
        <v>85.3</v>
      </c>
      <c r="F133" s="13">
        <v>9.9344526213811761</v>
      </c>
      <c r="G133">
        <v>9.77</v>
      </c>
      <c r="H133" s="13">
        <v>-0.16445262138117656</v>
      </c>
      <c r="J133" s="9">
        <v>5</v>
      </c>
      <c r="K133" s="9" t="s">
        <v>91</v>
      </c>
      <c r="L133" s="9">
        <v>10.23</v>
      </c>
      <c r="M133" s="9">
        <v>54.7</v>
      </c>
      <c r="N133" s="9">
        <v>35.9</v>
      </c>
      <c r="O133" s="9">
        <v>35.6</v>
      </c>
      <c r="P133" s="10">
        <v>53.1</v>
      </c>
      <c r="Q133" s="10">
        <v>16.100000000000001</v>
      </c>
      <c r="R133" s="11"/>
      <c r="S133" s="11"/>
      <c r="T133" s="11"/>
    </row>
    <row r="134" spans="1:20">
      <c r="A134">
        <v>60.6</v>
      </c>
      <c r="B134">
        <v>24.3</v>
      </c>
      <c r="C134">
        <v>35</v>
      </c>
      <c r="D134">
        <v>11.9</v>
      </c>
      <c r="E134">
        <v>83.6</v>
      </c>
      <c r="F134" s="13">
        <v>10.042694956864876</v>
      </c>
      <c r="G134">
        <v>10.050000000000001</v>
      </c>
      <c r="H134" s="13">
        <v>7.3050431351244782E-3</v>
      </c>
      <c r="J134" s="9">
        <v>5</v>
      </c>
      <c r="K134" s="9" t="s">
        <v>92</v>
      </c>
      <c r="L134" s="9">
        <v>10.01</v>
      </c>
      <c r="M134" s="9">
        <v>59.2</v>
      </c>
      <c r="N134" s="9">
        <v>18.899999999999999</v>
      </c>
      <c r="O134" s="9">
        <v>34.299999999999997</v>
      </c>
      <c r="P134" s="10">
        <v>65.3</v>
      </c>
      <c r="Q134" s="10">
        <v>25.8</v>
      </c>
      <c r="R134" s="11"/>
      <c r="S134" s="11"/>
      <c r="T134" s="11"/>
    </row>
    <row r="135" spans="1:20">
      <c r="A135">
        <v>59.2</v>
      </c>
      <c r="B135">
        <v>36.200000000000003</v>
      </c>
      <c r="C135">
        <v>34.5</v>
      </c>
      <c r="D135">
        <v>9</v>
      </c>
      <c r="E135">
        <v>82.5</v>
      </c>
      <c r="F135" s="13">
        <v>10.158273156881803</v>
      </c>
      <c r="G135">
        <v>9.86</v>
      </c>
      <c r="H135" s="13">
        <v>-0.29827315688180356</v>
      </c>
      <c r="J135" s="9">
        <v>5</v>
      </c>
      <c r="K135" s="9" t="s">
        <v>93</v>
      </c>
      <c r="L135" s="9">
        <v>10.1</v>
      </c>
      <c r="M135" s="9">
        <v>61.5</v>
      </c>
      <c r="N135" s="9">
        <v>16.5</v>
      </c>
      <c r="O135" s="9">
        <v>31.8</v>
      </c>
      <c r="P135" s="10">
        <v>56.8</v>
      </c>
      <c r="Q135" s="10">
        <v>31.6</v>
      </c>
      <c r="R135" s="11"/>
      <c r="S135" s="11"/>
      <c r="T135" s="11"/>
    </row>
    <row r="136" spans="1:20">
      <c r="A136">
        <v>75.099999999999994</v>
      </c>
      <c r="B136">
        <v>27.3</v>
      </c>
      <c r="C136">
        <v>34.700000000000003</v>
      </c>
      <c r="D136">
        <v>10.5</v>
      </c>
      <c r="E136">
        <v>84</v>
      </c>
      <c r="F136" s="13">
        <v>9.8484732138205135</v>
      </c>
      <c r="G136">
        <v>9.98</v>
      </c>
      <c r="H136" s="13">
        <v>0.13152678617948688</v>
      </c>
      <c r="J136" s="9">
        <v>5</v>
      </c>
      <c r="K136" s="9" t="s">
        <v>94</v>
      </c>
      <c r="L136" s="9">
        <v>10.36</v>
      </c>
      <c r="M136" s="9">
        <v>52.3</v>
      </c>
      <c r="N136" s="9">
        <v>14</v>
      </c>
      <c r="O136" s="9">
        <v>34.5</v>
      </c>
      <c r="P136" s="10">
        <v>54.7</v>
      </c>
      <c r="Q136" s="10">
        <v>19.7</v>
      </c>
      <c r="R136" s="11"/>
      <c r="S136" s="11"/>
      <c r="T136" s="11"/>
    </row>
    <row r="137" spans="1:20">
      <c r="A137">
        <v>57.4</v>
      </c>
      <c r="B137">
        <v>26.4</v>
      </c>
      <c r="C137">
        <v>35.1</v>
      </c>
      <c r="D137">
        <v>48</v>
      </c>
      <c r="E137">
        <v>9.9</v>
      </c>
      <c r="F137" s="13">
        <v>10.028215118820679</v>
      </c>
      <c r="G137">
        <v>9.5299999999999994</v>
      </c>
      <c r="H137" s="13">
        <v>-0.49821511882067959</v>
      </c>
      <c r="J137" s="9">
        <v>5</v>
      </c>
      <c r="K137" s="9" t="s">
        <v>95</v>
      </c>
      <c r="L137" s="9">
        <v>10.51</v>
      </c>
      <c r="M137" s="9">
        <v>55.6</v>
      </c>
      <c r="N137" s="9">
        <v>18</v>
      </c>
      <c r="O137" s="9">
        <v>35.1</v>
      </c>
      <c r="P137" s="10">
        <v>51.2</v>
      </c>
      <c r="Q137" s="10">
        <v>18.8</v>
      </c>
      <c r="R137" s="11"/>
      <c r="S137" s="11"/>
      <c r="T137" s="11"/>
    </row>
    <row r="138" spans="1:20">
      <c r="A138">
        <v>55.9</v>
      </c>
      <c r="B138">
        <v>14.9</v>
      </c>
      <c r="C138">
        <v>33</v>
      </c>
      <c r="D138">
        <v>55.1</v>
      </c>
      <c r="E138">
        <v>17.8</v>
      </c>
      <c r="F138" s="13">
        <v>9.8859418141161282</v>
      </c>
      <c r="G138">
        <v>9.73</v>
      </c>
      <c r="H138" s="13">
        <v>-0.15594181411612773</v>
      </c>
      <c r="J138" s="9">
        <v>5</v>
      </c>
      <c r="K138" s="9" t="s">
        <v>96</v>
      </c>
      <c r="L138" s="9">
        <v>10.210000000000001</v>
      </c>
      <c r="M138" s="9">
        <v>55.8</v>
      </c>
      <c r="N138" s="9">
        <v>28.1</v>
      </c>
      <c r="O138" s="9">
        <v>34.4</v>
      </c>
      <c r="P138" s="10">
        <v>54.7</v>
      </c>
      <c r="Q138" s="10">
        <v>24.2</v>
      </c>
      <c r="R138" s="11"/>
      <c r="S138" s="11"/>
      <c r="T138" s="11"/>
    </row>
    <row r="139" spans="1:20">
      <c r="A139">
        <v>58.3</v>
      </c>
      <c r="B139">
        <v>23.9</v>
      </c>
      <c r="C139">
        <v>34.9</v>
      </c>
      <c r="D139">
        <v>57.9</v>
      </c>
      <c r="E139">
        <v>14.6</v>
      </c>
      <c r="F139" s="13">
        <v>9.9670853812702802</v>
      </c>
      <c r="G139">
        <v>9.9600000000000009</v>
      </c>
      <c r="H139" s="13">
        <v>-7.0853812702793562E-3</v>
      </c>
      <c r="J139" s="9">
        <v>5</v>
      </c>
      <c r="K139" s="9" t="s">
        <v>97</v>
      </c>
      <c r="L139" s="9">
        <v>10.32</v>
      </c>
      <c r="M139" s="9">
        <v>62</v>
      </c>
      <c r="N139" s="9">
        <v>31.1</v>
      </c>
      <c r="O139" s="9">
        <v>35</v>
      </c>
      <c r="P139" s="10">
        <v>52.3</v>
      </c>
      <c r="Q139" s="10">
        <v>36.1</v>
      </c>
      <c r="R139" s="11"/>
      <c r="S139" s="11"/>
      <c r="T139" s="11"/>
    </row>
    <row r="140" spans="1:20">
      <c r="A140">
        <v>54.2</v>
      </c>
      <c r="B140">
        <v>12.4</v>
      </c>
      <c r="C140">
        <v>33.6</v>
      </c>
      <c r="D140">
        <v>60</v>
      </c>
      <c r="E140">
        <v>27.4</v>
      </c>
      <c r="F140" s="13">
        <v>9.8943560724648822</v>
      </c>
      <c r="G140">
        <v>9.76</v>
      </c>
      <c r="H140" s="13">
        <v>-0.13435607246488246</v>
      </c>
      <c r="J140" s="9">
        <v>5</v>
      </c>
      <c r="K140" s="9" t="s">
        <v>98</v>
      </c>
      <c r="L140" s="9">
        <v>10.199999999999999</v>
      </c>
      <c r="M140" s="9">
        <v>64.900000000000006</v>
      </c>
      <c r="N140" s="9">
        <v>29.1</v>
      </c>
      <c r="O140" s="9">
        <v>35.1</v>
      </c>
      <c r="P140" s="10">
        <v>58.3</v>
      </c>
      <c r="Q140" s="10">
        <v>22.1</v>
      </c>
      <c r="R140" s="11"/>
      <c r="S140" s="11"/>
      <c r="T140" s="11"/>
    </row>
    <row r="141" spans="1:20">
      <c r="A141">
        <v>48</v>
      </c>
      <c r="B141">
        <v>9.4</v>
      </c>
      <c r="C141">
        <v>34.4</v>
      </c>
      <c r="D141">
        <v>53.8</v>
      </c>
      <c r="E141">
        <v>28.7</v>
      </c>
      <c r="F141" s="13">
        <v>9.9944745751589519</v>
      </c>
      <c r="G141">
        <v>9.82</v>
      </c>
      <c r="H141" s="13">
        <v>-0.17447457515895159</v>
      </c>
      <c r="J141" s="9">
        <v>5</v>
      </c>
      <c r="K141" s="9" t="s">
        <v>99</v>
      </c>
      <c r="L141" s="9">
        <v>9.76</v>
      </c>
      <c r="M141" s="9">
        <v>55.9</v>
      </c>
      <c r="N141" s="9">
        <v>15.7</v>
      </c>
      <c r="O141" s="9">
        <v>34.9</v>
      </c>
      <c r="P141" s="10">
        <v>61.2</v>
      </c>
      <c r="Q141" s="10">
        <v>17.7</v>
      </c>
      <c r="R141" s="11"/>
      <c r="S141" s="11"/>
      <c r="T141" s="11"/>
    </row>
    <row r="142" spans="1:20">
      <c r="A142">
        <v>44.8</v>
      </c>
      <c r="B142">
        <v>14.5</v>
      </c>
      <c r="C142">
        <v>34.799999999999997</v>
      </c>
      <c r="D142">
        <v>73.8</v>
      </c>
      <c r="E142">
        <v>24</v>
      </c>
      <c r="F142" s="13">
        <v>10.050774642415277</v>
      </c>
      <c r="G142">
        <v>9.8699999999999992</v>
      </c>
      <c r="H142" s="13">
        <v>-0.18077464241527785</v>
      </c>
      <c r="J142" s="9">
        <v>5</v>
      </c>
      <c r="K142" s="9" t="s">
        <v>100</v>
      </c>
      <c r="L142" s="9">
        <v>10.26</v>
      </c>
      <c r="M142" s="9">
        <v>49</v>
      </c>
      <c r="N142" s="9">
        <v>16</v>
      </c>
      <c r="O142" s="9">
        <v>34.6</v>
      </c>
      <c r="P142" s="10">
        <v>51.5</v>
      </c>
      <c r="Q142" s="10">
        <v>17.3</v>
      </c>
      <c r="R142" s="11"/>
      <c r="S142" s="11"/>
      <c r="T142" s="11"/>
    </row>
    <row r="143" spans="1:20">
      <c r="A143">
        <v>51.5</v>
      </c>
      <c r="B143">
        <v>8.9</v>
      </c>
      <c r="C143">
        <v>35.5</v>
      </c>
      <c r="D143">
        <v>55</v>
      </c>
      <c r="E143">
        <v>23.9</v>
      </c>
      <c r="F143" s="13">
        <v>9.962578836277677</v>
      </c>
      <c r="G143">
        <v>10</v>
      </c>
      <c r="H143" s="13">
        <v>3.7421163722322959E-2</v>
      </c>
      <c r="J143" s="9">
        <v>5</v>
      </c>
      <c r="K143" s="9" t="s">
        <v>101</v>
      </c>
      <c r="L143" s="9">
        <v>9.89</v>
      </c>
      <c r="M143" s="9">
        <v>57.8</v>
      </c>
      <c r="N143" s="9">
        <v>28.9</v>
      </c>
      <c r="O143" s="9">
        <v>34.4</v>
      </c>
      <c r="P143" s="10">
        <v>53.4</v>
      </c>
      <c r="Q143" s="10">
        <v>19.899999999999999</v>
      </c>
      <c r="R143" s="11"/>
      <c r="S143" s="11"/>
      <c r="T143" s="11"/>
    </row>
    <row r="144" spans="1:20">
      <c r="A144">
        <v>46.5</v>
      </c>
      <c r="B144">
        <v>10.5</v>
      </c>
      <c r="C144">
        <v>35.1</v>
      </c>
      <c r="D144">
        <v>52.8</v>
      </c>
      <c r="E144">
        <v>20.2</v>
      </c>
      <c r="F144" s="13">
        <v>10.045230207120484</v>
      </c>
      <c r="G144">
        <v>10.02</v>
      </c>
      <c r="H144" s="13">
        <v>-2.5230207120484849E-2</v>
      </c>
      <c r="J144" s="9">
        <v>6</v>
      </c>
      <c r="K144" s="9" t="s">
        <v>33</v>
      </c>
      <c r="L144" s="9">
        <v>10.210000000000001</v>
      </c>
      <c r="M144" s="9">
        <v>49.1</v>
      </c>
      <c r="N144" s="9">
        <v>11.7</v>
      </c>
      <c r="O144" s="9">
        <v>32.700000000000003</v>
      </c>
      <c r="P144" s="10">
        <v>55.3</v>
      </c>
      <c r="Q144" s="10">
        <v>22.5</v>
      </c>
      <c r="R144" s="11"/>
      <c r="S144" s="11"/>
      <c r="T144" s="11"/>
    </row>
    <row r="145" spans="1:20">
      <c r="A145">
        <v>67.5</v>
      </c>
      <c r="B145">
        <v>21.9</v>
      </c>
      <c r="C145">
        <v>34.9</v>
      </c>
      <c r="D145">
        <v>53.3</v>
      </c>
      <c r="E145">
        <v>22.7</v>
      </c>
      <c r="F145" s="13">
        <v>9.8239631343320539</v>
      </c>
      <c r="G145">
        <v>9.33</v>
      </c>
      <c r="H145" s="13">
        <v>-0.49396313433205385</v>
      </c>
      <c r="J145" s="9">
        <v>6</v>
      </c>
      <c r="K145" s="9" t="s">
        <v>36</v>
      </c>
      <c r="L145" s="9">
        <v>9.49</v>
      </c>
      <c r="M145" s="9">
        <v>61.1</v>
      </c>
      <c r="N145" s="9">
        <v>22.2</v>
      </c>
      <c r="O145" s="9">
        <v>32.200000000000003</v>
      </c>
      <c r="P145" s="10">
        <v>58.5</v>
      </c>
      <c r="Q145" s="10">
        <v>30.1</v>
      </c>
      <c r="R145" s="11"/>
      <c r="S145" s="11"/>
      <c r="T145" s="11"/>
    </row>
    <row r="146" spans="1:20">
      <c r="A146">
        <v>69.099999999999994</v>
      </c>
      <c r="B146">
        <v>33.1</v>
      </c>
      <c r="C146">
        <v>33.700000000000003</v>
      </c>
      <c r="D146">
        <v>51.2</v>
      </c>
      <c r="E146">
        <v>13.5</v>
      </c>
      <c r="F146" s="13">
        <v>9.8697433200695261</v>
      </c>
      <c r="G146">
        <v>9.57</v>
      </c>
      <c r="H146" s="13">
        <v>-0.29974332006952586</v>
      </c>
      <c r="J146" s="9">
        <v>6</v>
      </c>
      <c r="K146" s="9" t="s">
        <v>37</v>
      </c>
      <c r="L146" s="9">
        <v>9.6300000000000008</v>
      </c>
      <c r="M146" s="9">
        <v>62.5</v>
      </c>
      <c r="N146" s="9">
        <v>21.7</v>
      </c>
      <c r="O146" s="9">
        <v>33.5</v>
      </c>
      <c r="P146" s="10">
        <v>63.8</v>
      </c>
      <c r="Q146" s="10">
        <v>26.5</v>
      </c>
      <c r="R146" s="11"/>
      <c r="S146" s="11"/>
      <c r="T146" s="11"/>
    </row>
    <row r="147" spans="1:20">
      <c r="A147">
        <v>65.400000000000006</v>
      </c>
      <c r="B147">
        <v>22.5</v>
      </c>
      <c r="C147">
        <v>35.1</v>
      </c>
      <c r="D147">
        <v>47</v>
      </c>
      <c r="E147">
        <v>8.4</v>
      </c>
      <c r="F147" s="13">
        <v>9.8785416481459922</v>
      </c>
      <c r="G147">
        <v>9.66</v>
      </c>
      <c r="H147" s="13">
        <v>-0.21854164814599208</v>
      </c>
      <c r="J147" s="9">
        <v>6</v>
      </c>
      <c r="K147" s="9" t="s">
        <v>39</v>
      </c>
      <c r="L147" s="9">
        <v>10.01</v>
      </c>
      <c r="M147" s="9">
        <v>64.400000000000006</v>
      </c>
      <c r="N147" s="9">
        <v>22.9</v>
      </c>
      <c r="O147" s="9">
        <v>33.1</v>
      </c>
      <c r="P147" s="10">
        <v>51.9</v>
      </c>
      <c r="Q147" s="10">
        <v>21.7</v>
      </c>
      <c r="R147" s="11"/>
      <c r="S147" s="11"/>
      <c r="T147" s="11"/>
    </row>
    <row r="148" spans="1:20">
      <c r="A148">
        <v>64.2</v>
      </c>
      <c r="B148">
        <v>20.8</v>
      </c>
      <c r="C148">
        <v>35.200000000000003</v>
      </c>
      <c r="D148">
        <v>43.8</v>
      </c>
      <c r="E148">
        <v>12.9</v>
      </c>
      <c r="F148" s="13">
        <v>9.8916511395235815</v>
      </c>
      <c r="G148">
        <v>9.91</v>
      </c>
      <c r="H148" s="13">
        <v>1.8348860476418594E-2</v>
      </c>
      <c r="J148" s="9">
        <v>6</v>
      </c>
      <c r="K148" s="9" t="s">
        <v>40</v>
      </c>
      <c r="L148" s="9">
        <v>9.85</v>
      </c>
      <c r="M148" s="9">
        <v>61.2</v>
      </c>
      <c r="N148" s="9">
        <v>31.9</v>
      </c>
      <c r="O148" s="9">
        <v>34.299999999999997</v>
      </c>
      <c r="P148" s="10">
        <v>50.5</v>
      </c>
      <c r="Q148" s="10">
        <v>16.899999999999999</v>
      </c>
      <c r="R148" s="11"/>
      <c r="S148" s="11"/>
      <c r="T148" s="11"/>
    </row>
    <row r="149" spans="1:20">
      <c r="A149">
        <v>64.5</v>
      </c>
      <c r="B149">
        <v>21</v>
      </c>
      <c r="C149">
        <v>33.4</v>
      </c>
      <c r="D149">
        <v>50.5</v>
      </c>
      <c r="E149">
        <v>7.5</v>
      </c>
      <c r="F149" s="13">
        <v>9.8295239763103606</v>
      </c>
      <c r="G149">
        <v>9.67</v>
      </c>
      <c r="H149" s="13">
        <v>-0.15952397631036064</v>
      </c>
      <c r="J149" s="9">
        <v>6</v>
      </c>
      <c r="K149" s="9" t="s">
        <v>41</v>
      </c>
      <c r="L149" s="9">
        <v>9.84</v>
      </c>
      <c r="M149" s="9">
        <v>77.3</v>
      </c>
      <c r="N149" s="9">
        <v>25.7</v>
      </c>
      <c r="O149" s="9">
        <v>34.4</v>
      </c>
      <c r="P149" s="10">
        <v>55.8</v>
      </c>
      <c r="Q149" s="10">
        <v>30.8</v>
      </c>
      <c r="R149" s="11"/>
      <c r="S149" s="11"/>
      <c r="T149" s="11"/>
    </row>
    <row r="150" spans="1:20">
      <c r="A150">
        <v>61.4</v>
      </c>
      <c r="B150">
        <v>29.8</v>
      </c>
      <c r="C150">
        <v>35.200000000000003</v>
      </c>
      <c r="D150">
        <v>46.1</v>
      </c>
      <c r="E150">
        <v>8.9</v>
      </c>
      <c r="F150" s="13">
        <v>10.004225154864601</v>
      </c>
      <c r="G150">
        <v>9.49</v>
      </c>
      <c r="H150" s="13">
        <v>-0.51422515486460085</v>
      </c>
      <c r="J150" s="9">
        <v>6</v>
      </c>
      <c r="K150" s="9" t="s">
        <v>42</v>
      </c>
      <c r="L150" s="9">
        <v>9.59</v>
      </c>
      <c r="M150" s="9">
        <v>58.2</v>
      </c>
      <c r="N150" s="9">
        <v>26.7</v>
      </c>
      <c r="O150" s="9">
        <v>34</v>
      </c>
      <c r="P150" s="9">
        <v>34.200000000000003</v>
      </c>
      <c r="Q150" s="9">
        <v>83.3</v>
      </c>
    </row>
    <row r="151" spans="1:20">
      <c r="A151">
        <v>63.4</v>
      </c>
      <c r="B151">
        <v>26</v>
      </c>
      <c r="C151">
        <v>36.1</v>
      </c>
      <c r="D151">
        <v>66.400000000000006</v>
      </c>
      <c r="E151">
        <v>17.7</v>
      </c>
      <c r="F151" s="13">
        <v>9.9200976355447512</v>
      </c>
      <c r="G151">
        <v>9.8000000000000007</v>
      </c>
      <c r="H151" s="13">
        <v>-0.1200976355447505</v>
      </c>
      <c r="J151" s="9">
        <v>6</v>
      </c>
      <c r="K151" s="9" t="s">
        <v>43</v>
      </c>
      <c r="L151" s="9">
        <v>9.66</v>
      </c>
      <c r="M151" s="9">
        <v>55.5</v>
      </c>
      <c r="N151" s="9">
        <v>15</v>
      </c>
      <c r="O151" s="9">
        <v>33.299999999999997</v>
      </c>
      <c r="P151" s="9">
        <v>35.200000000000003</v>
      </c>
      <c r="Q151" s="9">
        <v>80.8</v>
      </c>
    </row>
    <row r="152" spans="1:20">
      <c r="A152">
        <v>56.5</v>
      </c>
      <c r="B152">
        <v>16.7</v>
      </c>
      <c r="C152">
        <v>35.5</v>
      </c>
      <c r="D152">
        <v>66.3</v>
      </c>
      <c r="E152">
        <v>29.3</v>
      </c>
      <c r="F152" s="13">
        <v>9.9296515079403846</v>
      </c>
      <c r="G152">
        <v>9.75</v>
      </c>
      <c r="H152" s="13">
        <v>-0.17965150794038465</v>
      </c>
      <c r="J152" s="9">
        <v>6</v>
      </c>
      <c r="K152" s="9" t="s">
        <v>44</v>
      </c>
      <c r="L152" s="9">
        <v>9.7899999999999991</v>
      </c>
      <c r="M152" s="9">
        <v>61</v>
      </c>
      <c r="N152" s="9">
        <v>25.4</v>
      </c>
      <c r="O152" s="9">
        <v>34.4</v>
      </c>
      <c r="P152" s="9">
        <v>36.6</v>
      </c>
      <c r="Q152" s="9">
        <v>81.400000000000006</v>
      </c>
    </row>
    <row r="153" spans="1:20">
      <c r="A153">
        <v>53.1</v>
      </c>
      <c r="B153">
        <v>13.6</v>
      </c>
      <c r="C153">
        <v>34.700000000000003</v>
      </c>
      <c r="D153">
        <v>63.7</v>
      </c>
      <c r="E153">
        <v>21.1</v>
      </c>
      <c r="F153" s="13">
        <v>9.9395992390004864</v>
      </c>
      <c r="G153">
        <v>10.01</v>
      </c>
      <c r="H153" s="13">
        <v>7.0400760999513423E-2</v>
      </c>
      <c r="J153" s="9">
        <v>6</v>
      </c>
      <c r="K153" s="9" t="s">
        <v>45</v>
      </c>
      <c r="L153" s="9">
        <v>9.81</v>
      </c>
      <c r="M153" s="9">
        <v>55.2</v>
      </c>
      <c r="N153" s="9">
        <v>13.2</v>
      </c>
      <c r="O153" s="9">
        <v>33</v>
      </c>
      <c r="P153" s="9">
        <v>33.700000000000003</v>
      </c>
      <c r="Q153" s="9">
        <v>82</v>
      </c>
    </row>
    <row r="154" spans="1:20">
      <c r="A154">
        <v>60.4</v>
      </c>
      <c r="B154">
        <v>18.399999999999999</v>
      </c>
      <c r="C154">
        <v>33.799999999999997</v>
      </c>
      <c r="D154">
        <v>61.2</v>
      </c>
      <c r="E154">
        <v>19.600000000000001</v>
      </c>
      <c r="F154" s="13">
        <v>9.8550984879967274</v>
      </c>
      <c r="G154">
        <v>9.81</v>
      </c>
      <c r="H154" s="13">
        <v>-4.5098487996726888E-2</v>
      </c>
      <c r="J154" s="9">
        <v>6</v>
      </c>
      <c r="K154" s="9" t="s">
        <v>47</v>
      </c>
      <c r="L154" s="9">
        <v>9.7799999999999994</v>
      </c>
      <c r="M154" s="9">
        <v>49.8</v>
      </c>
      <c r="N154" s="9">
        <v>8.4</v>
      </c>
      <c r="O154" s="9">
        <v>33.700000000000003</v>
      </c>
      <c r="P154" s="9">
        <v>32.200000000000003</v>
      </c>
      <c r="Q154" s="9">
        <v>81.599999999999994</v>
      </c>
    </row>
    <row r="155" spans="1:20">
      <c r="A155">
        <v>62.2</v>
      </c>
      <c r="B155">
        <v>20.100000000000001</v>
      </c>
      <c r="C155">
        <v>34.9</v>
      </c>
      <c r="D155">
        <v>65.099999999999994</v>
      </c>
      <c r="E155">
        <v>18.899999999999999</v>
      </c>
      <c r="F155" s="13">
        <v>9.8612699414903631</v>
      </c>
      <c r="G155">
        <v>9.73</v>
      </c>
      <c r="H155" s="13">
        <v>-0.13126994149036264</v>
      </c>
      <c r="J155" s="9">
        <v>6</v>
      </c>
      <c r="K155" s="9" t="s">
        <v>49</v>
      </c>
      <c r="L155" s="9">
        <v>9.77</v>
      </c>
      <c r="M155" s="9">
        <v>46.9</v>
      </c>
      <c r="N155" s="9">
        <v>14.4</v>
      </c>
      <c r="O155" s="9">
        <v>34.200000000000003</v>
      </c>
      <c r="P155" s="9">
        <v>32.200000000000003</v>
      </c>
      <c r="Q155" s="9">
        <v>81.7</v>
      </c>
    </row>
    <row r="156" spans="1:20">
      <c r="A156">
        <v>58.6</v>
      </c>
      <c r="B156">
        <v>17.600000000000001</v>
      </c>
      <c r="C156">
        <v>36.1</v>
      </c>
      <c r="D156">
        <v>58.7</v>
      </c>
      <c r="E156">
        <v>22.5</v>
      </c>
      <c r="F156" s="13">
        <v>9.9374015973663461</v>
      </c>
      <c r="G156">
        <v>10.09</v>
      </c>
      <c r="H156" s="13">
        <v>0.15259840263365376</v>
      </c>
      <c r="J156" s="9">
        <v>6</v>
      </c>
      <c r="K156" s="9" t="s">
        <v>51</v>
      </c>
      <c r="L156" s="9">
        <v>9.98</v>
      </c>
      <c r="M156" s="9">
        <v>53.1</v>
      </c>
      <c r="N156" s="9">
        <v>9.5</v>
      </c>
      <c r="O156" s="9">
        <v>35.200000000000003</v>
      </c>
      <c r="P156" s="9">
        <v>34.1</v>
      </c>
      <c r="Q156" s="9">
        <v>80.400000000000006</v>
      </c>
    </row>
    <row r="157" spans="1:20">
      <c r="A157">
        <v>46.8</v>
      </c>
      <c r="B157">
        <v>12.6</v>
      </c>
      <c r="C157">
        <v>35.5</v>
      </c>
      <c r="D157">
        <v>57</v>
      </c>
      <c r="E157">
        <v>27.4</v>
      </c>
      <c r="F157" s="13">
        <v>10.059419962528567</v>
      </c>
      <c r="G157">
        <v>10.29</v>
      </c>
      <c r="H157" s="13">
        <v>0.23058003747143196</v>
      </c>
      <c r="J157" s="9">
        <v>6</v>
      </c>
      <c r="K157" s="9" t="s">
        <v>53</v>
      </c>
      <c r="L157" s="9">
        <v>10.02</v>
      </c>
      <c r="M157" s="9">
        <v>48.2</v>
      </c>
      <c r="N157" s="9">
        <v>10.4</v>
      </c>
      <c r="O157" s="9">
        <v>34</v>
      </c>
      <c r="P157" s="9">
        <v>33.9</v>
      </c>
      <c r="Q157" s="9">
        <v>80.900000000000006</v>
      </c>
    </row>
    <row r="158" spans="1:20">
      <c r="A158">
        <v>54</v>
      </c>
      <c r="B158">
        <v>15.9</v>
      </c>
      <c r="C158">
        <v>34.700000000000003</v>
      </c>
      <c r="D158">
        <v>55.1</v>
      </c>
      <c r="E158">
        <v>14.7</v>
      </c>
      <c r="F158" s="13">
        <v>9.9644445183990342</v>
      </c>
      <c r="G158">
        <v>10.17</v>
      </c>
      <c r="H158" s="13">
        <v>0.20555548160096571</v>
      </c>
      <c r="J158" s="9">
        <v>6</v>
      </c>
      <c r="K158" s="9" t="s">
        <v>55</v>
      </c>
      <c r="L158" s="9">
        <v>9.35</v>
      </c>
      <c r="M158" s="9">
        <v>69.900000000000006</v>
      </c>
      <c r="N158" s="9">
        <v>22</v>
      </c>
      <c r="O158" s="9">
        <v>33.5</v>
      </c>
      <c r="P158" s="9">
        <v>38.6</v>
      </c>
      <c r="Q158" s="9">
        <v>82.9</v>
      </c>
    </row>
    <row r="159" spans="1:20">
      <c r="A159">
        <v>54.7</v>
      </c>
      <c r="B159">
        <v>21.4</v>
      </c>
      <c r="C159">
        <v>37.200000000000003</v>
      </c>
      <c r="D159">
        <v>50.3</v>
      </c>
      <c r="E159">
        <v>11.8</v>
      </c>
      <c r="F159" s="13">
        <v>10.072765516966442</v>
      </c>
      <c r="G159">
        <v>10.14</v>
      </c>
      <c r="H159" s="13">
        <v>6.7234483033558945E-2</v>
      </c>
      <c r="J159" s="9">
        <v>6</v>
      </c>
      <c r="K159" s="9" t="s">
        <v>57</v>
      </c>
      <c r="L159" s="9">
        <v>9.6199999999999992</v>
      </c>
      <c r="M159" s="9">
        <v>71.8</v>
      </c>
      <c r="N159" s="9">
        <v>31.9</v>
      </c>
      <c r="O159" s="9">
        <v>33.5</v>
      </c>
      <c r="P159" s="9">
        <v>39.4</v>
      </c>
      <c r="Q159" s="9">
        <v>81.900000000000006</v>
      </c>
    </row>
    <row r="160" spans="1:20">
      <c r="A160">
        <v>53.8</v>
      </c>
      <c r="B160">
        <v>17.899999999999999</v>
      </c>
      <c r="C160">
        <v>36</v>
      </c>
      <c r="D160">
        <v>58.1</v>
      </c>
      <c r="E160">
        <v>15.2</v>
      </c>
      <c r="F160" s="13">
        <v>10.009817229919751</v>
      </c>
      <c r="G160">
        <v>9.94</v>
      </c>
      <c r="H160" s="13">
        <v>-6.9817229919751256E-2</v>
      </c>
      <c r="J160" s="9">
        <v>6</v>
      </c>
      <c r="K160" s="9" t="s">
        <v>58</v>
      </c>
      <c r="L160" s="9">
        <v>9.94</v>
      </c>
      <c r="M160" s="9">
        <v>66.599999999999994</v>
      </c>
      <c r="N160" s="9">
        <v>23.7</v>
      </c>
      <c r="O160" s="9">
        <v>33.9</v>
      </c>
      <c r="P160" s="9">
        <v>36</v>
      </c>
      <c r="Q160" s="9">
        <v>81</v>
      </c>
    </row>
    <row r="161" spans="1:17">
      <c r="A161">
        <v>55.5</v>
      </c>
      <c r="B161">
        <v>20.399999999999999</v>
      </c>
      <c r="C161">
        <v>35</v>
      </c>
      <c r="D161">
        <v>57.8</v>
      </c>
      <c r="E161">
        <v>23.5</v>
      </c>
      <c r="F161" s="13">
        <v>9.9820350976945917</v>
      </c>
      <c r="G161">
        <v>9.82</v>
      </c>
      <c r="H161" s="13">
        <v>-0.16203509769459146</v>
      </c>
      <c r="J161" s="9">
        <v>6</v>
      </c>
      <c r="K161" s="9" t="s">
        <v>60</v>
      </c>
      <c r="L161" s="9">
        <v>10.07</v>
      </c>
      <c r="M161" s="9">
        <v>65.400000000000006</v>
      </c>
      <c r="N161" s="9">
        <v>21.9</v>
      </c>
      <c r="O161" s="9">
        <v>34.200000000000003</v>
      </c>
      <c r="P161" s="9">
        <v>35.700000000000003</v>
      </c>
      <c r="Q161" s="9">
        <v>79.900000000000006</v>
      </c>
    </row>
    <row r="162" spans="1:17">
      <c r="A162">
        <v>66.8</v>
      </c>
      <c r="B162">
        <v>23.5</v>
      </c>
      <c r="C162">
        <v>34.4</v>
      </c>
      <c r="D162">
        <v>55.6</v>
      </c>
      <c r="E162">
        <v>15.6</v>
      </c>
      <c r="F162" s="13">
        <v>9.8302473774670247</v>
      </c>
      <c r="G162">
        <v>10.26</v>
      </c>
      <c r="H162" s="13">
        <v>0.42975262253297508</v>
      </c>
      <c r="J162" s="9">
        <v>6</v>
      </c>
      <c r="K162" s="9" t="s">
        <v>66</v>
      </c>
      <c r="L162" s="9">
        <v>9.94</v>
      </c>
      <c r="M162" s="9">
        <v>67.8</v>
      </c>
      <c r="N162" s="9">
        <v>18.7</v>
      </c>
      <c r="O162" s="9">
        <v>33.299999999999997</v>
      </c>
      <c r="P162" s="9">
        <v>31.8</v>
      </c>
      <c r="Q162" s="9">
        <v>80.8</v>
      </c>
    </row>
    <row r="163" spans="1:17">
      <c r="A163">
        <v>57.9</v>
      </c>
      <c r="B163">
        <v>35.200000000000003</v>
      </c>
      <c r="C163">
        <v>33.4</v>
      </c>
      <c r="D163">
        <v>45.2</v>
      </c>
      <c r="E163">
        <v>12.5</v>
      </c>
      <c r="F163" s="13">
        <v>10.059642166574484</v>
      </c>
      <c r="G163">
        <v>10.07</v>
      </c>
      <c r="H163" s="13">
        <v>1.0357833425516105E-2</v>
      </c>
      <c r="J163" s="9">
        <v>6</v>
      </c>
      <c r="K163" s="9" t="s">
        <v>67</v>
      </c>
      <c r="L163" s="9">
        <v>9.5500000000000007</v>
      </c>
      <c r="M163" s="9">
        <v>64</v>
      </c>
      <c r="N163" s="9">
        <v>29.4</v>
      </c>
      <c r="O163" s="9">
        <v>34.6</v>
      </c>
      <c r="P163" s="9">
        <v>36.299999999999997</v>
      </c>
      <c r="Q163" s="9">
        <v>82.6</v>
      </c>
    </row>
    <row r="164" spans="1:17">
      <c r="A164">
        <v>56.2</v>
      </c>
      <c r="B164">
        <v>18</v>
      </c>
      <c r="C164">
        <v>34.5</v>
      </c>
      <c r="D164">
        <v>50.9</v>
      </c>
      <c r="E164">
        <v>14.3</v>
      </c>
      <c r="F164" s="13">
        <v>9.9538705735340862</v>
      </c>
      <c r="G164">
        <v>9.92</v>
      </c>
      <c r="H164" s="13">
        <v>-3.387057353408629E-2</v>
      </c>
      <c r="J164" s="9">
        <v>6</v>
      </c>
      <c r="K164" s="9" t="s">
        <v>69</v>
      </c>
      <c r="L164" s="9">
        <v>9.91</v>
      </c>
      <c r="M164" s="9">
        <v>64.8</v>
      </c>
      <c r="N164" s="9">
        <v>25.5</v>
      </c>
      <c r="O164" s="9">
        <v>34.9</v>
      </c>
      <c r="P164" s="9">
        <v>35.9</v>
      </c>
      <c r="Q164" s="9">
        <v>80.400000000000006</v>
      </c>
    </row>
    <row r="165" spans="1:17">
      <c r="A165">
        <v>55.2</v>
      </c>
      <c r="B165">
        <v>19.5</v>
      </c>
      <c r="C165">
        <v>33.6</v>
      </c>
      <c r="D165">
        <v>49.6</v>
      </c>
      <c r="E165">
        <v>23.5</v>
      </c>
      <c r="F165" s="13">
        <v>9.9624200461385062</v>
      </c>
      <c r="G165">
        <v>9.9600000000000009</v>
      </c>
      <c r="H165" s="13">
        <v>-2.4200461385053273E-3</v>
      </c>
      <c r="J165" s="9">
        <v>6</v>
      </c>
      <c r="K165" s="9" t="s">
        <v>71</v>
      </c>
      <c r="L165" s="9">
        <v>9.85</v>
      </c>
      <c r="M165" s="9">
        <v>59.4</v>
      </c>
      <c r="N165" s="9">
        <v>16.7</v>
      </c>
      <c r="O165" s="9">
        <v>34.700000000000003</v>
      </c>
      <c r="P165" s="9">
        <v>35.299999999999997</v>
      </c>
      <c r="Q165" s="9">
        <v>82.1</v>
      </c>
    </row>
    <row r="166" spans="1:17">
      <c r="A166">
        <v>54.4</v>
      </c>
      <c r="B166">
        <v>27.3</v>
      </c>
      <c r="C166">
        <v>36</v>
      </c>
      <c r="D166">
        <v>49.4</v>
      </c>
      <c r="E166">
        <v>19.600000000000001</v>
      </c>
      <c r="F166" s="13">
        <v>10.099845776349264</v>
      </c>
      <c r="G166">
        <v>10.25</v>
      </c>
      <c r="H166" s="13">
        <v>0.15015422365073583</v>
      </c>
      <c r="J166" s="9">
        <v>6</v>
      </c>
      <c r="K166" s="9" t="s">
        <v>72</v>
      </c>
      <c r="L166" s="9">
        <v>10.02</v>
      </c>
      <c r="M166" s="9">
        <v>55.8</v>
      </c>
      <c r="N166" s="9">
        <v>14.5</v>
      </c>
      <c r="O166" s="9">
        <v>33.4</v>
      </c>
      <c r="P166" s="9">
        <v>35.799999999999997</v>
      </c>
      <c r="Q166" s="9">
        <v>80.599999999999994</v>
      </c>
    </row>
    <row r="167" spans="1:17">
      <c r="A167">
        <v>54.7</v>
      </c>
      <c r="B167">
        <v>35.9</v>
      </c>
      <c r="C167">
        <v>35.6</v>
      </c>
      <c r="D167">
        <v>53.1</v>
      </c>
      <c r="E167">
        <v>16.100000000000001</v>
      </c>
      <c r="F167" s="13">
        <v>10.150061971517085</v>
      </c>
      <c r="G167">
        <v>10.23</v>
      </c>
      <c r="H167" s="13">
        <v>7.9938028482915868E-2</v>
      </c>
      <c r="J167" s="9">
        <v>6</v>
      </c>
      <c r="K167" s="9" t="s">
        <v>74</v>
      </c>
      <c r="L167" s="9">
        <v>9.94</v>
      </c>
      <c r="M167" s="9">
        <v>64.400000000000006</v>
      </c>
      <c r="N167" s="9">
        <v>15.4</v>
      </c>
      <c r="O167" s="9">
        <v>34</v>
      </c>
      <c r="P167" s="9">
        <v>35.1</v>
      </c>
      <c r="Q167" s="9">
        <v>80.2</v>
      </c>
    </row>
    <row r="168" spans="1:17">
      <c r="A168">
        <v>59.2</v>
      </c>
      <c r="B168">
        <v>18.899999999999999</v>
      </c>
      <c r="C168">
        <v>34.299999999999997</v>
      </c>
      <c r="D168">
        <v>65.3</v>
      </c>
      <c r="E168">
        <v>25.8</v>
      </c>
      <c r="F168" s="13">
        <v>9.8806663392728957</v>
      </c>
      <c r="G168">
        <v>10.01</v>
      </c>
      <c r="H168" s="13">
        <v>0.12933366072710406</v>
      </c>
      <c r="J168" s="9">
        <v>6</v>
      </c>
      <c r="K168" s="9" t="s">
        <v>75</v>
      </c>
      <c r="L168" s="9">
        <v>9.89</v>
      </c>
      <c r="M168" s="9">
        <v>61.9</v>
      </c>
      <c r="N168" s="9">
        <v>20.2</v>
      </c>
      <c r="O168" s="9">
        <v>34.5</v>
      </c>
      <c r="P168" s="9">
        <v>33.5</v>
      </c>
      <c r="Q168" s="9">
        <v>81.900000000000006</v>
      </c>
    </row>
    <row r="169" spans="1:17">
      <c r="A169">
        <v>61.5</v>
      </c>
      <c r="B169">
        <v>16.5</v>
      </c>
      <c r="C169">
        <v>31.8</v>
      </c>
      <c r="D169">
        <v>56.8</v>
      </c>
      <c r="E169">
        <v>31.6</v>
      </c>
      <c r="F169" s="13">
        <v>9.7834772125045362</v>
      </c>
      <c r="G169">
        <v>10.1</v>
      </c>
      <c r="H169" s="13">
        <v>0.31652278749546348</v>
      </c>
      <c r="J169" s="9">
        <v>6</v>
      </c>
      <c r="K169" s="9" t="s">
        <v>79</v>
      </c>
      <c r="L169" s="9">
        <v>10.130000000000001</v>
      </c>
      <c r="M169" s="9">
        <v>60.9</v>
      </c>
      <c r="N169" s="9">
        <v>17.100000000000001</v>
      </c>
      <c r="O169" s="9">
        <v>35.5</v>
      </c>
      <c r="P169" s="9">
        <v>32.200000000000003</v>
      </c>
      <c r="Q169" s="9">
        <v>78</v>
      </c>
    </row>
    <row r="170" spans="1:17">
      <c r="A170">
        <v>52.3</v>
      </c>
      <c r="B170">
        <v>14</v>
      </c>
      <c r="C170">
        <v>34.5</v>
      </c>
      <c r="D170">
        <v>54.7</v>
      </c>
      <c r="E170">
        <v>19.7</v>
      </c>
      <c r="F170" s="13">
        <v>9.969729465986191</v>
      </c>
      <c r="G170">
        <v>10.36</v>
      </c>
      <c r="H170" s="13">
        <v>0.3902705340138084</v>
      </c>
      <c r="J170" s="9">
        <v>6</v>
      </c>
      <c r="K170" s="9" t="s">
        <v>80</v>
      </c>
      <c r="L170" s="9">
        <v>10.34</v>
      </c>
      <c r="M170" s="9">
        <v>49.8</v>
      </c>
      <c r="N170" s="9">
        <v>12.8</v>
      </c>
      <c r="O170" s="9">
        <v>35</v>
      </c>
      <c r="P170" s="9">
        <v>33.799999999999997</v>
      </c>
      <c r="Q170" s="9">
        <v>78.5</v>
      </c>
    </row>
    <row r="171" spans="1:17">
      <c r="A171">
        <v>55.6</v>
      </c>
      <c r="B171">
        <v>18</v>
      </c>
      <c r="C171">
        <v>35.1</v>
      </c>
      <c r="D171">
        <v>51.2</v>
      </c>
      <c r="E171">
        <v>18.8</v>
      </c>
      <c r="F171" s="13">
        <v>9.9770796488688234</v>
      </c>
      <c r="G171">
        <v>10.51</v>
      </c>
      <c r="H171" s="13">
        <v>0.53292035113117642</v>
      </c>
      <c r="J171" s="9">
        <v>6</v>
      </c>
      <c r="K171" s="9" t="s">
        <v>81</v>
      </c>
      <c r="L171" s="9">
        <v>10.18</v>
      </c>
      <c r="M171" s="9">
        <v>56.6</v>
      </c>
      <c r="N171" s="9">
        <v>15.2</v>
      </c>
      <c r="O171" s="9">
        <v>34.5</v>
      </c>
      <c r="P171" s="9">
        <v>33.6</v>
      </c>
      <c r="Q171" s="9">
        <v>80.5</v>
      </c>
    </row>
    <row r="172" spans="1:17">
      <c r="A172">
        <v>55.8</v>
      </c>
      <c r="B172">
        <v>28.1</v>
      </c>
      <c r="C172">
        <v>34.4</v>
      </c>
      <c r="D172">
        <v>54.7</v>
      </c>
      <c r="E172">
        <v>24.2</v>
      </c>
      <c r="F172" s="13">
        <v>10.034842962409732</v>
      </c>
      <c r="G172">
        <v>10.210000000000001</v>
      </c>
      <c r="H172" s="13">
        <v>0.17515703759026913</v>
      </c>
      <c r="J172" s="9">
        <v>6</v>
      </c>
      <c r="K172" s="9" t="s">
        <v>82</v>
      </c>
      <c r="L172" s="9">
        <v>10.220000000000001</v>
      </c>
      <c r="M172" s="9">
        <v>56.8</v>
      </c>
      <c r="N172" s="9">
        <v>22.6</v>
      </c>
      <c r="O172" s="9">
        <v>36.700000000000003</v>
      </c>
      <c r="P172" s="9">
        <v>35.9</v>
      </c>
      <c r="Q172" s="9">
        <v>76.599999999999994</v>
      </c>
    </row>
    <row r="173" spans="1:17">
      <c r="A173">
        <v>62</v>
      </c>
      <c r="B173">
        <v>31.1</v>
      </c>
      <c r="C173">
        <v>35</v>
      </c>
      <c r="D173">
        <v>52.3</v>
      </c>
      <c r="E173">
        <v>36.1</v>
      </c>
      <c r="F173" s="13">
        <v>9.9886935066152613</v>
      </c>
      <c r="G173">
        <v>10.32</v>
      </c>
      <c r="H173" s="13">
        <v>0.33130649338473894</v>
      </c>
      <c r="J173" s="9">
        <v>6</v>
      </c>
      <c r="K173" s="9" t="s">
        <v>83</v>
      </c>
      <c r="L173" s="9">
        <v>10</v>
      </c>
      <c r="M173" s="9">
        <v>56.3</v>
      </c>
      <c r="N173" s="9">
        <v>15.3</v>
      </c>
      <c r="O173" s="9">
        <v>34.700000000000003</v>
      </c>
      <c r="P173" s="9">
        <v>34.6</v>
      </c>
      <c r="Q173" s="9">
        <v>77.400000000000006</v>
      </c>
    </row>
    <row r="174" spans="1:17">
      <c r="A174">
        <v>64.900000000000006</v>
      </c>
      <c r="B174">
        <v>29.1</v>
      </c>
      <c r="C174">
        <v>35.1</v>
      </c>
      <c r="D174">
        <v>58.3</v>
      </c>
      <c r="E174">
        <v>22.1</v>
      </c>
      <c r="F174" s="13">
        <v>9.9174264188370636</v>
      </c>
      <c r="G174">
        <v>10.199999999999999</v>
      </c>
      <c r="H174" s="13">
        <v>0.28257358116293574</v>
      </c>
      <c r="J174" s="9">
        <v>6</v>
      </c>
      <c r="K174" s="9" t="s">
        <v>84</v>
      </c>
      <c r="L174" s="9">
        <v>9.68</v>
      </c>
      <c r="M174" s="9">
        <v>57.1</v>
      </c>
      <c r="N174" s="9">
        <v>21.9</v>
      </c>
      <c r="O174" s="9">
        <v>33.700000000000003</v>
      </c>
      <c r="P174" s="9">
        <v>33.5</v>
      </c>
      <c r="Q174" s="9">
        <v>82.8</v>
      </c>
    </row>
    <row r="175" spans="1:17">
      <c r="A175">
        <v>55.9</v>
      </c>
      <c r="B175">
        <v>15.7</v>
      </c>
      <c r="C175">
        <v>34.9</v>
      </c>
      <c r="D175">
        <v>61.2</v>
      </c>
      <c r="E175">
        <v>17.7</v>
      </c>
      <c r="F175" s="13">
        <v>9.9261250026719523</v>
      </c>
      <c r="G175">
        <v>9.76</v>
      </c>
      <c r="H175" s="13">
        <v>-0.16612500267195252</v>
      </c>
      <c r="J175" s="9">
        <v>6</v>
      </c>
      <c r="K175" s="9" t="s">
        <v>85</v>
      </c>
      <c r="L175" s="9">
        <v>9.92</v>
      </c>
      <c r="M175" s="9">
        <v>70.8</v>
      </c>
      <c r="N175" s="9">
        <v>19.600000000000001</v>
      </c>
      <c r="O175" s="9">
        <v>34.5</v>
      </c>
      <c r="P175" s="9">
        <v>37.9</v>
      </c>
      <c r="Q175" s="9">
        <v>84.3</v>
      </c>
    </row>
    <row r="176" spans="1:17">
      <c r="A176">
        <v>49</v>
      </c>
      <c r="B176">
        <v>16</v>
      </c>
      <c r="C176">
        <v>34.6</v>
      </c>
      <c r="D176">
        <v>51.5</v>
      </c>
      <c r="E176">
        <v>17.3</v>
      </c>
      <c r="F176" s="13">
        <v>10.045107114682599</v>
      </c>
      <c r="G176">
        <v>10.26</v>
      </c>
      <c r="H176" s="13">
        <v>0.21489288531740058</v>
      </c>
      <c r="J176" s="9">
        <v>6</v>
      </c>
      <c r="K176" s="9" t="s">
        <v>86</v>
      </c>
      <c r="L176" s="9">
        <v>10.02</v>
      </c>
      <c r="M176" s="9">
        <v>63.7</v>
      </c>
      <c r="N176" s="9">
        <v>33.1</v>
      </c>
      <c r="O176" s="9">
        <v>32.299999999999997</v>
      </c>
      <c r="P176" s="9">
        <v>37.1</v>
      </c>
      <c r="Q176" s="9">
        <v>80</v>
      </c>
    </row>
    <row r="177" spans="1:17">
      <c r="A177">
        <v>57.8</v>
      </c>
      <c r="B177">
        <v>28.9</v>
      </c>
      <c r="C177">
        <v>34.4</v>
      </c>
      <c r="D177">
        <v>53.4</v>
      </c>
      <c r="E177">
        <v>19.899999999999999</v>
      </c>
      <c r="F177" s="13">
        <v>10.014629346632654</v>
      </c>
      <c r="G177">
        <v>9.89</v>
      </c>
      <c r="H177" s="13">
        <v>-0.12462934663265379</v>
      </c>
      <c r="J177" s="9">
        <v>6</v>
      </c>
      <c r="K177" s="9" t="s">
        <v>88</v>
      </c>
      <c r="L177" s="9">
        <v>9.9499999999999993</v>
      </c>
      <c r="M177" s="9">
        <v>57.3</v>
      </c>
      <c r="N177" s="9">
        <v>18.600000000000001</v>
      </c>
      <c r="O177" s="9">
        <v>33.299999999999997</v>
      </c>
      <c r="P177" s="9">
        <v>37.4</v>
      </c>
      <c r="Q177" s="9">
        <v>79.8</v>
      </c>
    </row>
    <row r="178" spans="1:17">
      <c r="A178">
        <v>49.1</v>
      </c>
      <c r="B178">
        <v>11.7</v>
      </c>
      <c r="C178">
        <v>32.700000000000003</v>
      </c>
      <c r="D178">
        <v>55.3</v>
      </c>
      <c r="E178">
        <v>22.5</v>
      </c>
      <c r="F178" s="13">
        <v>9.9521540207289068</v>
      </c>
      <c r="G178">
        <v>10.210000000000001</v>
      </c>
      <c r="H178" s="13">
        <v>0.25784597927109409</v>
      </c>
      <c r="J178" s="9">
        <v>6</v>
      </c>
      <c r="K178" s="9" t="s">
        <v>89</v>
      </c>
      <c r="L178" s="9">
        <v>10.199999999999999</v>
      </c>
      <c r="M178" s="9">
        <v>57</v>
      </c>
      <c r="N178" s="9">
        <v>18.2</v>
      </c>
      <c r="O178" s="9">
        <v>35.299999999999997</v>
      </c>
      <c r="P178" s="9">
        <v>33.6</v>
      </c>
      <c r="Q178" s="9">
        <v>82.7</v>
      </c>
    </row>
    <row r="179" spans="1:17">
      <c r="A179">
        <v>61.1</v>
      </c>
      <c r="B179">
        <v>22.2</v>
      </c>
      <c r="C179">
        <v>32.200000000000003</v>
      </c>
      <c r="D179">
        <v>58.5</v>
      </c>
      <c r="E179">
        <v>30.1</v>
      </c>
      <c r="F179" s="13">
        <v>9.8437465137994717</v>
      </c>
      <c r="G179">
        <v>9.49</v>
      </c>
      <c r="H179" s="13">
        <v>-0.35374651379947153</v>
      </c>
      <c r="J179" s="9">
        <v>6</v>
      </c>
      <c r="K179" s="9" t="s">
        <v>90</v>
      </c>
      <c r="L179" s="9">
        <v>10.19</v>
      </c>
      <c r="M179" s="9">
        <v>55.1</v>
      </c>
      <c r="N179" s="9">
        <v>24.8</v>
      </c>
      <c r="O179" s="9">
        <v>35.299999999999997</v>
      </c>
      <c r="P179" s="9">
        <v>32.799999999999997</v>
      </c>
      <c r="Q179" s="9">
        <v>74.5</v>
      </c>
    </row>
    <row r="180" spans="1:17">
      <c r="A180">
        <v>62.5</v>
      </c>
      <c r="B180">
        <v>21.7</v>
      </c>
      <c r="C180">
        <v>33.5</v>
      </c>
      <c r="D180">
        <v>63.8</v>
      </c>
      <c r="E180">
        <v>26.5</v>
      </c>
      <c r="F180" s="13">
        <v>9.8389710059064566</v>
      </c>
      <c r="G180">
        <v>9.6300000000000008</v>
      </c>
      <c r="H180" s="13">
        <v>-0.20897100590645579</v>
      </c>
      <c r="J180" s="9">
        <v>6</v>
      </c>
      <c r="K180" s="9" t="s">
        <v>91</v>
      </c>
      <c r="L180" s="9">
        <v>10.33</v>
      </c>
      <c r="M180" s="9">
        <v>54.1</v>
      </c>
      <c r="N180" s="9">
        <v>33.700000000000003</v>
      </c>
      <c r="O180" s="9">
        <v>34.200000000000003</v>
      </c>
      <c r="P180" s="9">
        <v>35.5</v>
      </c>
      <c r="Q180" s="9">
        <v>78.3</v>
      </c>
    </row>
    <row r="181" spans="1:17">
      <c r="A181">
        <v>64.400000000000006</v>
      </c>
      <c r="B181">
        <v>22.9</v>
      </c>
      <c r="C181">
        <v>33.1</v>
      </c>
      <c r="D181">
        <v>51.9</v>
      </c>
      <c r="E181">
        <v>21.7</v>
      </c>
      <c r="F181" s="13">
        <v>9.8371199896483308</v>
      </c>
      <c r="G181">
        <v>10.01</v>
      </c>
      <c r="H181" s="13">
        <v>0.172880010351669</v>
      </c>
      <c r="J181" s="9">
        <v>6</v>
      </c>
      <c r="K181" s="9" t="s">
        <v>92</v>
      </c>
      <c r="L181" s="9">
        <v>10.029999999999999</v>
      </c>
      <c r="M181" s="9">
        <v>61.4</v>
      </c>
      <c r="N181" s="9">
        <v>18.3</v>
      </c>
      <c r="O181" s="9">
        <v>33.299999999999997</v>
      </c>
      <c r="P181" s="9">
        <v>35.299999999999997</v>
      </c>
      <c r="Q181" s="9">
        <v>79</v>
      </c>
    </row>
    <row r="182" spans="1:17">
      <c r="A182">
        <v>61.2</v>
      </c>
      <c r="B182">
        <v>31.9</v>
      </c>
      <c r="C182">
        <v>34.299999999999997</v>
      </c>
      <c r="D182">
        <v>50.5</v>
      </c>
      <c r="E182">
        <v>16.899999999999999</v>
      </c>
      <c r="F182" s="13">
        <v>9.993362754884906</v>
      </c>
      <c r="G182">
        <v>9.85</v>
      </c>
      <c r="H182" s="13">
        <v>-0.14336275488490635</v>
      </c>
      <c r="J182" s="9">
        <v>6</v>
      </c>
      <c r="K182" s="9" t="s">
        <v>93</v>
      </c>
      <c r="L182" s="9">
        <v>9.89</v>
      </c>
      <c r="M182" s="9">
        <v>66.099999999999994</v>
      </c>
      <c r="N182" s="9">
        <v>15.5</v>
      </c>
      <c r="O182" s="9">
        <v>30.2</v>
      </c>
      <c r="P182" s="9">
        <v>31.6</v>
      </c>
      <c r="Q182" s="9">
        <v>76.900000000000006</v>
      </c>
    </row>
    <row r="183" spans="1:17">
      <c r="A183">
        <v>77.3</v>
      </c>
      <c r="B183">
        <v>25.7</v>
      </c>
      <c r="C183">
        <v>34.4</v>
      </c>
      <c r="D183">
        <v>55.8</v>
      </c>
      <c r="E183">
        <v>30.8</v>
      </c>
      <c r="F183" s="13">
        <v>9.6930540726575973</v>
      </c>
      <c r="G183">
        <v>9.84</v>
      </c>
      <c r="H183" s="13">
        <v>0.14694592734240253</v>
      </c>
      <c r="J183" s="9">
        <v>6</v>
      </c>
      <c r="K183" s="9" t="s">
        <v>94</v>
      </c>
      <c r="L183" s="9">
        <v>10.35</v>
      </c>
      <c r="M183" s="9">
        <v>55.4</v>
      </c>
      <c r="N183" s="9">
        <v>19.3</v>
      </c>
      <c r="O183" s="9">
        <v>34.299999999999997</v>
      </c>
      <c r="P183" s="9">
        <v>36.5</v>
      </c>
      <c r="Q183" s="9">
        <v>82.3</v>
      </c>
    </row>
    <row r="184" spans="1:17">
      <c r="A184">
        <v>58.2</v>
      </c>
      <c r="B184">
        <v>26.7</v>
      </c>
      <c r="C184">
        <v>34</v>
      </c>
      <c r="D184">
        <v>34.200000000000003</v>
      </c>
      <c r="E184">
        <v>83.3</v>
      </c>
      <c r="F184" s="13">
        <v>10.024806786441943</v>
      </c>
      <c r="G184">
        <v>9.59</v>
      </c>
      <c r="H184" s="13">
        <v>-0.43480678644194271</v>
      </c>
      <c r="J184" s="9">
        <v>6</v>
      </c>
      <c r="K184" s="9" t="s">
        <v>95</v>
      </c>
      <c r="L184" s="9">
        <v>10.42</v>
      </c>
      <c r="M184" s="9">
        <v>58.9</v>
      </c>
      <c r="N184" s="9">
        <v>26.2</v>
      </c>
      <c r="O184" s="9">
        <v>36.4</v>
      </c>
      <c r="P184" s="9">
        <v>39.1</v>
      </c>
      <c r="Q184" s="9">
        <v>83.3</v>
      </c>
    </row>
    <row r="185" spans="1:17">
      <c r="A185">
        <v>55.5</v>
      </c>
      <c r="B185">
        <v>15</v>
      </c>
      <c r="C185">
        <v>33.299999999999997</v>
      </c>
      <c r="D185">
        <v>35.200000000000003</v>
      </c>
      <c r="E185">
        <v>80.8</v>
      </c>
      <c r="F185" s="13">
        <v>9.9462699343952465</v>
      </c>
      <c r="G185">
        <v>9.66</v>
      </c>
      <c r="H185" s="13">
        <v>-0.28626993439524639</v>
      </c>
      <c r="J185" s="9">
        <v>6</v>
      </c>
      <c r="K185" s="9" t="s">
        <v>96</v>
      </c>
      <c r="L185" s="9">
        <v>10.17</v>
      </c>
      <c r="M185" s="9">
        <v>57.7</v>
      </c>
      <c r="N185" s="9">
        <v>26.8</v>
      </c>
      <c r="O185" s="9">
        <v>35.4</v>
      </c>
      <c r="P185" s="9">
        <v>34.6</v>
      </c>
      <c r="Q185" s="9">
        <v>83.1</v>
      </c>
    </row>
    <row r="186" spans="1:17">
      <c r="A186">
        <v>61</v>
      </c>
      <c r="B186">
        <v>25.4</v>
      </c>
      <c r="C186">
        <v>34.4</v>
      </c>
      <c r="D186">
        <v>36.6</v>
      </c>
      <c r="E186">
        <v>81.400000000000006</v>
      </c>
      <c r="F186" s="13">
        <v>9.9767241183940811</v>
      </c>
      <c r="G186">
        <v>9.7899999999999991</v>
      </c>
      <c r="H186" s="13">
        <v>-0.18672411839408198</v>
      </c>
      <c r="J186" s="9">
        <v>6</v>
      </c>
      <c r="K186" s="9" t="s">
        <v>97</v>
      </c>
      <c r="L186" s="9">
        <v>10.3</v>
      </c>
      <c r="M186" s="9">
        <v>62.1</v>
      </c>
      <c r="N186" s="9">
        <v>36.200000000000003</v>
      </c>
      <c r="O186" s="9">
        <v>33.200000000000003</v>
      </c>
      <c r="P186" s="9">
        <v>38.799999999999997</v>
      </c>
      <c r="Q186" s="9">
        <v>83.4</v>
      </c>
    </row>
    <row r="187" spans="1:17">
      <c r="A187">
        <v>55.2</v>
      </c>
      <c r="B187">
        <v>13.2</v>
      </c>
      <c r="C187">
        <v>33</v>
      </c>
      <c r="D187">
        <v>33.700000000000003</v>
      </c>
      <c r="E187">
        <v>82</v>
      </c>
      <c r="F187" s="13">
        <v>9.931434344373443</v>
      </c>
      <c r="G187">
        <v>9.81</v>
      </c>
      <c r="H187" s="13">
        <v>-0.12143434437344247</v>
      </c>
      <c r="J187" s="9">
        <v>6</v>
      </c>
      <c r="K187" s="9" t="s">
        <v>98</v>
      </c>
      <c r="L187" s="9">
        <v>10.25</v>
      </c>
      <c r="M187" s="9">
        <v>65.5</v>
      </c>
      <c r="N187" s="9">
        <v>29.4</v>
      </c>
      <c r="O187" s="9">
        <v>34.1</v>
      </c>
      <c r="P187" s="9">
        <v>38.200000000000003</v>
      </c>
      <c r="Q187" s="9">
        <v>81</v>
      </c>
    </row>
    <row r="188" spans="1:17">
      <c r="A188">
        <v>49.8</v>
      </c>
      <c r="B188">
        <v>8.4</v>
      </c>
      <c r="C188">
        <v>33.700000000000003</v>
      </c>
      <c r="D188">
        <v>32.200000000000003</v>
      </c>
      <c r="E188">
        <v>81.599999999999994</v>
      </c>
      <c r="F188" s="13">
        <v>9.9915392699624093</v>
      </c>
      <c r="G188">
        <v>9.7799999999999994</v>
      </c>
      <c r="H188" s="13">
        <v>-0.2115392699624099</v>
      </c>
      <c r="J188" s="9">
        <v>6</v>
      </c>
      <c r="K188" s="9" t="s">
        <v>99</v>
      </c>
      <c r="L188" s="9">
        <v>9.85</v>
      </c>
      <c r="M188" s="9">
        <v>56.6</v>
      </c>
      <c r="N188" s="9">
        <v>19.3</v>
      </c>
      <c r="O188" s="9">
        <v>34.700000000000003</v>
      </c>
      <c r="P188" s="9">
        <v>36.799999999999997</v>
      </c>
      <c r="Q188" s="9">
        <v>84.2</v>
      </c>
    </row>
    <row r="189" spans="1:17">
      <c r="A189">
        <v>46.9</v>
      </c>
      <c r="B189">
        <v>14.4</v>
      </c>
      <c r="C189">
        <v>34.200000000000003</v>
      </c>
      <c r="D189">
        <v>32.200000000000003</v>
      </c>
      <c r="E189">
        <v>81.7</v>
      </c>
      <c r="F189" s="13">
        <v>10.09774682211207</v>
      </c>
      <c r="G189">
        <v>9.77</v>
      </c>
      <c r="H189" s="13">
        <v>-0.32774682211207029</v>
      </c>
      <c r="J189" s="9">
        <v>6</v>
      </c>
      <c r="K189" s="9" t="s">
        <v>100</v>
      </c>
      <c r="L189" s="9">
        <v>10.130000000000001</v>
      </c>
      <c r="M189" s="9">
        <v>55.1</v>
      </c>
      <c r="N189" s="9">
        <v>19.600000000000001</v>
      </c>
      <c r="O189" s="9">
        <v>34.700000000000003</v>
      </c>
      <c r="P189" s="9">
        <v>38.700000000000003</v>
      </c>
      <c r="Q189" s="9">
        <v>86.1</v>
      </c>
    </row>
    <row r="190" spans="1:17">
      <c r="A190">
        <v>53.1</v>
      </c>
      <c r="B190">
        <v>9.5</v>
      </c>
      <c r="C190">
        <v>35.200000000000003</v>
      </c>
      <c r="D190">
        <v>34.1</v>
      </c>
      <c r="E190">
        <v>80.400000000000006</v>
      </c>
      <c r="F190" s="13">
        <v>9.9846134294448721</v>
      </c>
      <c r="G190">
        <v>9.98</v>
      </c>
      <c r="H190" s="13">
        <v>-4.6134294448716417E-3</v>
      </c>
      <c r="J190" s="9">
        <v>6</v>
      </c>
      <c r="K190" s="9" t="s">
        <v>101</v>
      </c>
      <c r="L190" s="9">
        <v>9.52</v>
      </c>
      <c r="M190" s="9">
        <v>60.1</v>
      </c>
      <c r="N190" s="9">
        <v>24.5</v>
      </c>
      <c r="O190" s="9">
        <v>34.200000000000003</v>
      </c>
      <c r="P190" s="9">
        <v>35.799999999999997</v>
      </c>
      <c r="Q190" s="9">
        <v>89.3</v>
      </c>
    </row>
    <row r="191" spans="1:17">
      <c r="A191">
        <v>48.2</v>
      </c>
      <c r="B191">
        <v>10.4</v>
      </c>
      <c r="C191">
        <v>34</v>
      </c>
      <c r="D191">
        <v>33.9</v>
      </c>
      <c r="E191">
        <v>80.900000000000006</v>
      </c>
      <c r="F191" s="13">
        <v>10.035860516633482</v>
      </c>
      <c r="G191">
        <v>10.02</v>
      </c>
      <c r="H191" s="13">
        <v>-1.5860516633482646E-2</v>
      </c>
      <c r="J191" s="9">
        <v>7</v>
      </c>
      <c r="K191" s="9" t="s">
        <v>33</v>
      </c>
      <c r="L191" s="9">
        <v>10.31</v>
      </c>
      <c r="M191" s="9">
        <v>53.5</v>
      </c>
      <c r="N191" s="9">
        <v>13.5</v>
      </c>
      <c r="O191" s="9">
        <v>32.4</v>
      </c>
      <c r="P191" s="9">
        <v>32.6</v>
      </c>
      <c r="Q191" s="9">
        <v>84.4</v>
      </c>
    </row>
    <row r="192" spans="1:17">
      <c r="A192">
        <v>69.900000000000006</v>
      </c>
      <c r="B192">
        <v>22</v>
      </c>
      <c r="C192">
        <v>33.5</v>
      </c>
      <c r="D192">
        <v>38.6</v>
      </c>
      <c r="E192">
        <v>82.9</v>
      </c>
      <c r="F192" s="13">
        <v>9.7892127562387543</v>
      </c>
      <c r="G192">
        <v>9.35</v>
      </c>
      <c r="H192" s="13">
        <v>-0.43921275623875466</v>
      </c>
      <c r="J192" s="9">
        <v>7</v>
      </c>
      <c r="K192" s="9" t="s">
        <v>36</v>
      </c>
      <c r="L192" s="9">
        <v>9.85</v>
      </c>
      <c r="M192" s="9">
        <v>61.4</v>
      </c>
      <c r="N192" s="9">
        <v>28.4</v>
      </c>
      <c r="O192" s="9">
        <v>33.5</v>
      </c>
      <c r="P192" s="9">
        <v>34.200000000000003</v>
      </c>
      <c r="Q192" s="9">
        <v>84.8</v>
      </c>
    </row>
    <row r="193" spans="1:17">
      <c r="A193">
        <v>71.8</v>
      </c>
      <c r="B193">
        <v>31.9</v>
      </c>
      <c r="C193">
        <v>33.5</v>
      </c>
      <c r="D193">
        <v>39.4</v>
      </c>
      <c r="E193">
        <v>81.900000000000006</v>
      </c>
      <c r="F193" s="13">
        <v>9.8430274245045553</v>
      </c>
      <c r="G193">
        <v>9.6199999999999992</v>
      </c>
      <c r="H193" s="13">
        <v>-0.22302742450455604</v>
      </c>
      <c r="J193" s="9">
        <v>7</v>
      </c>
      <c r="K193" s="9" t="s">
        <v>37</v>
      </c>
      <c r="L193" s="9">
        <v>9.6199999999999992</v>
      </c>
      <c r="M193" s="9">
        <v>63.7</v>
      </c>
      <c r="N193" s="9">
        <v>22.2</v>
      </c>
      <c r="O193" s="9">
        <v>34</v>
      </c>
      <c r="P193" s="9">
        <v>31.4</v>
      </c>
      <c r="Q193" s="9">
        <v>87.1</v>
      </c>
    </row>
    <row r="194" spans="1:17">
      <c r="A194">
        <v>66.599999999999994</v>
      </c>
      <c r="B194">
        <v>23.7</v>
      </c>
      <c r="C194">
        <v>33.9</v>
      </c>
      <c r="D194">
        <v>36</v>
      </c>
      <c r="E194">
        <v>81</v>
      </c>
      <c r="F194" s="13">
        <v>9.8681445340562597</v>
      </c>
      <c r="G194">
        <v>9.94</v>
      </c>
      <c r="H194" s="13">
        <v>7.1855465943739816E-2</v>
      </c>
      <c r="J194" s="9">
        <v>7</v>
      </c>
      <c r="K194" s="9" t="s">
        <v>39</v>
      </c>
      <c r="L194" s="9">
        <v>10.11</v>
      </c>
      <c r="M194" s="9">
        <v>64.099999999999994</v>
      </c>
      <c r="N194" s="9">
        <v>24.4</v>
      </c>
      <c r="O194" s="9">
        <v>32.5</v>
      </c>
      <c r="P194" s="9">
        <v>33.4</v>
      </c>
      <c r="Q194" s="9">
        <v>86</v>
      </c>
    </row>
    <row r="195" spans="1:17">
      <c r="A195">
        <v>65.400000000000006</v>
      </c>
      <c r="B195">
        <v>21.9</v>
      </c>
      <c r="C195">
        <v>34.200000000000003</v>
      </c>
      <c r="D195">
        <v>35.700000000000003</v>
      </c>
      <c r="E195">
        <v>79.900000000000006</v>
      </c>
      <c r="F195" s="13">
        <v>9.8787445629286914</v>
      </c>
      <c r="G195">
        <v>10.07</v>
      </c>
      <c r="H195" s="13">
        <v>0.19125543707130888</v>
      </c>
      <c r="J195" s="9">
        <v>7</v>
      </c>
      <c r="K195" s="9" t="s">
        <v>40</v>
      </c>
      <c r="L195" s="9">
        <v>10.01</v>
      </c>
      <c r="M195" s="9">
        <v>62.9</v>
      </c>
      <c r="N195" s="9">
        <v>32.299999999999997</v>
      </c>
      <c r="O195" s="9">
        <v>33</v>
      </c>
      <c r="P195" s="9">
        <v>37.9</v>
      </c>
      <c r="Q195" s="9">
        <v>85.1</v>
      </c>
    </row>
    <row r="196" spans="1:17">
      <c r="A196">
        <v>67.8</v>
      </c>
      <c r="B196">
        <v>18.7</v>
      </c>
      <c r="C196">
        <v>33.299999999999997</v>
      </c>
      <c r="D196">
        <v>31.8</v>
      </c>
      <c r="E196">
        <v>80.8</v>
      </c>
      <c r="F196" s="13">
        <v>9.8024413513115931</v>
      </c>
      <c r="G196">
        <v>9.94</v>
      </c>
      <c r="H196" s="13">
        <v>0.13755864868840639</v>
      </c>
      <c r="J196" s="9">
        <v>7</v>
      </c>
      <c r="K196" s="9" t="s">
        <v>41</v>
      </c>
      <c r="L196" s="9">
        <v>9.75</v>
      </c>
      <c r="M196" s="9">
        <v>77.900000000000006</v>
      </c>
      <c r="N196" s="9">
        <v>29.1</v>
      </c>
      <c r="O196" s="9">
        <v>33.700000000000003</v>
      </c>
      <c r="P196" s="9">
        <v>37.4</v>
      </c>
      <c r="Q196" s="9">
        <v>87.1</v>
      </c>
    </row>
    <row r="197" spans="1:17">
      <c r="A197">
        <v>64</v>
      </c>
      <c r="B197">
        <v>29.4</v>
      </c>
      <c r="C197">
        <v>34.6</v>
      </c>
      <c r="D197">
        <v>36.299999999999997</v>
      </c>
      <c r="E197">
        <v>82.6</v>
      </c>
      <c r="F197" s="13">
        <v>9.9716820573372491</v>
      </c>
      <c r="G197">
        <v>9.5500000000000007</v>
      </c>
      <c r="H197" s="13">
        <v>-0.42168205733724839</v>
      </c>
      <c r="J197" s="9">
        <v>7</v>
      </c>
      <c r="K197" s="9" t="s">
        <v>42</v>
      </c>
      <c r="L197" s="9">
        <v>9.6199999999999992</v>
      </c>
      <c r="M197" s="9">
        <v>59.8</v>
      </c>
      <c r="N197" s="9">
        <v>27.9</v>
      </c>
      <c r="O197" s="9">
        <v>33.799999999999997</v>
      </c>
      <c r="P197" s="9">
        <v>31.3</v>
      </c>
      <c r="Q197" s="9">
        <v>84.8</v>
      </c>
    </row>
    <row r="198" spans="1:17">
      <c r="A198">
        <v>64.8</v>
      </c>
      <c r="B198">
        <v>25.5</v>
      </c>
      <c r="C198">
        <v>34.9</v>
      </c>
      <c r="D198">
        <v>35.9</v>
      </c>
      <c r="E198">
        <v>80.400000000000006</v>
      </c>
      <c r="F198" s="13">
        <v>9.9349808250456579</v>
      </c>
      <c r="G198">
        <v>9.91</v>
      </c>
      <c r="H198" s="13">
        <v>-2.4980825045657795E-2</v>
      </c>
      <c r="J198" s="9">
        <v>7</v>
      </c>
      <c r="K198" s="9" t="s">
        <v>43</v>
      </c>
      <c r="L198" s="9">
        <v>9.67</v>
      </c>
      <c r="M198" s="9">
        <v>55.7</v>
      </c>
      <c r="N198" s="9">
        <v>17.2</v>
      </c>
      <c r="O198" s="9">
        <v>32.1</v>
      </c>
      <c r="P198" s="9">
        <v>32.200000000000003</v>
      </c>
      <c r="Q198" s="9">
        <v>82.7</v>
      </c>
    </row>
    <row r="199" spans="1:17">
      <c r="A199">
        <v>59.4</v>
      </c>
      <c r="B199">
        <v>16.7</v>
      </c>
      <c r="C199">
        <v>34.700000000000003</v>
      </c>
      <c r="D199">
        <v>35.299999999999997</v>
      </c>
      <c r="E199">
        <v>82.1</v>
      </c>
      <c r="F199" s="13">
        <v>9.9371070131589505</v>
      </c>
      <c r="G199">
        <v>9.85</v>
      </c>
      <c r="H199" s="13">
        <v>-8.7107013158950863E-2</v>
      </c>
      <c r="J199" s="9">
        <v>7</v>
      </c>
      <c r="K199" s="9" t="s">
        <v>44</v>
      </c>
      <c r="L199" s="9">
        <v>9.82</v>
      </c>
      <c r="M199" s="9">
        <v>61.7</v>
      </c>
      <c r="N199" s="9">
        <v>27.6</v>
      </c>
      <c r="O199" s="9">
        <v>33.6</v>
      </c>
      <c r="P199" s="9">
        <v>34.6</v>
      </c>
      <c r="Q199" s="9">
        <v>83.1</v>
      </c>
    </row>
    <row r="200" spans="1:17">
      <c r="A200">
        <v>55.8</v>
      </c>
      <c r="B200">
        <v>14.5</v>
      </c>
      <c r="C200">
        <v>33.4</v>
      </c>
      <c r="D200">
        <v>35.799999999999997</v>
      </c>
      <c r="E200">
        <v>80.599999999999994</v>
      </c>
      <c r="F200" s="13">
        <v>9.9387173350434939</v>
      </c>
      <c r="G200">
        <v>10.02</v>
      </c>
      <c r="H200" s="13">
        <v>8.1282664956505712E-2</v>
      </c>
      <c r="J200" s="9">
        <v>7</v>
      </c>
      <c r="K200" s="9" t="s">
        <v>45</v>
      </c>
      <c r="L200" s="9">
        <v>9.77</v>
      </c>
      <c r="M200" s="9">
        <v>55.5</v>
      </c>
      <c r="N200" s="9">
        <v>14.5</v>
      </c>
      <c r="O200" s="9">
        <v>32.299999999999997</v>
      </c>
      <c r="P200" s="9">
        <v>32.6</v>
      </c>
      <c r="Q200" s="9">
        <v>83.8</v>
      </c>
    </row>
    <row r="201" spans="1:17">
      <c r="A201">
        <v>64.400000000000006</v>
      </c>
      <c r="B201">
        <v>15.4</v>
      </c>
      <c r="C201">
        <v>34</v>
      </c>
      <c r="D201">
        <v>35.1</v>
      </c>
      <c r="E201">
        <v>80.2</v>
      </c>
      <c r="F201" s="13">
        <v>9.8349556556784528</v>
      </c>
      <c r="G201">
        <v>9.94</v>
      </c>
      <c r="H201" s="13">
        <v>0.10504434432154675</v>
      </c>
      <c r="J201" s="9">
        <v>7</v>
      </c>
      <c r="K201" s="9" t="s">
        <v>47</v>
      </c>
      <c r="L201" s="9">
        <v>9.76</v>
      </c>
      <c r="M201" s="9">
        <v>48.1</v>
      </c>
      <c r="N201" s="9">
        <v>9.6999999999999993</v>
      </c>
      <c r="O201" s="9">
        <v>33.200000000000003</v>
      </c>
      <c r="P201" s="9">
        <v>30.5</v>
      </c>
      <c r="Q201" s="9">
        <v>83.5</v>
      </c>
    </row>
    <row r="202" spans="1:17">
      <c r="A202">
        <v>61.9</v>
      </c>
      <c r="B202">
        <v>20.2</v>
      </c>
      <c r="C202">
        <v>34.5</v>
      </c>
      <c r="D202">
        <v>33.5</v>
      </c>
      <c r="E202">
        <v>81.900000000000006</v>
      </c>
      <c r="F202" s="13">
        <v>9.9286475796204243</v>
      </c>
      <c r="G202">
        <v>9.89</v>
      </c>
      <c r="H202" s="13">
        <v>-3.8647579620423755E-2</v>
      </c>
      <c r="J202" s="9">
        <v>7</v>
      </c>
      <c r="K202" s="9" t="s">
        <v>49</v>
      </c>
      <c r="L202" s="9">
        <v>9.7899999999999991</v>
      </c>
      <c r="M202" s="9">
        <v>47.7</v>
      </c>
      <c r="N202" s="9">
        <v>16</v>
      </c>
      <c r="O202" s="9">
        <v>33.5</v>
      </c>
      <c r="P202" s="9">
        <v>32.200000000000003</v>
      </c>
      <c r="Q202" s="9">
        <v>83.4</v>
      </c>
    </row>
    <row r="203" spans="1:17">
      <c r="A203">
        <v>60.9</v>
      </c>
      <c r="B203">
        <v>17.100000000000001</v>
      </c>
      <c r="C203">
        <v>35.5</v>
      </c>
      <c r="D203">
        <v>32.200000000000003</v>
      </c>
      <c r="E203">
        <v>78</v>
      </c>
      <c r="F203" s="13">
        <v>9.9446400590175994</v>
      </c>
      <c r="G203">
        <v>10.130000000000001</v>
      </c>
      <c r="H203" s="13">
        <v>0.18535994098240138</v>
      </c>
      <c r="J203" s="9">
        <v>7</v>
      </c>
      <c r="K203" s="9" t="s">
        <v>51</v>
      </c>
      <c r="L203" s="9">
        <v>9.91</v>
      </c>
      <c r="M203" s="9">
        <v>53.8</v>
      </c>
      <c r="N203" s="9">
        <v>11.6</v>
      </c>
      <c r="O203" s="9">
        <v>34.4</v>
      </c>
      <c r="P203" s="9">
        <v>32</v>
      </c>
      <c r="Q203" s="9">
        <v>82.3</v>
      </c>
    </row>
    <row r="204" spans="1:17">
      <c r="A204">
        <v>49.8</v>
      </c>
      <c r="B204">
        <v>12.8</v>
      </c>
      <c r="C204">
        <v>35</v>
      </c>
      <c r="D204">
        <v>33.799999999999997</v>
      </c>
      <c r="E204">
        <v>78.5</v>
      </c>
      <c r="F204" s="13">
        <v>10.057222456533575</v>
      </c>
      <c r="G204">
        <v>10.34</v>
      </c>
      <c r="H204" s="13">
        <v>0.28277754346642503</v>
      </c>
      <c r="J204" s="9">
        <v>7</v>
      </c>
      <c r="K204" s="9" t="s">
        <v>53</v>
      </c>
      <c r="L204" s="9">
        <v>9.92</v>
      </c>
      <c r="M204" s="9">
        <v>48.2</v>
      </c>
      <c r="N204" s="9">
        <v>13.5</v>
      </c>
      <c r="O204" s="9">
        <v>33.4</v>
      </c>
      <c r="P204" s="9">
        <v>31.9</v>
      </c>
      <c r="Q204" s="9">
        <v>82.6</v>
      </c>
    </row>
    <row r="205" spans="1:17">
      <c r="A205">
        <v>56.6</v>
      </c>
      <c r="B205">
        <v>15.2</v>
      </c>
      <c r="C205">
        <v>34.5</v>
      </c>
      <c r="D205">
        <v>33.6</v>
      </c>
      <c r="E205">
        <v>80.5</v>
      </c>
      <c r="F205" s="13">
        <v>9.9647441613234129</v>
      </c>
      <c r="G205">
        <v>10.18</v>
      </c>
      <c r="H205" s="13">
        <v>0.21525583867658682</v>
      </c>
      <c r="J205" s="9">
        <v>7</v>
      </c>
      <c r="K205" s="9" t="s">
        <v>55</v>
      </c>
      <c r="L205" s="9">
        <v>9.5500000000000007</v>
      </c>
      <c r="M205" s="9">
        <v>70.400000000000006</v>
      </c>
      <c r="N205" s="9">
        <v>24.2</v>
      </c>
      <c r="O205" s="9">
        <v>34.200000000000003</v>
      </c>
      <c r="P205" s="9">
        <v>36.1</v>
      </c>
      <c r="Q205" s="9">
        <v>84.8</v>
      </c>
    </row>
    <row r="206" spans="1:17">
      <c r="A206">
        <v>56.8</v>
      </c>
      <c r="B206">
        <v>22.6</v>
      </c>
      <c r="C206">
        <v>36.700000000000003</v>
      </c>
      <c r="D206">
        <v>35.9</v>
      </c>
      <c r="E206">
        <v>76.599999999999994</v>
      </c>
      <c r="F206" s="13">
        <v>10.073486781517706</v>
      </c>
      <c r="G206">
        <v>10.220000000000001</v>
      </c>
      <c r="H206" s="13">
        <v>0.14651321848229415</v>
      </c>
      <c r="J206" s="9">
        <v>7</v>
      </c>
      <c r="K206" s="9" t="s">
        <v>57</v>
      </c>
      <c r="L206" s="9">
        <v>9.65</v>
      </c>
      <c r="M206" s="9">
        <v>72.3</v>
      </c>
      <c r="N206" s="9">
        <v>33.200000000000003</v>
      </c>
      <c r="O206" s="9">
        <v>33.1</v>
      </c>
      <c r="P206" s="9">
        <v>38.5</v>
      </c>
      <c r="Q206" s="9">
        <v>83.8</v>
      </c>
    </row>
    <row r="207" spans="1:17">
      <c r="A207">
        <v>56.3</v>
      </c>
      <c r="B207">
        <v>15.3</v>
      </c>
      <c r="C207">
        <v>34.700000000000003</v>
      </c>
      <c r="D207">
        <v>34.6</v>
      </c>
      <c r="E207">
        <v>77.400000000000006</v>
      </c>
      <c r="F207" s="13">
        <v>9.9726627016436744</v>
      </c>
      <c r="G207">
        <v>10</v>
      </c>
      <c r="H207" s="13">
        <v>2.733729835632559E-2</v>
      </c>
      <c r="J207" s="9">
        <v>7</v>
      </c>
      <c r="K207" s="9" t="s">
        <v>58</v>
      </c>
      <c r="L207" s="9">
        <v>9.8800000000000008</v>
      </c>
      <c r="M207" s="9">
        <v>67</v>
      </c>
      <c r="N207" s="9">
        <v>27.5</v>
      </c>
      <c r="O207" s="9">
        <v>33.6</v>
      </c>
      <c r="P207" s="9">
        <v>32.799999999999997</v>
      </c>
      <c r="Q207" s="9">
        <v>82.9</v>
      </c>
    </row>
    <row r="208" spans="1:17">
      <c r="A208">
        <v>57.1</v>
      </c>
      <c r="B208">
        <v>21.9</v>
      </c>
      <c r="C208">
        <v>33.700000000000003</v>
      </c>
      <c r="D208">
        <v>33.5</v>
      </c>
      <c r="E208">
        <v>82.8</v>
      </c>
      <c r="F208" s="13">
        <v>9.994623216063955</v>
      </c>
      <c r="G208">
        <v>9.68</v>
      </c>
      <c r="H208" s="13">
        <v>-0.31462321606395527</v>
      </c>
      <c r="J208" s="9">
        <v>7</v>
      </c>
      <c r="K208" s="9" t="s">
        <v>60</v>
      </c>
      <c r="L208" s="9">
        <v>9.94</v>
      </c>
      <c r="M208" s="9">
        <v>67.599999999999994</v>
      </c>
      <c r="N208" s="9">
        <v>24.3</v>
      </c>
      <c r="O208" s="9">
        <v>32.9</v>
      </c>
      <c r="P208" s="9">
        <v>33.6</v>
      </c>
      <c r="Q208" s="9">
        <v>81.8</v>
      </c>
    </row>
    <row r="209" spans="1:17">
      <c r="A209">
        <v>70.8</v>
      </c>
      <c r="B209">
        <v>19.600000000000001</v>
      </c>
      <c r="C209">
        <v>34.5</v>
      </c>
      <c r="D209">
        <v>37.9</v>
      </c>
      <c r="E209">
        <v>84.3</v>
      </c>
      <c r="F209" s="13">
        <v>9.7817843549265255</v>
      </c>
      <c r="G209">
        <v>9.92</v>
      </c>
      <c r="H209" s="13">
        <v>0.13821564507347439</v>
      </c>
      <c r="J209" s="9">
        <v>7</v>
      </c>
      <c r="K209" s="9" t="s">
        <v>66</v>
      </c>
      <c r="L209" s="9">
        <v>9.89</v>
      </c>
      <c r="M209" s="9">
        <v>69</v>
      </c>
      <c r="N209" s="9">
        <v>22.5</v>
      </c>
      <c r="O209" s="9">
        <v>33.200000000000003</v>
      </c>
      <c r="P209" s="9">
        <v>33.4</v>
      </c>
      <c r="Q209" s="9">
        <v>82.6</v>
      </c>
    </row>
    <row r="210" spans="1:17">
      <c r="A210">
        <v>63.7</v>
      </c>
      <c r="B210">
        <v>33.1</v>
      </c>
      <c r="C210">
        <v>32.299999999999997</v>
      </c>
      <c r="D210">
        <v>37.1</v>
      </c>
      <c r="E210">
        <v>80</v>
      </c>
      <c r="F210" s="13">
        <v>9.9488799288729286</v>
      </c>
      <c r="G210">
        <v>10.02</v>
      </c>
      <c r="H210" s="13">
        <v>7.1120071127070972E-2</v>
      </c>
      <c r="J210" s="9">
        <v>7</v>
      </c>
      <c r="K210" s="9" t="s">
        <v>67</v>
      </c>
      <c r="L210" s="9">
        <v>9.69</v>
      </c>
      <c r="M210" s="9">
        <v>64.5</v>
      </c>
      <c r="N210" s="9">
        <v>31.2</v>
      </c>
      <c r="O210" s="9">
        <v>34</v>
      </c>
      <c r="P210" s="9">
        <v>36.200000000000003</v>
      </c>
      <c r="Q210" s="9">
        <v>84.6</v>
      </c>
    </row>
    <row r="211" spans="1:17">
      <c r="A211">
        <v>57.3</v>
      </c>
      <c r="B211">
        <v>18.600000000000001</v>
      </c>
      <c r="C211">
        <v>33.299999999999997</v>
      </c>
      <c r="D211">
        <v>37.4</v>
      </c>
      <c r="E211">
        <v>79.8</v>
      </c>
      <c r="F211" s="13">
        <v>9.9451361258208983</v>
      </c>
      <c r="G211">
        <v>9.9499999999999993</v>
      </c>
      <c r="H211" s="13">
        <v>4.8638741791009465E-3</v>
      </c>
      <c r="J211" s="9">
        <v>7</v>
      </c>
      <c r="K211" s="9" t="s">
        <v>69</v>
      </c>
      <c r="L211" s="9">
        <v>9.93</v>
      </c>
      <c r="M211" s="9">
        <v>65.5</v>
      </c>
      <c r="N211" s="9">
        <v>24.6</v>
      </c>
      <c r="O211" s="9">
        <v>34.799999999999997</v>
      </c>
      <c r="P211" s="9">
        <v>36.200000000000003</v>
      </c>
      <c r="Q211" s="9">
        <v>82.7</v>
      </c>
    </row>
    <row r="212" spans="1:17">
      <c r="A212">
        <v>57</v>
      </c>
      <c r="B212">
        <v>18.2</v>
      </c>
      <c r="C212">
        <v>35.299999999999997</v>
      </c>
      <c r="D212">
        <v>33.6</v>
      </c>
      <c r="E212">
        <v>82.7</v>
      </c>
      <c r="F212" s="13">
        <v>10.00401823093009</v>
      </c>
      <c r="G212">
        <v>10.199999999999999</v>
      </c>
      <c r="H212" s="13">
        <v>0.19598176906990972</v>
      </c>
      <c r="J212" s="9">
        <v>7</v>
      </c>
      <c r="K212" s="9" t="s">
        <v>71</v>
      </c>
      <c r="L212" s="9">
        <v>9.8000000000000007</v>
      </c>
      <c r="M212" s="9">
        <v>59.7</v>
      </c>
      <c r="N212" s="9">
        <v>17.7</v>
      </c>
      <c r="O212" s="9">
        <v>34.299999999999997</v>
      </c>
      <c r="P212" s="9">
        <v>34.6</v>
      </c>
      <c r="Q212" s="9">
        <v>83.8</v>
      </c>
    </row>
    <row r="213" spans="1:17">
      <c r="A213">
        <v>55.1</v>
      </c>
      <c r="B213">
        <v>24.8</v>
      </c>
      <c r="C213">
        <v>35.299999999999997</v>
      </c>
      <c r="D213">
        <v>32.799999999999997</v>
      </c>
      <c r="E213">
        <v>74.5</v>
      </c>
      <c r="F213" s="13">
        <v>10.089590087945837</v>
      </c>
      <c r="G213">
        <v>10.19</v>
      </c>
      <c r="H213" s="13">
        <v>0.10040991205416283</v>
      </c>
      <c r="J213" s="9">
        <v>7</v>
      </c>
      <c r="K213" s="9" t="s">
        <v>72</v>
      </c>
      <c r="L213" s="9">
        <v>10.029999999999999</v>
      </c>
      <c r="M213" s="9">
        <v>57</v>
      </c>
      <c r="N213" s="9">
        <v>16.8</v>
      </c>
      <c r="O213" s="9">
        <v>33.200000000000003</v>
      </c>
      <c r="P213" s="9">
        <v>31.1</v>
      </c>
      <c r="Q213" s="9">
        <v>82.6</v>
      </c>
    </row>
    <row r="214" spans="1:17">
      <c r="A214">
        <v>54.1</v>
      </c>
      <c r="B214">
        <v>33.700000000000003</v>
      </c>
      <c r="C214">
        <v>34.200000000000003</v>
      </c>
      <c r="D214">
        <v>35.5</v>
      </c>
      <c r="E214">
        <v>78.3</v>
      </c>
      <c r="F214" s="13">
        <v>10.146852970594907</v>
      </c>
      <c r="G214">
        <v>10.33</v>
      </c>
      <c r="H214" s="13">
        <v>0.18314702940509342</v>
      </c>
      <c r="J214" s="9">
        <v>7</v>
      </c>
      <c r="K214" s="9" t="s">
        <v>74</v>
      </c>
      <c r="L214" s="9">
        <v>9.99</v>
      </c>
      <c r="M214" s="9">
        <v>64.599999999999994</v>
      </c>
      <c r="N214" s="9">
        <v>18.100000000000001</v>
      </c>
      <c r="O214" s="9">
        <v>33.4</v>
      </c>
      <c r="P214" s="9">
        <v>34.799999999999997</v>
      </c>
      <c r="Q214" s="9">
        <v>82.1</v>
      </c>
    </row>
    <row r="215" spans="1:17">
      <c r="A215">
        <v>61.4</v>
      </c>
      <c r="B215">
        <v>18.3</v>
      </c>
      <c r="C215">
        <v>33.299999999999997</v>
      </c>
      <c r="D215">
        <v>35.299999999999997</v>
      </c>
      <c r="E215">
        <v>79</v>
      </c>
      <c r="F215" s="13">
        <v>9.8863124675152445</v>
      </c>
      <c r="G215">
        <v>10.029999999999999</v>
      </c>
      <c r="H215" s="13">
        <v>0.14368753248475485</v>
      </c>
      <c r="J215" s="9">
        <v>7</v>
      </c>
      <c r="K215" s="9" t="s">
        <v>75</v>
      </c>
      <c r="L215" s="9">
        <v>9.9700000000000006</v>
      </c>
      <c r="M215" s="9">
        <v>62.6</v>
      </c>
      <c r="N215" s="9">
        <v>19.5</v>
      </c>
      <c r="O215" s="9">
        <v>33.799999999999997</v>
      </c>
      <c r="P215" s="9">
        <v>32.299999999999997</v>
      </c>
      <c r="Q215" s="9">
        <v>83.6</v>
      </c>
    </row>
    <row r="216" spans="1:17">
      <c r="A216">
        <v>66.099999999999994</v>
      </c>
      <c r="B216">
        <v>15.5</v>
      </c>
      <c r="C216">
        <v>30.2</v>
      </c>
      <c r="D216">
        <v>31.6</v>
      </c>
      <c r="E216">
        <v>76.900000000000006</v>
      </c>
      <c r="F216" s="13">
        <v>9.7244288052522823</v>
      </c>
      <c r="G216">
        <v>9.89</v>
      </c>
      <c r="H216" s="13">
        <v>0.16557119474771831</v>
      </c>
      <c r="J216" s="9">
        <v>7</v>
      </c>
      <c r="K216" s="9" t="s">
        <v>79</v>
      </c>
      <c r="L216" s="9">
        <v>10.029999999999999</v>
      </c>
      <c r="M216" s="9">
        <v>62.8</v>
      </c>
      <c r="N216" s="9">
        <v>17.8</v>
      </c>
      <c r="O216" s="9">
        <v>34.799999999999997</v>
      </c>
      <c r="P216" s="9">
        <v>30.5</v>
      </c>
      <c r="Q216" s="9">
        <v>80.3</v>
      </c>
    </row>
    <row r="217" spans="1:17">
      <c r="A217">
        <v>55.4</v>
      </c>
      <c r="B217">
        <v>19.3</v>
      </c>
      <c r="C217">
        <v>34.299999999999997</v>
      </c>
      <c r="D217">
        <v>36.5</v>
      </c>
      <c r="E217">
        <v>82.3</v>
      </c>
      <c r="F217" s="13">
        <v>10.006018287552402</v>
      </c>
      <c r="G217">
        <v>10.35</v>
      </c>
      <c r="H217" s="13">
        <v>0.34398171244759723</v>
      </c>
      <c r="J217" s="9">
        <v>7</v>
      </c>
      <c r="K217" s="9" t="s">
        <v>80</v>
      </c>
      <c r="L217" s="9">
        <v>10.24</v>
      </c>
      <c r="M217" s="9">
        <v>50.2</v>
      </c>
      <c r="N217" s="9">
        <v>13.8</v>
      </c>
      <c r="O217" s="9">
        <v>34.1</v>
      </c>
      <c r="P217" s="9">
        <v>31.6</v>
      </c>
      <c r="Q217" s="9">
        <v>80.7</v>
      </c>
    </row>
    <row r="218" spans="1:17">
      <c r="A218">
        <v>58.9</v>
      </c>
      <c r="B218">
        <v>26.2</v>
      </c>
      <c r="C218">
        <v>36.4</v>
      </c>
      <c r="D218">
        <v>39.1</v>
      </c>
      <c r="E218">
        <v>83.3</v>
      </c>
      <c r="F218" s="13">
        <v>10.058569337479462</v>
      </c>
      <c r="G218">
        <v>10.42</v>
      </c>
      <c r="H218" s="13">
        <v>0.36143066252053835</v>
      </c>
      <c r="J218" s="9">
        <v>7</v>
      </c>
      <c r="K218" s="9" t="s">
        <v>81</v>
      </c>
      <c r="L218" s="9">
        <v>10.16</v>
      </c>
      <c r="M218" s="9">
        <v>56.8</v>
      </c>
      <c r="N218" s="9">
        <v>15.5</v>
      </c>
      <c r="O218" s="9">
        <v>33.700000000000003</v>
      </c>
      <c r="P218" s="9">
        <v>32.799999999999997</v>
      </c>
      <c r="Q218" s="9">
        <v>82.4</v>
      </c>
    </row>
    <row r="219" spans="1:17">
      <c r="A219">
        <v>57.7</v>
      </c>
      <c r="B219">
        <v>26.8</v>
      </c>
      <c r="C219">
        <v>35.4</v>
      </c>
      <c r="D219">
        <v>34.6</v>
      </c>
      <c r="E219">
        <v>83.1</v>
      </c>
      <c r="F219" s="13">
        <v>10.066720782331878</v>
      </c>
      <c r="G219">
        <v>10.17</v>
      </c>
      <c r="H219" s="13">
        <v>0.10327921766812231</v>
      </c>
      <c r="J219" s="9">
        <v>7</v>
      </c>
      <c r="K219" s="9" t="s">
        <v>82</v>
      </c>
      <c r="L219" s="9">
        <v>10.02</v>
      </c>
      <c r="M219" s="9">
        <v>56.3</v>
      </c>
      <c r="N219" s="9">
        <v>20.8</v>
      </c>
      <c r="O219" s="9">
        <v>35.5</v>
      </c>
      <c r="P219" s="9">
        <v>37.1</v>
      </c>
      <c r="Q219" s="9">
        <v>79</v>
      </c>
    </row>
    <row r="220" spans="1:17">
      <c r="A220">
        <v>62.1</v>
      </c>
      <c r="B220">
        <v>36.200000000000003</v>
      </c>
      <c r="C220">
        <v>33.200000000000003</v>
      </c>
      <c r="D220">
        <v>38.799999999999997</v>
      </c>
      <c r="E220">
        <v>83.4</v>
      </c>
      <c r="F220" s="13">
        <v>10.01746181040525</v>
      </c>
      <c r="G220">
        <v>10.3</v>
      </c>
      <c r="H220" s="13">
        <v>0.28253818959475119</v>
      </c>
      <c r="J220" s="9">
        <v>7</v>
      </c>
      <c r="K220" s="9" t="s">
        <v>83</v>
      </c>
      <c r="L220" s="9">
        <v>10.19</v>
      </c>
      <c r="M220" s="9">
        <v>57.5</v>
      </c>
      <c r="N220" s="9">
        <v>17.899999999999999</v>
      </c>
      <c r="O220" s="9">
        <v>35.200000000000003</v>
      </c>
      <c r="P220" s="9">
        <v>32.700000000000003</v>
      </c>
      <c r="Q220" s="9">
        <v>79.8</v>
      </c>
    </row>
    <row r="221" spans="1:17">
      <c r="A221">
        <v>65.5</v>
      </c>
      <c r="B221">
        <v>29.4</v>
      </c>
      <c r="C221">
        <v>34.1</v>
      </c>
      <c r="D221">
        <v>38.200000000000003</v>
      </c>
      <c r="E221">
        <v>81</v>
      </c>
      <c r="F221" s="13">
        <v>9.9328270782676658</v>
      </c>
      <c r="G221">
        <v>10.25</v>
      </c>
      <c r="H221" s="13">
        <v>0.31717292173233425</v>
      </c>
      <c r="J221" s="9">
        <v>7</v>
      </c>
      <c r="K221" s="9" t="s">
        <v>84</v>
      </c>
      <c r="L221" s="9">
        <v>9.93</v>
      </c>
      <c r="M221" s="9">
        <v>58</v>
      </c>
      <c r="N221" s="9">
        <v>23.6</v>
      </c>
      <c r="O221" s="9">
        <v>33.700000000000003</v>
      </c>
      <c r="P221" s="9">
        <v>31</v>
      </c>
      <c r="Q221" s="9">
        <v>84.6</v>
      </c>
    </row>
    <row r="222" spans="1:17">
      <c r="A222">
        <v>56.6</v>
      </c>
      <c r="B222">
        <v>19.3</v>
      </c>
      <c r="C222">
        <v>34.700000000000003</v>
      </c>
      <c r="D222">
        <v>36.799999999999997</v>
      </c>
      <c r="E222">
        <v>84.2</v>
      </c>
      <c r="F222" s="13">
        <v>9.9974708544016089</v>
      </c>
      <c r="G222">
        <v>9.85</v>
      </c>
      <c r="H222" s="13">
        <v>-0.14747085440160923</v>
      </c>
      <c r="J222" s="9">
        <v>7</v>
      </c>
      <c r="K222" s="9" t="s">
        <v>85</v>
      </c>
      <c r="L222" s="9">
        <v>9.94</v>
      </c>
      <c r="M222" s="9">
        <v>71.5</v>
      </c>
      <c r="N222" s="9">
        <v>25.6</v>
      </c>
      <c r="O222" s="9">
        <v>33.5</v>
      </c>
      <c r="P222" s="9">
        <v>35.799999999999997</v>
      </c>
      <c r="Q222" s="9">
        <v>86.3</v>
      </c>
    </row>
    <row r="223" spans="1:17">
      <c r="A223">
        <v>55.1</v>
      </c>
      <c r="B223">
        <v>19.600000000000001</v>
      </c>
      <c r="C223">
        <v>34.700000000000003</v>
      </c>
      <c r="D223">
        <v>38.700000000000003</v>
      </c>
      <c r="E223">
        <v>86.1</v>
      </c>
      <c r="F223" s="13">
        <v>10.018164685211747</v>
      </c>
      <c r="G223">
        <v>10.130000000000001</v>
      </c>
      <c r="H223" s="13">
        <v>0.11183531478825337</v>
      </c>
      <c r="J223" s="9">
        <v>7</v>
      </c>
      <c r="K223" s="9" t="s">
        <v>86</v>
      </c>
      <c r="L223" s="9">
        <v>10.17</v>
      </c>
      <c r="M223" s="9">
        <v>65</v>
      </c>
      <c r="N223" s="9">
        <v>35.6</v>
      </c>
      <c r="O223" s="9">
        <v>32.4</v>
      </c>
      <c r="P223" s="9">
        <v>38.299999999999997</v>
      </c>
      <c r="Q223" s="9">
        <v>81.8</v>
      </c>
    </row>
    <row r="224" spans="1:17">
      <c r="A224">
        <v>60.1</v>
      </c>
      <c r="B224">
        <v>24.5</v>
      </c>
      <c r="C224">
        <v>34.200000000000003</v>
      </c>
      <c r="D224">
        <v>35.799999999999997</v>
      </c>
      <c r="E224">
        <v>89.3</v>
      </c>
      <c r="F224" s="13">
        <v>9.979582693565483</v>
      </c>
      <c r="G224">
        <v>9.52</v>
      </c>
      <c r="H224" s="13">
        <v>-0.45958269356548342</v>
      </c>
      <c r="J224" s="9">
        <v>7</v>
      </c>
      <c r="K224" s="9" t="s">
        <v>88</v>
      </c>
      <c r="L224" s="9">
        <v>9.9700000000000006</v>
      </c>
      <c r="M224" s="9">
        <v>59.3</v>
      </c>
      <c r="N224" s="9">
        <v>21.4</v>
      </c>
      <c r="O224" s="9">
        <v>33.4</v>
      </c>
      <c r="P224" s="9">
        <v>36.700000000000003</v>
      </c>
      <c r="Q224" s="9">
        <v>81.8</v>
      </c>
    </row>
    <row r="225" spans="1:17">
      <c r="A225">
        <v>53.5</v>
      </c>
      <c r="B225">
        <v>13.5</v>
      </c>
      <c r="C225">
        <v>32.4</v>
      </c>
      <c r="D225">
        <v>32.6</v>
      </c>
      <c r="E225">
        <v>84.4</v>
      </c>
      <c r="F225" s="13">
        <v>9.9469324007326545</v>
      </c>
      <c r="G225">
        <v>10.31</v>
      </c>
      <c r="H225" s="13">
        <v>0.363067599267346</v>
      </c>
      <c r="J225" s="9">
        <v>7</v>
      </c>
      <c r="K225" s="9" t="s">
        <v>89</v>
      </c>
      <c r="L225" s="9">
        <v>10.36</v>
      </c>
      <c r="M225" s="9">
        <v>57.1</v>
      </c>
      <c r="N225" s="9">
        <v>20.2</v>
      </c>
      <c r="O225" s="9">
        <v>34.4</v>
      </c>
      <c r="P225" s="9">
        <v>33.700000000000003</v>
      </c>
      <c r="Q225" s="9">
        <v>84.6</v>
      </c>
    </row>
    <row r="226" spans="1:17">
      <c r="A226">
        <v>61.4</v>
      </c>
      <c r="B226">
        <v>28.4</v>
      </c>
      <c r="C226">
        <v>33.5</v>
      </c>
      <c r="D226">
        <v>34.200000000000003</v>
      </c>
      <c r="E226">
        <v>84.8</v>
      </c>
      <c r="F226" s="13">
        <v>9.9794025882655042</v>
      </c>
      <c r="G226">
        <v>9.85</v>
      </c>
      <c r="H226" s="13">
        <v>-0.12940258826550455</v>
      </c>
      <c r="J226" s="9">
        <v>7</v>
      </c>
      <c r="K226" s="9" t="s">
        <v>90</v>
      </c>
      <c r="L226" s="9">
        <v>10.47</v>
      </c>
      <c r="M226" s="9">
        <v>57</v>
      </c>
      <c r="N226" s="9">
        <v>27.2</v>
      </c>
      <c r="O226" s="9">
        <v>35.799999999999997</v>
      </c>
      <c r="P226" s="9">
        <v>31.1</v>
      </c>
      <c r="Q226" s="9">
        <v>77</v>
      </c>
    </row>
    <row r="227" spans="1:17">
      <c r="A227">
        <v>63.7</v>
      </c>
      <c r="B227">
        <v>22.2</v>
      </c>
      <c r="C227">
        <v>34</v>
      </c>
      <c r="D227">
        <v>31.4</v>
      </c>
      <c r="E227">
        <v>87.1</v>
      </c>
      <c r="F227" s="13">
        <v>9.9113373430187011</v>
      </c>
      <c r="G227">
        <v>9.6199999999999992</v>
      </c>
      <c r="H227" s="13">
        <v>-0.29133734301870184</v>
      </c>
      <c r="J227" s="9">
        <v>7</v>
      </c>
      <c r="K227" s="9" t="s">
        <v>91</v>
      </c>
      <c r="L227" s="9">
        <v>10.210000000000001</v>
      </c>
      <c r="M227" s="9">
        <v>55</v>
      </c>
      <c r="N227" s="9">
        <v>34.1</v>
      </c>
      <c r="O227" s="9">
        <v>33.5</v>
      </c>
      <c r="P227" s="9">
        <v>32.5</v>
      </c>
      <c r="Q227" s="9">
        <v>80.599999999999994</v>
      </c>
    </row>
    <row r="228" spans="1:17">
      <c r="A228">
        <v>64.099999999999994</v>
      </c>
      <c r="B228">
        <v>24.4</v>
      </c>
      <c r="C228">
        <v>32.5</v>
      </c>
      <c r="D228">
        <v>33.4</v>
      </c>
      <c r="E228">
        <v>86</v>
      </c>
      <c r="F228" s="13">
        <v>9.8825784816437192</v>
      </c>
      <c r="G228">
        <v>10.11</v>
      </c>
      <c r="H228" s="13">
        <v>0.22742151835628022</v>
      </c>
      <c r="J228" s="9">
        <v>7</v>
      </c>
      <c r="K228" s="9" t="s">
        <v>92</v>
      </c>
      <c r="L228" s="9">
        <v>10.18</v>
      </c>
      <c r="M228" s="9">
        <v>63</v>
      </c>
      <c r="N228" s="9">
        <v>19.2</v>
      </c>
      <c r="O228" s="9">
        <v>33.200000000000003</v>
      </c>
      <c r="P228" s="9">
        <v>33.700000000000003</v>
      </c>
      <c r="Q228" s="9">
        <v>81</v>
      </c>
    </row>
    <row r="229" spans="1:17">
      <c r="A229">
        <v>62.9</v>
      </c>
      <c r="B229">
        <v>32.299999999999997</v>
      </c>
      <c r="C229">
        <v>33</v>
      </c>
      <c r="D229">
        <v>37.9</v>
      </c>
      <c r="E229">
        <v>85.1</v>
      </c>
      <c r="F229" s="13">
        <v>9.9696703683740235</v>
      </c>
      <c r="G229">
        <v>10.01</v>
      </c>
      <c r="H229" s="13">
        <v>4.0329631625976248E-2</v>
      </c>
      <c r="J229" s="9">
        <v>7</v>
      </c>
      <c r="K229" s="9" t="s">
        <v>93</v>
      </c>
      <c r="L229" s="9">
        <v>10.130000000000001</v>
      </c>
      <c r="M229" s="9">
        <v>68</v>
      </c>
      <c r="N229" s="9">
        <v>17.100000000000001</v>
      </c>
      <c r="O229" s="9">
        <v>31</v>
      </c>
      <c r="P229" s="9">
        <v>29.9</v>
      </c>
      <c r="Q229" s="9">
        <v>79.099999999999994</v>
      </c>
    </row>
    <row r="230" spans="1:17">
      <c r="A230">
        <v>77.900000000000006</v>
      </c>
      <c r="B230">
        <v>29.1</v>
      </c>
      <c r="C230">
        <v>33.700000000000003</v>
      </c>
      <c r="D230">
        <v>37.4</v>
      </c>
      <c r="E230">
        <v>87.1</v>
      </c>
      <c r="F230" s="13">
        <v>9.7382620843761938</v>
      </c>
      <c r="G230">
        <v>9.75</v>
      </c>
      <c r="H230" s="13">
        <v>1.1737915623806217E-2</v>
      </c>
      <c r="J230" s="9">
        <v>7</v>
      </c>
      <c r="K230" s="9" t="s">
        <v>94</v>
      </c>
      <c r="L230" s="9">
        <v>10.31</v>
      </c>
      <c r="M230" s="9">
        <v>57.9</v>
      </c>
      <c r="N230" s="9">
        <v>21.5</v>
      </c>
      <c r="O230" s="9">
        <v>34.1</v>
      </c>
      <c r="P230" s="9">
        <v>33.299999999999997</v>
      </c>
      <c r="Q230" s="9">
        <v>83.9</v>
      </c>
    </row>
    <row r="231" spans="1:17">
      <c r="A231">
        <v>59.8</v>
      </c>
      <c r="B231">
        <v>27.9</v>
      </c>
      <c r="C231">
        <v>33.799999999999997</v>
      </c>
      <c r="D231">
        <v>31.3</v>
      </c>
      <c r="E231">
        <v>84.8</v>
      </c>
      <c r="F231" s="13">
        <v>10.012723459176348</v>
      </c>
      <c r="G231">
        <v>9.6199999999999992</v>
      </c>
      <c r="H231" s="13">
        <v>-0.39272345917634865</v>
      </c>
      <c r="J231" s="9">
        <v>7</v>
      </c>
      <c r="K231" s="9" t="s">
        <v>95</v>
      </c>
      <c r="L231" s="9">
        <v>10.78</v>
      </c>
      <c r="M231" s="9">
        <v>58.9</v>
      </c>
      <c r="N231" s="9">
        <v>24.8</v>
      </c>
      <c r="O231" s="9">
        <v>34.5</v>
      </c>
      <c r="P231" s="9">
        <v>34.799999999999997</v>
      </c>
      <c r="Q231" s="9">
        <v>85.1</v>
      </c>
    </row>
    <row r="232" spans="1:17">
      <c r="A232">
        <v>55.7</v>
      </c>
      <c r="B232">
        <v>17.2</v>
      </c>
      <c r="C232">
        <v>32.1</v>
      </c>
      <c r="D232">
        <v>32.200000000000003</v>
      </c>
      <c r="E232">
        <v>82.7</v>
      </c>
      <c r="F232" s="13">
        <v>9.9390140069534159</v>
      </c>
      <c r="G232">
        <v>9.67</v>
      </c>
      <c r="H232" s="13">
        <v>-0.26901400695341593</v>
      </c>
      <c r="J232" s="9">
        <v>7</v>
      </c>
      <c r="K232" s="9" t="s">
        <v>96</v>
      </c>
      <c r="L232" s="9">
        <v>10.41</v>
      </c>
      <c r="M232" s="9">
        <v>59.3</v>
      </c>
      <c r="N232" s="9">
        <v>25.6</v>
      </c>
      <c r="O232" s="9">
        <v>34.5</v>
      </c>
      <c r="P232" s="9">
        <v>33.799999999999997</v>
      </c>
      <c r="Q232" s="9">
        <v>84.7</v>
      </c>
    </row>
    <row r="233" spans="1:17">
      <c r="A233">
        <v>61.7</v>
      </c>
      <c r="B233">
        <v>27.6</v>
      </c>
      <c r="C233">
        <v>33.6</v>
      </c>
      <c r="D233">
        <v>34.6</v>
      </c>
      <c r="E233">
        <v>83.1</v>
      </c>
      <c r="F233" s="13">
        <v>9.9696969270724836</v>
      </c>
      <c r="G233">
        <v>9.82</v>
      </c>
      <c r="H233" s="13">
        <v>-0.14969692707248328</v>
      </c>
      <c r="J233" s="9">
        <v>7</v>
      </c>
      <c r="K233" s="9" t="s">
        <v>97</v>
      </c>
      <c r="L233" s="9">
        <v>10.119999999999999</v>
      </c>
      <c r="M233" s="9">
        <v>64.099999999999994</v>
      </c>
      <c r="N233" s="9">
        <v>38.299999999999997</v>
      </c>
      <c r="O233" s="9">
        <v>34</v>
      </c>
      <c r="P233" s="9">
        <v>38.9</v>
      </c>
      <c r="Q233" s="9">
        <v>85.1</v>
      </c>
    </row>
    <row r="234" spans="1:17">
      <c r="A234">
        <v>55.5</v>
      </c>
      <c r="B234">
        <v>14.5</v>
      </c>
      <c r="C234">
        <v>32.299999999999997</v>
      </c>
      <c r="D234">
        <v>32.6</v>
      </c>
      <c r="E234">
        <v>83.8</v>
      </c>
      <c r="F234" s="13">
        <v>9.9232117843486076</v>
      </c>
      <c r="G234">
        <v>9.77</v>
      </c>
      <c r="H234" s="13">
        <v>-0.15321178434860805</v>
      </c>
      <c r="J234" s="9">
        <v>7</v>
      </c>
      <c r="K234" s="9" t="s">
        <v>98</v>
      </c>
      <c r="L234" s="9">
        <v>10.25</v>
      </c>
      <c r="M234" s="9">
        <v>66.599999999999994</v>
      </c>
      <c r="N234" s="9">
        <v>30.8</v>
      </c>
      <c r="O234" s="9">
        <v>34.299999999999997</v>
      </c>
      <c r="P234" s="9">
        <v>37.5</v>
      </c>
      <c r="Q234" s="9">
        <v>82.8</v>
      </c>
    </row>
    <row r="235" spans="1:17">
      <c r="A235">
        <v>48.1</v>
      </c>
      <c r="B235">
        <v>9.6999999999999993</v>
      </c>
      <c r="C235">
        <v>33.200000000000003</v>
      </c>
      <c r="D235">
        <v>30.5</v>
      </c>
      <c r="E235">
        <v>83.5</v>
      </c>
      <c r="F235" s="13">
        <v>10.019276676774957</v>
      </c>
      <c r="G235">
        <v>9.76</v>
      </c>
      <c r="H235" s="13">
        <v>-0.25927667677495769</v>
      </c>
      <c r="J235" s="9">
        <v>7</v>
      </c>
      <c r="K235" s="9" t="s">
        <v>99</v>
      </c>
      <c r="L235" s="9">
        <v>10.09</v>
      </c>
      <c r="M235" s="9">
        <v>60.1</v>
      </c>
      <c r="N235" s="9">
        <v>20.7</v>
      </c>
      <c r="O235" s="9">
        <v>34.5</v>
      </c>
      <c r="P235" s="9">
        <v>34.1</v>
      </c>
      <c r="Q235" s="9">
        <v>85.9</v>
      </c>
    </row>
    <row r="236" spans="1:17">
      <c r="A236">
        <v>47.7</v>
      </c>
      <c r="B236">
        <v>16</v>
      </c>
      <c r="C236">
        <v>33.5</v>
      </c>
      <c r="D236">
        <v>32.200000000000003</v>
      </c>
      <c r="E236">
        <v>83.4</v>
      </c>
      <c r="F236" s="13">
        <v>10.08221025371828</v>
      </c>
      <c r="G236">
        <v>9.7899999999999991</v>
      </c>
      <c r="H236" s="13">
        <v>-0.29221025371828091</v>
      </c>
      <c r="J236" s="9">
        <v>7</v>
      </c>
      <c r="K236" s="9" t="s">
        <v>100</v>
      </c>
      <c r="L236" s="9">
        <v>10.31</v>
      </c>
      <c r="M236" s="9">
        <v>51.6</v>
      </c>
      <c r="N236" s="9">
        <v>21.5</v>
      </c>
      <c r="O236" s="9">
        <v>34.1</v>
      </c>
      <c r="P236" s="9">
        <v>39</v>
      </c>
      <c r="Q236" s="9">
        <v>87.5</v>
      </c>
    </row>
    <row r="237" spans="1:17">
      <c r="A237">
        <v>53.8</v>
      </c>
      <c r="B237">
        <v>11.6</v>
      </c>
      <c r="C237">
        <v>34.4</v>
      </c>
      <c r="D237">
        <v>32</v>
      </c>
      <c r="E237">
        <v>82.3</v>
      </c>
      <c r="F237" s="13">
        <v>9.976967158851707</v>
      </c>
      <c r="G237">
        <v>9.91</v>
      </c>
      <c r="H237" s="13">
        <v>-6.6967158851706898E-2</v>
      </c>
      <c r="J237" s="9">
        <v>7</v>
      </c>
      <c r="K237" s="9" t="s">
        <v>101</v>
      </c>
      <c r="L237" s="9">
        <v>9.44</v>
      </c>
      <c r="M237" s="9">
        <v>60.2</v>
      </c>
      <c r="N237" s="9">
        <v>28.8</v>
      </c>
      <c r="O237" s="9">
        <v>33.9</v>
      </c>
      <c r="P237" s="9">
        <v>33.9</v>
      </c>
      <c r="Q237" s="9">
        <v>90.1</v>
      </c>
    </row>
    <row r="238" spans="1:17">
      <c r="A238">
        <v>48.2</v>
      </c>
      <c r="B238">
        <v>13.5</v>
      </c>
      <c r="C238">
        <v>33.4</v>
      </c>
      <c r="D238">
        <v>31.9</v>
      </c>
      <c r="E238">
        <v>82.6</v>
      </c>
      <c r="F238" s="13">
        <v>10.051782362202209</v>
      </c>
      <c r="G238">
        <v>9.92</v>
      </c>
      <c r="H238" s="13">
        <v>-0.13178236220220896</v>
      </c>
      <c r="J238" s="9">
        <v>8</v>
      </c>
      <c r="K238" s="9" t="s">
        <v>33</v>
      </c>
      <c r="L238" s="9">
        <v>10.28</v>
      </c>
      <c r="M238" s="9">
        <v>56.1</v>
      </c>
      <c r="N238" s="9">
        <v>16</v>
      </c>
      <c r="O238" s="9">
        <v>32.200000000000003</v>
      </c>
      <c r="P238" s="9">
        <v>33.299999999999997</v>
      </c>
      <c r="Q238" s="9">
        <v>87.9</v>
      </c>
    </row>
    <row r="239" spans="1:17">
      <c r="A239">
        <v>70.400000000000006</v>
      </c>
      <c r="B239">
        <v>24.2</v>
      </c>
      <c r="C239">
        <v>34.200000000000003</v>
      </c>
      <c r="D239">
        <v>36.1</v>
      </c>
      <c r="E239">
        <v>84.8</v>
      </c>
      <c r="F239" s="13">
        <v>9.823263265762014</v>
      </c>
      <c r="G239">
        <v>9.5500000000000007</v>
      </c>
      <c r="H239" s="13">
        <v>-0.27326326576201332</v>
      </c>
      <c r="J239" s="9">
        <v>8</v>
      </c>
      <c r="K239" s="9" t="s">
        <v>36</v>
      </c>
      <c r="L239" s="9">
        <v>9.85</v>
      </c>
      <c r="M239" s="9">
        <v>63.2</v>
      </c>
      <c r="N239" s="9">
        <v>29.2</v>
      </c>
      <c r="O239" s="9">
        <v>31.6</v>
      </c>
      <c r="P239" s="9">
        <v>32.9</v>
      </c>
      <c r="Q239" s="9">
        <v>88.4</v>
      </c>
    </row>
    <row r="240" spans="1:17">
      <c r="A240">
        <v>72.3</v>
      </c>
      <c r="B240">
        <v>33.200000000000003</v>
      </c>
      <c r="C240">
        <v>33.1</v>
      </c>
      <c r="D240">
        <v>38.5</v>
      </c>
      <c r="E240">
        <v>83.8</v>
      </c>
      <c r="F240" s="13">
        <v>9.8387969838293738</v>
      </c>
      <c r="G240">
        <v>9.65</v>
      </c>
      <c r="H240" s="13">
        <v>-0.18879698382937349</v>
      </c>
      <c r="J240" s="9">
        <v>8</v>
      </c>
      <c r="K240" s="9" t="s">
        <v>37</v>
      </c>
      <c r="L240" s="9">
        <v>9.51</v>
      </c>
      <c r="M240" s="9">
        <v>65.7</v>
      </c>
      <c r="N240" s="9">
        <v>21.8</v>
      </c>
      <c r="O240" s="9">
        <v>33.200000000000003</v>
      </c>
      <c r="P240" s="9">
        <v>32.799999999999997</v>
      </c>
      <c r="Q240" s="9">
        <v>90.2</v>
      </c>
    </row>
    <row r="241" spans="1:17">
      <c r="A241">
        <v>67</v>
      </c>
      <c r="B241">
        <v>27.5</v>
      </c>
      <c r="C241">
        <v>33.6</v>
      </c>
      <c r="D241">
        <v>32.799999999999997</v>
      </c>
      <c r="E241">
        <v>82.9</v>
      </c>
      <c r="F241" s="13">
        <v>9.894106633391516</v>
      </c>
      <c r="G241">
        <v>9.8800000000000008</v>
      </c>
      <c r="H241" s="13">
        <v>-1.4106633391515189E-2</v>
      </c>
      <c r="J241" s="9">
        <v>8</v>
      </c>
      <c r="K241" s="9" t="s">
        <v>39</v>
      </c>
      <c r="L241" s="9">
        <v>10.1</v>
      </c>
      <c r="M241" s="9">
        <v>65.8</v>
      </c>
      <c r="N241" s="9">
        <v>26.6</v>
      </c>
      <c r="O241" s="9">
        <v>32.200000000000003</v>
      </c>
      <c r="P241" s="9">
        <v>33.9</v>
      </c>
      <c r="Q241" s="9">
        <v>89.4</v>
      </c>
    </row>
    <row r="242" spans="1:17">
      <c r="A242">
        <v>67.599999999999994</v>
      </c>
      <c r="B242">
        <v>24.3</v>
      </c>
      <c r="C242">
        <v>32.9</v>
      </c>
      <c r="D242">
        <v>33.6</v>
      </c>
      <c r="E242">
        <v>81.8</v>
      </c>
      <c r="F242" s="13">
        <v>9.8390307719115508</v>
      </c>
      <c r="G242">
        <v>9.94</v>
      </c>
      <c r="H242" s="13">
        <v>0.10096922808844866</v>
      </c>
      <c r="J242" s="9">
        <v>8</v>
      </c>
      <c r="K242" s="9" t="s">
        <v>40</v>
      </c>
      <c r="L242" s="9">
        <v>10.01</v>
      </c>
      <c r="M242" s="9">
        <v>64.3</v>
      </c>
      <c r="N242" s="9">
        <v>32.799999999999997</v>
      </c>
      <c r="O242" s="9">
        <v>34</v>
      </c>
      <c r="P242" s="9">
        <v>36</v>
      </c>
      <c r="Q242" s="9">
        <v>88.6</v>
      </c>
    </row>
    <row r="243" spans="1:17">
      <c r="A243">
        <v>69</v>
      </c>
      <c r="B243">
        <v>22.5</v>
      </c>
      <c r="C243">
        <v>33.200000000000003</v>
      </c>
      <c r="D243">
        <v>33.4</v>
      </c>
      <c r="E243">
        <v>82.6</v>
      </c>
      <c r="F243" s="13">
        <v>9.8108681181417303</v>
      </c>
      <c r="G243">
        <v>9.89</v>
      </c>
      <c r="H243" s="13">
        <v>7.9131881858270248E-2</v>
      </c>
      <c r="J243" s="9">
        <v>8</v>
      </c>
      <c r="K243" s="9" t="s">
        <v>41</v>
      </c>
      <c r="L243" s="9">
        <v>9.75</v>
      </c>
      <c r="M243" s="9">
        <v>79.2</v>
      </c>
      <c r="N243" s="9">
        <v>30.6</v>
      </c>
      <c r="O243" s="9">
        <v>33</v>
      </c>
      <c r="P243" s="9">
        <v>35.799999999999997</v>
      </c>
      <c r="Q243" s="9">
        <v>90.2</v>
      </c>
    </row>
    <row r="244" spans="1:17">
      <c r="A244">
        <v>64.5</v>
      </c>
      <c r="B244">
        <v>31.2</v>
      </c>
      <c r="C244">
        <v>34</v>
      </c>
      <c r="D244">
        <v>36.200000000000003</v>
      </c>
      <c r="E244">
        <v>84.6</v>
      </c>
      <c r="F244" s="13">
        <v>9.9649918588513557</v>
      </c>
      <c r="G244">
        <v>9.69</v>
      </c>
      <c r="H244" s="13">
        <v>-0.27499185885135624</v>
      </c>
      <c r="J244" s="9">
        <v>8</v>
      </c>
      <c r="K244" s="9" t="s">
        <v>42</v>
      </c>
      <c r="L244" s="9">
        <v>9.5</v>
      </c>
      <c r="M244" s="9">
        <v>62.8</v>
      </c>
      <c r="N244" s="9">
        <v>25.8</v>
      </c>
      <c r="O244" s="9">
        <v>33.5</v>
      </c>
      <c r="P244" s="9">
        <v>32.200000000000003</v>
      </c>
      <c r="Q244" s="9">
        <v>88.7</v>
      </c>
    </row>
    <row r="245" spans="1:17">
      <c r="A245">
        <v>65.5</v>
      </c>
      <c r="B245">
        <v>24.6</v>
      </c>
      <c r="C245">
        <v>34.799999999999997</v>
      </c>
      <c r="D245">
        <v>36.200000000000003</v>
      </c>
      <c r="E245">
        <v>82.7</v>
      </c>
      <c r="F245" s="13">
        <v>9.9139192540602554</v>
      </c>
      <c r="G245">
        <v>9.93</v>
      </c>
      <c r="H245" s="13">
        <v>1.608074593974429E-2</v>
      </c>
      <c r="J245" s="9">
        <v>8</v>
      </c>
      <c r="K245" s="9" t="s">
        <v>43</v>
      </c>
      <c r="L245" s="9">
        <v>9.52</v>
      </c>
      <c r="M245" s="9">
        <v>58.4</v>
      </c>
      <c r="N245" s="9">
        <v>16.7</v>
      </c>
      <c r="O245" s="9">
        <v>32.4</v>
      </c>
      <c r="P245" s="9">
        <v>32.200000000000003</v>
      </c>
      <c r="Q245" s="9">
        <v>86.8</v>
      </c>
    </row>
    <row r="246" spans="1:17">
      <c r="A246">
        <v>59.7</v>
      </c>
      <c r="B246">
        <v>17.7</v>
      </c>
      <c r="C246">
        <v>34.299999999999997</v>
      </c>
      <c r="D246">
        <v>34.6</v>
      </c>
      <c r="E246">
        <v>83.8</v>
      </c>
      <c r="F246" s="13">
        <v>9.9328580949170497</v>
      </c>
      <c r="G246">
        <v>9.8000000000000007</v>
      </c>
      <c r="H246" s="13">
        <v>-0.13285809491704903</v>
      </c>
      <c r="J246" s="9">
        <v>8</v>
      </c>
      <c r="K246" s="9" t="s">
        <v>44</v>
      </c>
      <c r="L246" s="9">
        <v>9.82</v>
      </c>
      <c r="M246" s="9">
        <v>63.8</v>
      </c>
      <c r="N246" s="9">
        <v>25.9</v>
      </c>
      <c r="O246" s="9">
        <v>33.6</v>
      </c>
      <c r="P246" s="9">
        <v>36</v>
      </c>
      <c r="Q246" s="9">
        <v>86.4</v>
      </c>
    </row>
    <row r="247" spans="1:17">
      <c r="A247">
        <v>57</v>
      </c>
      <c r="B247">
        <v>16.8</v>
      </c>
      <c r="C247">
        <v>33.200000000000003</v>
      </c>
      <c r="D247">
        <v>31.1</v>
      </c>
      <c r="E247">
        <v>82.6</v>
      </c>
      <c r="F247" s="13">
        <v>9.9458756818045799</v>
      </c>
      <c r="G247">
        <v>10.029999999999999</v>
      </c>
      <c r="H247" s="13">
        <v>8.4124318195419434E-2</v>
      </c>
      <c r="J247" s="9">
        <v>8</v>
      </c>
      <c r="K247" s="9" t="s">
        <v>45</v>
      </c>
      <c r="L247" s="9">
        <v>9.68</v>
      </c>
      <c r="M247" s="9">
        <v>57.4</v>
      </c>
      <c r="N247" s="9">
        <v>14.5</v>
      </c>
      <c r="O247" s="9">
        <v>32.9</v>
      </c>
      <c r="P247" s="9">
        <v>31.8</v>
      </c>
      <c r="Q247" s="9">
        <v>87.3</v>
      </c>
    </row>
    <row r="248" spans="1:17">
      <c r="A248">
        <v>64.599999999999994</v>
      </c>
      <c r="B248">
        <v>18.100000000000001</v>
      </c>
      <c r="C248">
        <v>33.4</v>
      </c>
      <c r="D248">
        <v>34.799999999999997</v>
      </c>
      <c r="E248">
        <v>82.1</v>
      </c>
      <c r="F248" s="13">
        <v>9.8407788331423998</v>
      </c>
      <c r="G248">
        <v>9.99</v>
      </c>
      <c r="H248" s="13">
        <v>0.14922116685760045</v>
      </c>
      <c r="J248" s="9">
        <v>8</v>
      </c>
      <c r="K248" s="9" t="s">
        <v>47</v>
      </c>
      <c r="L248" s="9">
        <v>9.67</v>
      </c>
      <c r="M248" s="9">
        <v>51</v>
      </c>
      <c r="N248" s="9">
        <v>10.5</v>
      </c>
      <c r="O248" s="9">
        <v>33.1</v>
      </c>
      <c r="P248" s="9">
        <v>31.9</v>
      </c>
      <c r="Q248" s="9">
        <v>87.2</v>
      </c>
    </row>
    <row r="249" spans="1:17">
      <c r="A249">
        <v>62.6</v>
      </c>
      <c r="B249">
        <v>19.5</v>
      </c>
      <c r="C249">
        <v>33.799999999999997</v>
      </c>
      <c r="D249">
        <v>32.299999999999997</v>
      </c>
      <c r="E249">
        <v>83.6</v>
      </c>
      <c r="F249" s="13">
        <v>9.8977665738977372</v>
      </c>
      <c r="G249">
        <v>9.9700000000000006</v>
      </c>
      <c r="H249" s="13">
        <v>7.2233426102263465E-2</v>
      </c>
      <c r="J249" s="9">
        <v>8</v>
      </c>
      <c r="K249" s="9" t="s">
        <v>49</v>
      </c>
      <c r="L249" s="9">
        <v>9.73</v>
      </c>
      <c r="M249" s="9">
        <v>51.6</v>
      </c>
      <c r="N249" s="9">
        <v>17.2</v>
      </c>
      <c r="O249" s="9">
        <v>32.9</v>
      </c>
      <c r="P249" s="9">
        <v>32.4</v>
      </c>
      <c r="Q249" s="9">
        <v>87</v>
      </c>
    </row>
    <row r="250" spans="1:17">
      <c r="A250">
        <v>62.8</v>
      </c>
      <c r="B250">
        <v>17.8</v>
      </c>
      <c r="C250">
        <v>34.799999999999997</v>
      </c>
      <c r="D250">
        <v>30.5</v>
      </c>
      <c r="E250">
        <v>80.3</v>
      </c>
      <c r="F250" s="13">
        <v>9.908917732731549</v>
      </c>
      <c r="G250">
        <v>10.029999999999999</v>
      </c>
      <c r="H250" s="13">
        <v>0.12108226726845039</v>
      </c>
      <c r="J250" s="9">
        <v>8</v>
      </c>
      <c r="K250" s="9" t="s">
        <v>51</v>
      </c>
      <c r="L250" s="9">
        <v>9.85</v>
      </c>
      <c r="M250" s="9">
        <v>54.6</v>
      </c>
      <c r="N250" s="9">
        <v>14.2</v>
      </c>
      <c r="O250" s="9">
        <v>34</v>
      </c>
      <c r="P250" s="9">
        <v>33.299999999999997</v>
      </c>
      <c r="Q250" s="9">
        <v>86.1</v>
      </c>
    </row>
    <row r="251" spans="1:17">
      <c r="A251">
        <v>50.2</v>
      </c>
      <c r="B251">
        <v>13.8</v>
      </c>
      <c r="C251">
        <v>34.1</v>
      </c>
      <c r="D251">
        <v>31.6</v>
      </c>
      <c r="E251">
        <v>80.7</v>
      </c>
      <c r="F251" s="13">
        <v>10.042481535523166</v>
      </c>
      <c r="G251">
        <v>10.24</v>
      </c>
      <c r="H251" s="13">
        <v>0.19751846447683441</v>
      </c>
      <c r="J251" s="9">
        <v>8</v>
      </c>
      <c r="K251" s="9" t="s">
        <v>53</v>
      </c>
      <c r="L251" s="9">
        <v>9.92</v>
      </c>
      <c r="M251" s="9">
        <v>51.8</v>
      </c>
      <c r="N251" s="9">
        <v>13.8</v>
      </c>
      <c r="O251" s="9">
        <v>32.799999999999997</v>
      </c>
      <c r="P251" s="9">
        <v>32.9</v>
      </c>
      <c r="Q251" s="9">
        <v>86.5</v>
      </c>
    </row>
    <row r="252" spans="1:17">
      <c r="A252">
        <v>56.8</v>
      </c>
      <c r="B252">
        <v>15.5</v>
      </c>
      <c r="C252">
        <v>33.700000000000003</v>
      </c>
      <c r="D252">
        <v>32.799999999999997</v>
      </c>
      <c r="E252">
        <v>82.4</v>
      </c>
      <c r="F252" s="13">
        <v>9.9464144623300434</v>
      </c>
      <c r="G252">
        <v>10.16</v>
      </c>
      <c r="H252" s="13">
        <v>0.21358553766995669</v>
      </c>
      <c r="J252" s="9">
        <v>8</v>
      </c>
      <c r="K252" s="9" t="s">
        <v>55</v>
      </c>
      <c r="L252" s="9">
        <v>9.2100000000000009</v>
      </c>
      <c r="M252" s="9">
        <v>72.099999999999994</v>
      </c>
      <c r="N252" s="9">
        <v>28.4</v>
      </c>
      <c r="O252" s="9">
        <v>35.5</v>
      </c>
      <c r="P252" s="9">
        <v>38.700000000000003</v>
      </c>
      <c r="Q252" s="9">
        <v>88.6</v>
      </c>
    </row>
    <row r="253" spans="1:17">
      <c r="A253">
        <v>56.3</v>
      </c>
      <c r="B253">
        <v>20.8</v>
      </c>
      <c r="C253">
        <v>35.5</v>
      </c>
      <c r="D253">
        <v>37.1</v>
      </c>
      <c r="E253">
        <v>79</v>
      </c>
      <c r="F253" s="13">
        <v>10.033511590703396</v>
      </c>
      <c r="G253">
        <v>10.02</v>
      </c>
      <c r="H253" s="13">
        <v>-1.3511590703396692E-2</v>
      </c>
      <c r="J253" s="9">
        <v>8</v>
      </c>
      <c r="K253" s="9" t="s">
        <v>57</v>
      </c>
      <c r="L253" s="9">
        <v>9.59</v>
      </c>
      <c r="M253" s="9">
        <v>73.7</v>
      </c>
      <c r="N253" s="9">
        <v>28.4</v>
      </c>
      <c r="O253" s="9">
        <v>33</v>
      </c>
      <c r="P253" s="9">
        <v>38.4</v>
      </c>
      <c r="Q253" s="9">
        <v>87.5</v>
      </c>
    </row>
    <row r="254" spans="1:17">
      <c r="A254">
        <v>57.5</v>
      </c>
      <c r="B254">
        <v>17.899999999999999</v>
      </c>
      <c r="C254">
        <v>35.200000000000003</v>
      </c>
      <c r="D254">
        <v>32.700000000000003</v>
      </c>
      <c r="E254">
        <v>79.8</v>
      </c>
      <c r="F254" s="13">
        <v>9.9934669791306643</v>
      </c>
      <c r="G254">
        <v>10.19</v>
      </c>
      <c r="H254" s="13">
        <v>0.19653302086933522</v>
      </c>
      <c r="J254" s="9">
        <v>8</v>
      </c>
      <c r="K254" s="9" t="s">
        <v>58</v>
      </c>
      <c r="L254" s="9">
        <v>9.6999999999999993</v>
      </c>
      <c r="M254" s="9">
        <v>69.099999999999994</v>
      </c>
      <c r="N254" s="9">
        <v>27.4</v>
      </c>
      <c r="O254" s="9">
        <v>33.6</v>
      </c>
      <c r="P254" s="9">
        <v>33.799999999999997</v>
      </c>
      <c r="Q254" s="9">
        <v>87.1</v>
      </c>
    </row>
    <row r="255" spans="1:17">
      <c r="A255">
        <v>58</v>
      </c>
      <c r="B255">
        <v>23.6</v>
      </c>
      <c r="C255">
        <v>33.700000000000003</v>
      </c>
      <c r="D255">
        <v>31</v>
      </c>
      <c r="E255">
        <v>84.6</v>
      </c>
      <c r="F255" s="13">
        <v>10.001230559489491</v>
      </c>
      <c r="G255">
        <v>9.93</v>
      </c>
      <c r="H255" s="13">
        <v>-7.1230559489491085E-2</v>
      </c>
      <c r="J255" s="9">
        <v>8</v>
      </c>
      <c r="K255" s="9" t="s">
        <v>60</v>
      </c>
      <c r="L255" s="9">
        <v>9.7100000000000009</v>
      </c>
      <c r="M255" s="9">
        <v>69.900000000000006</v>
      </c>
      <c r="N255" s="9">
        <v>22.7</v>
      </c>
      <c r="O255" s="9">
        <v>32.799999999999997</v>
      </c>
      <c r="P255" s="9">
        <v>32.799999999999997</v>
      </c>
      <c r="Q255" s="9">
        <v>86.2</v>
      </c>
    </row>
    <row r="256" spans="1:17">
      <c r="A256">
        <v>71.5</v>
      </c>
      <c r="B256">
        <v>25.6</v>
      </c>
      <c r="C256">
        <v>33.5</v>
      </c>
      <c r="D256">
        <v>35.799999999999997</v>
      </c>
      <c r="E256">
        <v>86.3</v>
      </c>
      <c r="F256" s="13">
        <v>9.8022325015276905</v>
      </c>
      <c r="G256">
        <v>9.94</v>
      </c>
      <c r="H256" s="13">
        <v>0.13776749847230896</v>
      </c>
      <c r="J256" s="9">
        <v>8</v>
      </c>
      <c r="K256" s="9" t="s">
        <v>66</v>
      </c>
      <c r="L256" s="9">
        <v>9.5500000000000007</v>
      </c>
      <c r="M256" s="9">
        <v>70.2</v>
      </c>
      <c r="N256" s="9">
        <v>27.2</v>
      </c>
      <c r="O256" s="9">
        <v>32.700000000000003</v>
      </c>
      <c r="P256" s="9">
        <v>34.700000000000003</v>
      </c>
      <c r="Q256" s="9">
        <v>86.7</v>
      </c>
    </row>
    <row r="257" spans="1:17">
      <c r="A257">
        <v>65</v>
      </c>
      <c r="B257">
        <v>35.6</v>
      </c>
      <c r="C257">
        <v>32.4</v>
      </c>
      <c r="D257">
        <v>38.299999999999997</v>
      </c>
      <c r="E257">
        <v>81.8</v>
      </c>
      <c r="F257" s="13">
        <v>9.9506288377948398</v>
      </c>
      <c r="G257">
        <v>10.17</v>
      </c>
      <c r="H257" s="13">
        <v>0.21937116220516018</v>
      </c>
      <c r="J257" s="9">
        <v>8</v>
      </c>
      <c r="K257" s="9" t="s">
        <v>67</v>
      </c>
      <c r="L257" s="9">
        <v>9.6300000000000008</v>
      </c>
      <c r="M257" s="9">
        <v>65.900000000000006</v>
      </c>
      <c r="N257" s="9">
        <v>25.3</v>
      </c>
      <c r="O257" s="9">
        <v>33.4</v>
      </c>
      <c r="P257" s="9">
        <v>35.299999999999997</v>
      </c>
      <c r="Q257" s="9">
        <v>87.9</v>
      </c>
    </row>
    <row r="258" spans="1:17">
      <c r="A258">
        <v>59.3</v>
      </c>
      <c r="B258">
        <v>21.4</v>
      </c>
      <c r="C258">
        <v>33.4</v>
      </c>
      <c r="D258">
        <v>36.700000000000003</v>
      </c>
      <c r="E258">
        <v>81.8</v>
      </c>
      <c r="F258" s="13">
        <v>9.9432272051777915</v>
      </c>
      <c r="G258">
        <v>9.9700000000000006</v>
      </c>
      <c r="H258" s="13">
        <v>2.6772794822209178E-2</v>
      </c>
      <c r="J258" s="9">
        <v>8</v>
      </c>
      <c r="K258" s="9" t="s">
        <v>69</v>
      </c>
      <c r="L258" s="9">
        <v>9.8000000000000007</v>
      </c>
      <c r="M258" s="9">
        <v>65.900000000000006</v>
      </c>
      <c r="N258" s="9">
        <v>26.4</v>
      </c>
      <c r="O258" s="9">
        <v>34.200000000000003</v>
      </c>
      <c r="P258" s="9">
        <v>35.299999999999997</v>
      </c>
      <c r="Q258" s="9">
        <v>87.3</v>
      </c>
    </row>
    <row r="259" spans="1:17">
      <c r="A259">
        <v>57.1</v>
      </c>
      <c r="B259">
        <v>20.2</v>
      </c>
      <c r="C259">
        <v>34.4</v>
      </c>
      <c r="D259">
        <v>33.700000000000003</v>
      </c>
      <c r="E259">
        <v>84.6</v>
      </c>
      <c r="F259" s="13">
        <v>9.9971174101121107</v>
      </c>
      <c r="G259">
        <v>10.36</v>
      </c>
      <c r="H259" s="13">
        <v>0.36288258988788868</v>
      </c>
      <c r="J259" s="9">
        <v>8</v>
      </c>
      <c r="K259" s="9" t="s">
        <v>71</v>
      </c>
      <c r="L259" s="9">
        <v>9.61</v>
      </c>
      <c r="M259" s="9">
        <v>62.8</v>
      </c>
      <c r="N259" s="9">
        <v>18.8</v>
      </c>
      <c r="O259" s="9">
        <v>34.299999999999997</v>
      </c>
      <c r="P259" s="9">
        <v>35</v>
      </c>
      <c r="Q259" s="9">
        <v>87.5</v>
      </c>
    </row>
    <row r="260" spans="1:17">
      <c r="A260">
        <v>57</v>
      </c>
      <c r="B260">
        <v>27.2</v>
      </c>
      <c r="C260">
        <v>35.799999999999997</v>
      </c>
      <c r="D260">
        <v>31.1</v>
      </c>
      <c r="E260">
        <v>77</v>
      </c>
      <c r="F260" s="13">
        <v>10.097868307201402</v>
      </c>
      <c r="G260">
        <v>10.47</v>
      </c>
      <c r="H260" s="13">
        <v>0.37213169279859848</v>
      </c>
      <c r="J260" s="9">
        <v>8</v>
      </c>
      <c r="K260" s="9" t="s">
        <v>72</v>
      </c>
      <c r="L260" s="9">
        <v>9.93</v>
      </c>
      <c r="M260" s="9">
        <v>57.7</v>
      </c>
      <c r="N260" s="9">
        <v>17.2</v>
      </c>
      <c r="O260" s="9">
        <v>32.9</v>
      </c>
      <c r="P260" s="9">
        <v>31.7</v>
      </c>
      <c r="Q260" s="9">
        <v>86.8</v>
      </c>
    </row>
    <row r="261" spans="1:17">
      <c r="A261">
        <v>55</v>
      </c>
      <c r="B261">
        <v>34.1</v>
      </c>
      <c r="C261">
        <v>33.5</v>
      </c>
      <c r="D261">
        <v>32.5</v>
      </c>
      <c r="E261">
        <v>80.599999999999994</v>
      </c>
      <c r="F261" s="13">
        <v>10.126307154720168</v>
      </c>
      <c r="G261">
        <v>10.210000000000001</v>
      </c>
      <c r="H261" s="13">
        <v>8.3692845279832895E-2</v>
      </c>
      <c r="J261" s="9">
        <v>8</v>
      </c>
      <c r="K261" s="9" t="s">
        <v>74</v>
      </c>
      <c r="L261" s="9">
        <v>9.77</v>
      </c>
      <c r="M261" s="9">
        <v>65.7</v>
      </c>
      <c r="N261" s="9">
        <v>19.2</v>
      </c>
      <c r="O261" s="9">
        <v>33.4</v>
      </c>
      <c r="P261" s="9">
        <v>34.299999999999997</v>
      </c>
      <c r="Q261" s="9">
        <v>85.9</v>
      </c>
    </row>
    <row r="262" spans="1:17">
      <c r="A262">
        <v>63</v>
      </c>
      <c r="B262">
        <v>19.2</v>
      </c>
      <c r="C262">
        <v>33.200000000000003</v>
      </c>
      <c r="D262">
        <v>33.700000000000003</v>
      </c>
      <c r="E262">
        <v>81</v>
      </c>
      <c r="F262" s="13">
        <v>9.8713066083368588</v>
      </c>
      <c r="G262">
        <v>10.18</v>
      </c>
      <c r="H262" s="13">
        <v>0.30869339166314091</v>
      </c>
      <c r="J262" s="9">
        <v>8</v>
      </c>
      <c r="K262" s="9" t="s">
        <v>75</v>
      </c>
      <c r="L262" s="9">
        <v>9.8800000000000008</v>
      </c>
      <c r="M262" s="9">
        <v>65</v>
      </c>
      <c r="N262" s="9">
        <v>16.7</v>
      </c>
      <c r="O262" s="9">
        <v>33.6</v>
      </c>
      <c r="P262" s="9">
        <v>31.6</v>
      </c>
      <c r="Q262" s="9">
        <v>87.6</v>
      </c>
    </row>
    <row r="263" spans="1:17">
      <c r="A263">
        <v>68</v>
      </c>
      <c r="B263">
        <v>17.100000000000001</v>
      </c>
      <c r="C263">
        <v>31</v>
      </c>
      <c r="D263">
        <v>29.9</v>
      </c>
      <c r="E263">
        <v>79.099999999999994</v>
      </c>
      <c r="F263" s="13">
        <v>9.733321721292242</v>
      </c>
      <c r="G263">
        <v>10.130000000000001</v>
      </c>
      <c r="H263" s="13">
        <v>0.39667827870775874</v>
      </c>
      <c r="J263" s="9">
        <v>8</v>
      </c>
      <c r="K263" s="9" t="s">
        <v>79</v>
      </c>
      <c r="L263" s="9">
        <v>9.89</v>
      </c>
      <c r="M263" s="9">
        <v>64.099999999999994</v>
      </c>
      <c r="N263" s="9">
        <v>17.899999999999999</v>
      </c>
      <c r="O263" s="9">
        <v>33.6</v>
      </c>
      <c r="P263" s="9">
        <v>31.3</v>
      </c>
      <c r="Q263" s="9">
        <v>84.9</v>
      </c>
    </row>
    <row r="264" spans="1:17">
      <c r="A264">
        <v>57.9</v>
      </c>
      <c r="B264">
        <v>21.5</v>
      </c>
      <c r="C264">
        <v>34.1</v>
      </c>
      <c r="D264">
        <v>33.299999999999997</v>
      </c>
      <c r="E264">
        <v>83.9</v>
      </c>
      <c r="F264" s="13">
        <v>9.9897026490444745</v>
      </c>
      <c r="G264">
        <v>10.31</v>
      </c>
      <c r="H264" s="13">
        <v>0.32029735095552603</v>
      </c>
      <c r="J264" s="9">
        <v>8</v>
      </c>
      <c r="K264" s="9" t="s">
        <v>80</v>
      </c>
      <c r="L264" s="9">
        <v>10.130000000000001</v>
      </c>
      <c r="M264" s="9">
        <v>51.5</v>
      </c>
      <c r="N264" s="9">
        <v>13.1</v>
      </c>
      <c r="O264" s="9">
        <v>33.700000000000003</v>
      </c>
      <c r="P264" s="9">
        <v>32.700000000000003</v>
      </c>
      <c r="Q264" s="9">
        <v>85</v>
      </c>
    </row>
    <row r="265" spans="1:17">
      <c r="A265">
        <v>58.9</v>
      </c>
      <c r="B265">
        <v>24.8</v>
      </c>
      <c r="C265">
        <v>34.5</v>
      </c>
      <c r="D265">
        <v>34.799999999999997</v>
      </c>
      <c r="E265">
        <v>85.1</v>
      </c>
      <c r="F265" s="13">
        <v>10.009397249035171</v>
      </c>
      <c r="G265">
        <v>10.78</v>
      </c>
      <c r="H265" s="13">
        <v>0.77060275096482833</v>
      </c>
      <c r="J265" s="9">
        <v>8</v>
      </c>
      <c r="K265" s="9" t="s">
        <v>81</v>
      </c>
      <c r="L265" s="9">
        <v>10.119999999999999</v>
      </c>
      <c r="M265" s="9">
        <v>57.9</v>
      </c>
      <c r="N265" s="9">
        <v>15.4</v>
      </c>
      <c r="O265" s="9">
        <v>33.6</v>
      </c>
      <c r="P265" s="9">
        <v>33.299999999999997</v>
      </c>
      <c r="Q265" s="9">
        <v>86.5</v>
      </c>
    </row>
    <row r="266" spans="1:17">
      <c r="A266">
        <v>59.3</v>
      </c>
      <c r="B266">
        <v>25.6</v>
      </c>
      <c r="C266">
        <v>34.5</v>
      </c>
      <c r="D266">
        <v>33.799999999999997</v>
      </c>
      <c r="E266">
        <v>84.7</v>
      </c>
      <c r="F266" s="13">
        <v>10.012422136438801</v>
      </c>
      <c r="G266">
        <v>10.41</v>
      </c>
      <c r="H266" s="13">
        <v>0.39757786356119951</v>
      </c>
      <c r="J266" s="9">
        <v>8</v>
      </c>
      <c r="K266" s="9" t="s">
        <v>82</v>
      </c>
      <c r="L266" s="9">
        <v>9.91</v>
      </c>
      <c r="M266" s="9">
        <v>59</v>
      </c>
      <c r="N266" s="9">
        <v>20.399999999999999</v>
      </c>
      <c r="O266" s="9">
        <v>35.1</v>
      </c>
      <c r="P266" s="9">
        <v>36.9</v>
      </c>
      <c r="Q266" s="9">
        <v>83.5</v>
      </c>
    </row>
    <row r="267" spans="1:17">
      <c r="A267">
        <v>64.099999999999994</v>
      </c>
      <c r="B267">
        <v>38.299999999999997</v>
      </c>
      <c r="C267">
        <v>34</v>
      </c>
      <c r="D267">
        <v>38.9</v>
      </c>
      <c r="E267">
        <v>85.1</v>
      </c>
      <c r="F267" s="13">
        <v>10.025116349543501</v>
      </c>
      <c r="G267">
        <v>10.119999999999999</v>
      </c>
      <c r="H267" s="13">
        <v>9.4883650456498714E-2</v>
      </c>
      <c r="J267" s="9">
        <v>8</v>
      </c>
      <c r="K267" s="9" t="s">
        <v>83</v>
      </c>
      <c r="L267" s="9">
        <v>10.06</v>
      </c>
      <c r="M267" s="9">
        <v>61.5</v>
      </c>
      <c r="N267" s="9">
        <v>16.7</v>
      </c>
      <c r="O267" s="9">
        <v>34.299999999999997</v>
      </c>
      <c r="P267" s="9">
        <v>34.700000000000003</v>
      </c>
      <c r="Q267" s="9">
        <v>84.3</v>
      </c>
    </row>
    <row r="268" spans="1:17">
      <c r="A268">
        <v>66.599999999999994</v>
      </c>
      <c r="B268">
        <v>30.8</v>
      </c>
      <c r="C268">
        <v>34.299999999999997</v>
      </c>
      <c r="D268">
        <v>37.5</v>
      </c>
      <c r="E268">
        <v>82.8</v>
      </c>
      <c r="F268" s="13">
        <v>9.9348878903437612</v>
      </c>
      <c r="G268">
        <v>10.25</v>
      </c>
      <c r="H268" s="13">
        <v>0.31511210965623881</v>
      </c>
      <c r="J268" s="9">
        <v>8</v>
      </c>
      <c r="K268" s="9" t="s">
        <v>84</v>
      </c>
      <c r="L268" s="9">
        <v>9.86</v>
      </c>
      <c r="M268" s="9">
        <v>61.6</v>
      </c>
      <c r="N268" s="9">
        <v>25.5</v>
      </c>
      <c r="O268" s="9">
        <v>32.4</v>
      </c>
      <c r="P268" s="9">
        <v>32</v>
      </c>
      <c r="Q268" s="9">
        <v>87.7</v>
      </c>
    </row>
    <row r="269" spans="1:17">
      <c r="A269">
        <v>60.1</v>
      </c>
      <c r="B269">
        <v>20.7</v>
      </c>
      <c r="C269">
        <v>34.5</v>
      </c>
      <c r="D269">
        <v>34.1</v>
      </c>
      <c r="E269">
        <v>85.9</v>
      </c>
      <c r="F269" s="13">
        <v>9.958431979882798</v>
      </c>
      <c r="G269">
        <v>10.09</v>
      </c>
      <c r="H269" s="13">
        <v>0.13156802011720181</v>
      </c>
      <c r="J269" s="9">
        <v>8</v>
      </c>
      <c r="K269" s="9" t="s">
        <v>85</v>
      </c>
      <c r="L269" s="9">
        <v>9.94</v>
      </c>
      <c r="M269" s="9">
        <v>72.400000000000006</v>
      </c>
      <c r="N269" s="9">
        <v>39.5</v>
      </c>
      <c r="O269" s="9">
        <v>33.5</v>
      </c>
      <c r="P269" s="9">
        <v>34.5</v>
      </c>
      <c r="Q269" s="9">
        <v>89.7</v>
      </c>
    </row>
    <row r="270" spans="1:17">
      <c r="A270">
        <v>51.6</v>
      </c>
      <c r="B270">
        <v>21.5</v>
      </c>
      <c r="C270">
        <v>34.1</v>
      </c>
      <c r="D270">
        <v>39</v>
      </c>
      <c r="E270">
        <v>87.5</v>
      </c>
      <c r="F270" s="13">
        <v>10.07081814588763</v>
      </c>
      <c r="G270">
        <v>10.31</v>
      </c>
      <c r="H270" s="13">
        <v>0.23918185411237047</v>
      </c>
      <c r="J270" s="9">
        <v>8</v>
      </c>
      <c r="K270" s="9" t="s">
        <v>86</v>
      </c>
      <c r="L270" s="9">
        <v>10.050000000000001</v>
      </c>
      <c r="M270" s="9">
        <v>66.2</v>
      </c>
      <c r="N270" s="9">
        <v>34.799999999999997</v>
      </c>
      <c r="O270" s="9">
        <v>32.200000000000003</v>
      </c>
      <c r="P270" s="9">
        <v>38.9</v>
      </c>
      <c r="Q270" s="9">
        <v>85.9</v>
      </c>
    </row>
    <row r="271" spans="1:17">
      <c r="A271">
        <v>60.2</v>
      </c>
      <c r="B271">
        <v>28.8</v>
      </c>
      <c r="C271">
        <v>33.9</v>
      </c>
      <c r="D271">
        <v>33.9</v>
      </c>
      <c r="E271">
        <v>90.1</v>
      </c>
      <c r="F271" s="13">
        <v>10.011327519927963</v>
      </c>
      <c r="G271">
        <v>9.44</v>
      </c>
      <c r="H271" s="13">
        <v>-0.57132751992796393</v>
      </c>
      <c r="J271" s="9">
        <v>8</v>
      </c>
      <c r="K271" s="9" t="s">
        <v>88</v>
      </c>
      <c r="L271" s="9">
        <v>9.7799999999999994</v>
      </c>
      <c r="M271" s="9">
        <v>60.8</v>
      </c>
      <c r="N271" s="9">
        <v>22.2</v>
      </c>
      <c r="O271" s="9">
        <v>33.4</v>
      </c>
      <c r="P271" s="9">
        <v>35.299999999999997</v>
      </c>
      <c r="Q271" s="9">
        <v>86.1</v>
      </c>
    </row>
    <row r="272" spans="1:17">
      <c r="A272">
        <v>56.1</v>
      </c>
      <c r="B272">
        <v>16</v>
      </c>
      <c r="C272">
        <v>32.200000000000003</v>
      </c>
      <c r="D272">
        <v>33.299999999999997</v>
      </c>
      <c r="E272">
        <v>87.9</v>
      </c>
      <c r="F272" s="13">
        <v>9.9231401096234784</v>
      </c>
      <c r="G272">
        <v>10.28</v>
      </c>
      <c r="H272" s="13">
        <v>0.35685989037652099</v>
      </c>
      <c r="J272" s="9">
        <v>8</v>
      </c>
      <c r="K272" s="9" t="s">
        <v>89</v>
      </c>
      <c r="L272" s="9">
        <v>10.15</v>
      </c>
      <c r="M272" s="9">
        <v>60.8</v>
      </c>
      <c r="N272" s="9">
        <v>19</v>
      </c>
      <c r="O272" s="9">
        <v>32.4</v>
      </c>
      <c r="P272" s="9">
        <v>33.299999999999997</v>
      </c>
      <c r="Q272" s="9">
        <v>88.2</v>
      </c>
    </row>
    <row r="273" spans="1:17">
      <c r="A273">
        <v>63.2</v>
      </c>
      <c r="B273">
        <v>29.2</v>
      </c>
      <c r="C273">
        <v>31.6</v>
      </c>
      <c r="D273">
        <v>32.9</v>
      </c>
      <c r="E273">
        <v>88.4</v>
      </c>
      <c r="F273" s="13">
        <v>9.9155782560016732</v>
      </c>
      <c r="G273">
        <v>9.85</v>
      </c>
      <c r="H273" s="13">
        <v>-6.5578256001673552E-2</v>
      </c>
      <c r="J273" s="9">
        <v>8</v>
      </c>
      <c r="K273" s="9" t="s">
        <v>90</v>
      </c>
      <c r="L273" s="9">
        <v>10.24</v>
      </c>
      <c r="M273" s="9">
        <v>56.6</v>
      </c>
      <c r="N273" s="9">
        <v>29</v>
      </c>
      <c r="O273" s="9">
        <v>35.299999999999997</v>
      </c>
      <c r="P273" s="9">
        <v>31.7</v>
      </c>
      <c r="Q273" s="9">
        <v>82.3</v>
      </c>
    </row>
    <row r="274" spans="1:17">
      <c r="A274">
        <v>65.7</v>
      </c>
      <c r="B274">
        <v>21.8</v>
      </c>
      <c r="C274">
        <v>33.200000000000003</v>
      </c>
      <c r="D274">
        <v>32.799999999999997</v>
      </c>
      <c r="E274">
        <v>90.2</v>
      </c>
      <c r="F274" s="13">
        <v>9.8555417768248859</v>
      </c>
      <c r="G274">
        <v>9.51</v>
      </c>
      <c r="H274" s="13">
        <v>-0.34554177682488607</v>
      </c>
      <c r="J274" s="9">
        <v>8</v>
      </c>
      <c r="K274" s="9" t="s">
        <v>91</v>
      </c>
      <c r="L274" s="9">
        <v>10.02</v>
      </c>
      <c r="M274" s="9">
        <v>57.9</v>
      </c>
      <c r="N274" s="9">
        <v>34.5</v>
      </c>
      <c r="O274" s="9">
        <v>33.200000000000003</v>
      </c>
      <c r="P274" s="9">
        <v>34</v>
      </c>
      <c r="Q274" s="9">
        <v>84.9</v>
      </c>
    </row>
    <row r="275" spans="1:17">
      <c r="A275">
        <v>65.8</v>
      </c>
      <c r="B275">
        <v>26.6</v>
      </c>
      <c r="C275">
        <v>32.200000000000003</v>
      </c>
      <c r="D275">
        <v>33.9</v>
      </c>
      <c r="E275">
        <v>89.4</v>
      </c>
      <c r="F275" s="13">
        <v>9.8675819116062531</v>
      </c>
      <c r="G275">
        <v>10.1</v>
      </c>
      <c r="H275" s="13">
        <v>0.23241808839374656</v>
      </c>
      <c r="J275" s="9">
        <v>8</v>
      </c>
      <c r="K275" s="9" t="s">
        <v>92</v>
      </c>
      <c r="L275" s="9">
        <v>9.98</v>
      </c>
      <c r="M275" s="9">
        <v>63.2</v>
      </c>
      <c r="N275" s="9">
        <v>20.100000000000001</v>
      </c>
      <c r="O275" s="9">
        <v>32.700000000000003</v>
      </c>
      <c r="P275" s="9">
        <v>34.1</v>
      </c>
      <c r="Q275" s="9">
        <v>85</v>
      </c>
    </row>
    <row r="276" spans="1:17">
      <c r="A276">
        <v>64.3</v>
      </c>
      <c r="B276">
        <v>32.799999999999997</v>
      </c>
      <c r="C276">
        <v>34</v>
      </c>
      <c r="D276">
        <v>36</v>
      </c>
      <c r="E276">
        <v>88.6</v>
      </c>
      <c r="F276" s="13">
        <v>9.9820946199993603</v>
      </c>
      <c r="G276">
        <v>10.01</v>
      </c>
      <c r="H276" s="13">
        <v>2.7905380000639468E-2</v>
      </c>
      <c r="J276" s="9">
        <v>8</v>
      </c>
      <c r="K276" s="9" t="s">
        <v>93</v>
      </c>
      <c r="L276" s="9">
        <v>10.050000000000001</v>
      </c>
      <c r="M276" s="9">
        <v>69.099999999999994</v>
      </c>
      <c r="N276" s="9">
        <v>17.899999999999999</v>
      </c>
      <c r="O276" s="9">
        <v>31.1</v>
      </c>
      <c r="P276" s="9">
        <v>34.9</v>
      </c>
      <c r="Q276" s="9">
        <v>83.8</v>
      </c>
    </row>
    <row r="277" spans="1:17">
      <c r="A277">
        <v>79.2</v>
      </c>
      <c r="B277">
        <v>30.6</v>
      </c>
      <c r="C277">
        <v>33</v>
      </c>
      <c r="D277">
        <v>35.799999999999997</v>
      </c>
      <c r="E277">
        <v>90.2</v>
      </c>
      <c r="F277" s="13">
        <v>9.7180321338411702</v>
      </c>
      <c r="G277">
        <v>9.75</v>
      </c>
      <c r="H277" s="13">
        <v>3.196786615882985E-2</v>
      </c>
      <c r="J277" s="9">
        <v>8</v>
      </c>
      <c r="K277" s="9" t="s">
        <v>94</v>
      </c>
      <c r="L277" s="9">
        <v>10.11</v>
      </c>
      <c r="M277" s="9">
        <v>58.9</v>
      </c>
      <c r="N277" s="9">
        <v>22.8</v>
      </c>
      <c r="O277" s="9">
        <v>33.1</v>
      </c>
      <c r="P277" s="9">
        <v>34.5</v>
      </c>
      <c r="Q277" s="9">
        <v>87.5</v>
      </c>
    </row>
    <row r="278" spans="1:17">
      <c r="A278">
        <v>62.8</v>
      </c>
      <c r="B278">
        <v>25.8</v>
      </c>
      <c r="C278">
        <v>33.5</v>
      </c>
      <c r="D278">
        <v>32.200000000000003</v>
      </c>
      <c r="E278">
        <v>88.7</v>
      </c>
      <c r="F278" s="13">
        <v>9.9411466543359932</v>
      </c>
      <c r="G278">
        <v>9.5</v>
      </c>
      <c r="H278" s="13">
        <v>-0.4411466543359932</v>
      </c>
      <c r="J278" s="9">
        <v>8</v>
      </c>
      <c r="K278" s="9" t="s">
        <v>95</v>
      </c>
      <c r="L278" s="9">
        <v>10.55</v>
      </c>
      <c r="M278" s="9">
        <v>59.3</v>
      </c>
      <c r="N278" s="9">
        <v>24.6</v>
      </c>
      <c r="O278" s="9">
        <v>33.299999999999997</v>
      </c>
      <c r="P278" s="9">
        <v>36.9</v>
      </c>
      <c r="Q278" s="9">
        <v>88.7</v>
      </c>
    </row>
    <row r="279" spans="1:17">
      <c r="A279">
        <v>58.4</v>
      </c>
      <c r="B279">
        <v>16.7</v>
      </c>
      <c r="C279">
        <v>32.4</v>
      </c>
      <c r="D279">
        <v>32.200000000000003</v>
      </c>
      <c r="E279">
        <v>86.8</v>
      </c>
      <c r="F279" s="13">
        <v>9.9022314771331779</v>
      </c>
      <c r="G279">
        <v>9.52</v>
      </c>
      <c r="H279" s="13">
        <v>-0.38223147713317829</v>
      </c>
      <c r="J279" s="9">
        <v>8</v>
      </c>
      <c r="K279" s="9" t="s">
        <v>96</v>
      </c>
      <c r="L279" s="9">
        <v>10.06</v>
      </c>
      <c r="M279" s="9">
        <v>58.8</v>
      </c>
      <c r="N279" s="9">
        <v>23.5</v>
      </c>
      <c r="O279" s="9">
        <v>33.4</v>
      </c>
      <c r="P279" s="9">
        <v>36.5</v>
      </c>
      <c r="Q279" s="9">
        <v>88.1</v>
      </c>
    </row>
    <row r="280" spans="1:17">
      <c r="A280">
        <v>63.8</v>
      </c>
      <c r="B280">
        <v>25.9</v>
      </c>
      <c r="C280">
        <v>33.6</v>
      </c>
      <c r="D280">
        <v>36</v>
      </c>
      <c r="E280">
        <v>86.4</v>
      </c>
      <c r="F280" s="13">
        <v>9.9211477885582298</v>
      </c>
      <c r="G280">
        <v>9.82</v>
      </c>
      <c r="H280" s="13">
        <v>-0.10114778855822948</v>
      </c>
      <c r="J280" s="9">
        <v>8</v>
      </c>
      <c r="K280" s="9" t="s">
        <v>97</v>
      </c>
      <c r="L280" s="9">
        <v>10.08</v>
      </c>
      <c r="M280" s="9">
        <v>63.9</v>
      </c>
      <c r="N280" s="9">
        <v>37.299999999999997</v>
      </c>
      <c r="O280" s="9">
        <v>32.6</v>
      </c>
      <c r="P280" s="9">
        <v>37.9</v>
      </c>
      <c r="Q280" s="9">
        <v>88.4</v>
      </c>
    </row>
    <row r="281" spans="1:17">
      <c r="A281">
        <v>57.4</v>
      </c>
      <c r="B281">
        <v>14.5</v>
      </c>
      <c r="C281">
        <v>32.9</v>
      </c>
      <c r="D281">
        <v>31.8</v>
      </c>
      <c r="E281">
        <v>87.3</v>
      </c>
      <c r="F281" s="13">
        <v>9.9116853678121259</v>
      </c>
      <c r="G281">
        <v>9.68</v>
      </c>
      <c r="H281" s="13">
        <v>-0.23168536781212623</v>
      </c>
      <c r="J281" s="9">
        <v>8</v>
      </c>
      <c r="K281" s="9" t="s">
        <v>98</v>
      </c>
      <c r="L281" s="9">
        <v>10.08</v>
      </c>
      <c r="M281" s="9">
        <v>64.8</v>
      </c>
      <c r="N281" s="9">
        <v>34.9</v>
      </c>
      <c r="O281" s="9">
        <v>33.200000000000003</v>
      </c>
      <c r="P281" s="9">
        <v>38</v>
      </c>
      <c r="Q281" s="9">
        <v>86.8</v>
      </c>
    </row>
    <row r="282" spans="1:17">
      <c r="A282">
        <v>51</v>
      </c>
      <c r="B282">
        <v>10.5</v>
      </c>
      <c r="C282">
        <v>33.1</v>
      </c>
      <c r="D282">
        <v>31.9</v>
      </c>
      <c r="E282">
        <v>87.2</v>
      </c>
      <c r="F282" s="13">
        <v>9.9775644196681359</v>
      </c>
      <c r="G282">
        <v>9.67</v>
      </c>
      <c r="H282" s="13">
        <v>-0.30756441966813597</v>
      </c>
      <c r="J282" s="9">
        <v>8</v>
      </c>
      <c r="K282" s="9" t="s">
        <v>99</v>
      </c>
      <c r="L282" s="9">
        <v>9.77</v>
      </c>
      <c r="M282" s="9">
        <v>60.3</v>
      </c>
      <c r="N282" s="9">
        <v>20</v>
      </c>
      <c r="O282" s="9">
        <v>34.200000000000003</v>
      </c>
      <c r="P282" s="9">
        <v>33.6</v>
      </c>
      <c r="Q282" s="9">
        <v>89.3</v>
      </c>
    </row>
    <row r="283" spans="1:17">
      <c r="A283">
        <v>51.6</v>
      </c>
      <c r="B283">
        <v>17.2</v>
      </c>
      <c r="C283">
        <v>32.9</v>
      </c>
      <c r="D283">
        <v>32.4</v>
      </c>
      <c r="E283">
        <v>87</v>
      </c>
      <c r="F283" s="13">
        <v>10.019344892530997</v>
      </c>
      <c r="G283">
        <v>9.73</v>
      </c>
      <c r="H283" s="13">
        <v>-0.28934489253099649</v>
      </c>
      <c r="J283" s="9">
        <v>8</v>
      </c>
      <c r="K283" s="9" t="s">
        <v>100</v>
      </c>
      <c r="L283" s="9">
        <v>10.130000000000001</v>
      </c>
      <c r="M283" s="9">
        <v>54.1</v>
      </c>
      <c r="N283" s="9">
        <v>18.3</v>
      </c>
      <c r="O283" s="9">
        <v>33.6</v>
      </c>
      <c r="P283" s="9">
        <v>37.799999999999997</v>
      </c>
      <c r="Q283" s="9">
        <v>90.2</v>
      </c>
    </row>
    <row r="284" spans="1:17">
      <c r="A284">
        <v>54.6</v>
      </c>
      <c r="B284">
        <v>14.2</v>
      </c>
      <c r="C284">
        <v>34</v>
      </c>
      <c r="D284">
        <v>33.299999999999997</v>
      </c>
      <c r="E284">
        <v>86.1</v>
      </c>
      <c r="F284" s="13">
        <v>9.9745064573340301</v>
      </c>
      <c r="G284">
        <v>9.85</v>
      </c>
      <c r="H284" s="13">
        <v>-0.12450645733403043</v>
      </c>
      <c r="J284" s="9">
        <v>8</v>
      </c>
      <c r="K284" s="9" t="s">
        <v>101</v>
      </c>
      <c r="L284" s="9">
        <v>9.44</v>
      </c>
      <c r="M284" s="9">
        <v>59.8</v>
      </c>
      <c r="N284" s="9">
        <v>31.4</v>
      </c>
      <c r="O284" s="9">
        <v>33.200000000000003</v>
      </c>
      <c r="P284" s="9">
        <v>36</v>
      </c>
      <c r="Q284" s="9">
        <v>92.4</v>
      </c>
    </row>
    <row r="285" spans="1:17">
      <c r="A285">
        <v>51.8</v>
      </c>
      <c r="B285">
        <v>13.8</v>
      </c>
      <c r="C285">
        <v>32.799999999999997</v>
      </c>
      <c r="D285">
        <v>32.9</v>
      </c>
      <c r="E285">
        <v>86.5</v>
      </c>
      <c r="F285" s="13">
        <v>9.9839977789485275</v>
      </c>
      <c r="G285">
        <v>9.92</v>
      </c>
      <c r="H285" s="13">
        <v>-6.3997778948527539E-2</v>
      </c>
    </row>
    <row r="286" spans="1:17">
      <c r="A286">
        <v>72.099999999999994</v>
      </c>
      <c r="B286">
        <v>28.4</v>
      </c>
      <c r="C286">
        <v>35.5</v>
      </c>
      <c r="D286">
        <v>38.700000000000003</v>
      </c>
      <c r="E286">
        <v>88.6</v>
      </c>
      <c r="F286" s="13">
        <v>9.8600500170085628</v>
      </c>
      <c r="G286">
        <v>9.2100000000000009</v>
      </c>
      <c r="H286" s="13">
        <v>-0.65005001700856191</v>
      </c>
    </row>
    <row r="287" spans="1:17">
      <c r="A287">
        <v>73.7</v>
      </c>
      <c r="B287">
        <v>28.4</v>
      </c>
      <c r="C287">
        <v>33</v>
      </c>
      <c r="D287">
        <v>38.4</v>
      </c>
      <c r="E287">
        <v>87.5</v>
      </c>
      <c r="F287" s="13">
        <v>9.7752487075923096</v>
      </c>
      <c r="G287">
        <v>9.59</v>
      </c>
      <c r="H287" s="13">
        <v>-0.18524870759230971</v>
      </c>
    </row>
    <row r="288" spans="1:17">
      <c r="A288">
        <v>69.099999999999994</v>
      </c>
      <c r="B288">
        <v>27.4</v>
      </c>
      <c r="C288">
        <v>33.6</v>
      </c>
      <c r="D288">
        <v>33.799999999999997</v>
      </c>
      <c r="E288">
        <v>87.1</v>
      </c>
      <c r="F288" s="13">
        <v>9.8600200913932365</v>
      </c>
      <c r="G288">
        <v>9.6999999999999993</v>
      </c>
      <c r="H288" s="13">
        <v>-0.16002009139323725</v>
      </c>
    </row>
    <row r="289" spans="1:8">
      <c r="A289">
        <v>69.900000000000006</v>
      </c>
      <c r="B289">
        <v>22.7</v>
      </c>
      <c r="C289">
        <v>32.799999999999997</v>
      </c>
      <c r="D289">
        <v>32.799999999999997</v>
      </c>
      <c r="E289">
        <v>86.2</v>
      </c>
      <c r="F289" s="13">
        <v>9.7907826207206519</v>
      </c>
      <c r="G289">
        <v>9.7100000000000009</v>
      </c>
      <c r="H289" s="13">
        <v>-8.0782620720651011E-2</v>
      </c>
    </row>
    <row r="290" spans="1:8">
      <c r="A290">
        <v>70.2</v>
      </c>
      <c r="B290">
        <v>27.2</v>
      </c>
      <c r="C290">
        <v>32.700000000000003</v>
      </c>
      <c r="D290">
        <v>34.700000000000003</v>
      </c>
      <c r="E290">
        <v>86.7</v>
      </c>
      <c r="F290" s="13">
        <v>9.8177936932763252</v>
      </c>
      <c r="G290">
        <v>9.5500000000000007</v>
      </c>
      <c r="H290" s="13">
        <v>-0.26779369327632452</v>
      </c>
    </row>
    <row r="291" spans="1:8">
      <c r="A291">
        <v>65.900000000000006</v>
      </c>
      <c r="B291">
        <v>25.3</v>
      </c>
      <c r="C291">
        <v>33.4</v>
      </c>
      <c r="D291">
        <v>35.299999999999997</v>
      </c>
      <c r="E291">
        <v>87.9</v>
      </c>
      <c r="F291" s="13">
        <v>9.8815462825353713</v>
      </c>
      <c r="G291">
        <v>9.6300000000000008</v>
      </c>
      <c r="H291" s="13">
        <v>-0.25154628253537048</v>
      </c>
    </row>
    <row r="292" spans="1:8">
      <c r="A292">
        <v>65.900000000000006</v>
      </c>
      <c r="B292">
        <v>26.4</v>
      </c>
      <c r="C292">
        <v>34.200000000000003</v>
      </c>
      <c r="D292">
        <v>35.299999999999997</v>
      </c>
      <c r="E292">
        <v>87.3</v>
      </c>
      <c r="F292" s="13">
        <v>9.9105714256430879</v>
      </c>
      <c r="G292">
        <v>9.8000000000000007</v>
      </c>
      <c r="H292" s="13">
        <v>-0.1105714256430872</v>
      </c>
    </row>
    <row r="293" spans="1:8">
      <c r="A293">
        <v>62.8</v>
      </c>
      <c r="B293">
        <v>18.8</v>
      </c>
      <c r="C293">
        <v>34.299999999999997</v>
      </c>
      <c r="D293">
        <v>35</v>
      </c>
      <c r="E293">
        <v>87.5</v>
      </c>
      <c r="F293" s="13">
        <v>9.8953877901538547</v>
      </c>
      <c r="G293">
        <v>9.61</v>
      </c>
      <c r="H293" s="13">
        <v>-0.28538779015385529</v>
      </c>
    </row>
    <row r="294" spans="1:8">
      <c r="A294">
        <v>57.7</v>
      </c>
      <c r="B294">
        <v>17.2</v>
      </c>
      <c r="C294">
        <v>32.9</v>
      </c>
      <c r="D294">
        <v>31.7</v>
      </c>
      <c r="E294">
        <v>86.8</v>
      </c>
      <c r="F294" s="13">
        <v>9.9302956087238741</v>
      </c>
      <c r="G294">
        <v>9.93</v>
      </c>
      <c r="H294" s="13">
        <v>-2.9560872387435211E-4</v>
      </c>
    </row>
    <row r="295" spans="1:8">
      <c r="A295">
        <v>65.7</v>
      </c>
      <c r="B295">
        <v>19.2</v>
      </c>
      <c r="C295">
        <v>33.4</v>
      </c>
      <c r="D295">
        <v>34.299999999999997</v>
      </c>
      <c r="E295">
        <v>85.9</v>
      </c>
      <c r="F295" s="13">
        <v>9.8349969821114396</v>
      </c>
      <c r="G295">
        <v>9.77</v>
      </c>
      <c r="H295" s="13">
        <v>-6.4996982111440005E-2</v>
      </c>
    </row>
    <row r="296" spans="1:8">
      <c r="A296">
        <v>65</v>
      </c>
      <c r="B296">
        <v>16.7</v>
      </c>
      <c r="C296">
        <v>33.6</v>
      </c>
      <c r="D296">
        <v>31.6</v>
      </c>
      <c r="E296">
        <v>87.6</v>
      </c>
      <c r="F296" s="13">
        <v>9.8351708263650597</v>
      </c>
      <c r="G296">
        <v>9.8800000000000008</v>
      </c>
      <c r="H296" s="13">
        <v>4.48291736349411E-2</v>
      </c>
    </row>
    <row r="297" spans="1:8">
      <c r="A297">
        <v>64.099999999999994</v>
      </c>
      <c r="B297">
        <v>17.899999999999999</v>
      </c>
      <c r="C297">
        <v>33.6</v>
      </c>
      <c r="D297">
        <v>31.3</v>
      </c>
      <c r="E297">
        <v>84.9</v>
      </c>
      <c r="F297" s="13">
        <v>9.859261846554114</v>
      </c>
      <c r="G297">
        <v>9.89</v>
      </c>
      <c r="H297" s="13">
        <v>3.0738153445886596E-2</v>
      </c>
    </row>
    <row r="298" spans="1:8">
      <c r="A298">
        <v>51.5</v>
      </c>
      <c r="B298">
        <v>13.1</v>
      </c>
      <c r="C298">
        <v>33.700000000000003</v>
      </c>
      <c r="D298">
        <v>32.700000000000003</v>
      </c>
      <c r="E298">
        <v>85</v>
      </c>
      <c r="F298" s="13">
        <v>10.00511144546093</v>
      </c>
      <c r="G298">
        <v>10.130000000000001</v>
      </c>
      <c r="H298" s="13">
        <v>0.124888554539071</v>
      </c>
    </row>
    <row r="299" spans="1:8">
      <c r="A299">
        <v>57.9</v>
      </c>
      <c r="B299">
        <v>15.4</v>
      </c>
      <c r="C299">
        <v>33.6</v>
      </c>
      <c r="D299">
        <v>33.299999999999997</v>
      </c>
      <c r="E299">
        <v>86.5</v>
      </c>
      <c r="F299" s="13">
        <v>9.9258104966214553</v>
      </c>
      <c r="G299">
        <v>10.119999999999999</v>
      </c>
      <c r="H299" s="13">
        <v>0.1941895033785439</v>
      </c>
    </row>
    <row r="300" spans="1:8">
      <c r="A300">
        <v>59</v>
      </c>
      <c r="B300">
        <v>20.399999999999999</v>
      </c>
      <c r="C300">
        <v>35.1</v>
      </c>
      <c r="D300">
        <v>36.9</v>
      </c>
      <c r="E300">
        <v>83.5</v>
      </c>
      <c r="F300" s="13">
        <v>9.9807655002640647</v>
      </c>
      <c r="G300">
        <v>9.91</v>
      </c>
      <c r="H300" s="13">
        <v>-7.0765500264064585E-2</v>
      </c>
    </row>
    <row r="301" spans="1:8">
      <c r="A301">
        <v>61.5</v>
      </c>
      <c r="B301">
        <v>16.7</v>
      </c>
      <c r="C301">
        <v>34.299999999999997</v>
      </c>
      <c r="D301">
        <v>34.700000000000003</v>
      </c>
      <c r="E301">
        <v>84.3</v>
      </c>
      <c r="F301" s="13">
        <v>9.8974576361718238</v>
      </c>
      <c r="G301">
        <v>10.06</v>
      </c>
      <c r="H301" s="13">
        <v>0.16254236382817666</v>
      </c>
    </row>
    <row r="302" spans="1:8">
      <c r="A302">
        <v>61.6</v>
      </c>
      <c r="B302">
        <v>25.5</v>
      </c>
      <c r="C302">
        <v>32.4</v>
      </c>
      <c r="D302">
        <v>32</v>
      </c>
      <c r="E302">
        <v>87.7</v>
      </c>
      <c r="F302" s="13">
        <v>9.9296998477693421</v>
      </c>
      <c r="G302">
        <v>9.86</v>
      </c>
      <c r="H302" s="13">
        <v>-6.9699847769342682E-2</v>
      </c>
    </row>
    <row r="303" spans="1:8">
      <c r="A303">
        <v>72.400000000000006</v>
      </c>
      <c r="B303">
        <v>39.5</v>
      </c>
      <c r="C303">
        <v>33.5</v>
      </c>
      <c r="D303">
        <v>34.5</v>
      </c>
      <c r="E303">
        <v>89.7</v>
      </c>
      <c r="F303" s="13">
        <v>9.9095565433369135</v>
      </c>
      <c r="G303">
        <v>9.94</v>
      </c>
      <c r="H303" s="13">
        <v>3.044345666308601E-2</v>
      </c>
    </row>
    <row r="304" spans="1:8">
      <c r="A304">
        <v>66.2</v>
      </c>
      <c r="B304">
        <v>34.799999999999997</v>
      </c>
      <c r="C304">
        <v>32.200000000000003</v>
      </c>
      <c r="D304">
        <v>38.9</v>
      </c>
      <c r="E304">
        <v>85.9</v>
      </c>
      <c r="F304" s="13">
        <v>9.9199254522224809</v>
      </c>
      <c r="G304">
        <v>10.050000000000001</v>
      </c>
      <c r="H304" s="13">
        <v>0.13007454777751981</v>
      </c>
    </row>
    <row r="305" spans="1:8">
      <c r="A305">
        <v>60.8</v>
      </c>
      <c r="B305">
        <v>22.2</v>
      </c>
      <c r="C305">
        <v>33.4</v>
      </c>
      <c r="D305">
        <v>35.299999999999997</v>
      </c>
      <c r="E305">
        <v>86.1</v>
      </c>
      <c r="F305" s="13">
        <v>9.9309675720469066</v>
      </c>
      <c r="G305">
        <v>9.7799999999999994</v>
      </c>
      <c r="H305" s="13">
        <v>-0.15096757204690725</v>
      </c>
    </row>
    <row r="306" spans="1:8">
      <c r="A306">
        <v>60.8</v>
      </c>
      <c r="B306">
        <v>19</v>
      </c>
      <c r="C306">
        <v>32.4</v>
      </c>
      <c r="D306">
        <v>33.299999999999997</v>
      </c>
      <c r="E306">
        <v>88.2</v>
      </c>
      <c r="F306" s="13">
        <v>9.8836913658019991</v>
      </c>
      <c r="G306">
        <v>10.15</v>
      </c>
      <c r="H306" s="13">
        <v>0.26630863419800122</v>
      </c>
    </row>
    <row r="307" spans="1:8">
      <c r="A307">
        <v>56.6</v>
      </c>
      <c r="B307">
        <v>29</v>
      </c>
      <c r="C307">
        <v>35.299999999999997</v>
      </c>
      <c r="D307">
        <v>31.7</v>
      </c>
      <c r="E307">
        <v>82.3</v>
      </c>
      <c r="F307" s="13">
        <v>10.10558448248786</v>
      </c>
      <c r="G307">
        <v>10.24</v>
      </c>
      <c r="H307" s="13">
        <v>0.13441551751214043</v>
      </c>
    </row>
    <row r="308" spans="1:8">
      <c r="A308">
        <v>57.9</v>
      </c>
      <c r="B308">
        <v>34.5</v>
      </c>
      <c r="C308">
        <v>33.200000000000003</v>
      </c>
      <c r="D308">
        <v>34</v>
      </c>
      <c r="E308">
        <v>84.9</v>
      </c>
      <c r="F308" s="13">
        <v>10.07607577677096</v>
      </c>
      <c r="G308">
        <v>10.02</v>
      </c>
      <c r="H308" s="13">
        <v>-5.6075776770960317E-2</v>
      </c>
    </row>
    <row r="309" spans="1:8">
      <c r="A309">
        <v>63.2</v>
      </c>
      <c r="B309">
        <v>20.100000000000001</v>
      </c>
      <c r="C309">
        <v>32.700000000000003</v>
      </c>
      <c r="D309">
        <v>34.1</v>
      </c>
      <c r="E309">
        <v>85</v>
      </c>
      <c r="F309" s="13">
        <v>9.8628862255228231</v>
      </c>
      <c r="G309">
        <v>9.98</v>
      </c>
      <c r="H309" s="13">
        <v>0.1171137744771773</v>
      </c>
    </row>
    <row r="310" spans="1:8">
      <c r="A310">
        <v>69.099999999999994</v>
      </c>
      <c r="B310">
        <v>17.899999999999999</v>
      </c>
      <c r="C310">
        <v>31.1</v>
      </c>
      <c r="D310">
        <v>34.9</v>
      </c>
      <c r="E310">
        <v>83.8</v>
      </c>
      <c r="F310" s="13">
        <v>9.7153700616637249</v>
      </c>
      <c r="G310">
        <v>10.050000000000001</v>
      </c>
      <c r="H310" s="13">
        <v>0.33462993833627586</v>
      </c>
    </row>
    <row r="311" spans="1:8">
      <c r="A311">
        <v>58.9</v>
      </c>
      <c r="B311">
        <v>22.8</v>
      </c>
      <c r="C311">
        <v>33.1</v>
      </c>
      <c r="D311">
        <v>34.5</v>
      </c>
      <c r="E311">
        <v>87.5</v>
      </c>
      <c r="F311" s="13">
        <v>9.9586781312747803</v>
      </c>
      <c r="G311">
        <v>10.11</v>
      </c>
      <c r="H311" s="13">
        <v>0.15132186872521913</v>
      </c>
    </row>
    <row r="312" spans="1:8">
      <c r="A312">
        <v>59.3</v>
      </c>
      <c r="B312">
        <v>24.6</v>
      </c>
      <c r="C312">
        <v>33.299999999999997</v>
      </c>
      <c r="D312">
        <v>36.9</v>
      </c>
      <c r="E312">
        <v>88.7</v>
      </c>
      <c r="F312" s="13">
        <v>9.9676636153923575</v>
      </c>
      <c r="G312">
        <v>10.55</v>
      </c>
      <c r="H312" s="13">
        <v>0.58233638460764325</v>
      </c>
    </row>
    <row r="313" spans="1:8">
      <c r="A313">
        <v>58.8</v>
      </c>
      <c r="B313">
        <v>23.5</v>
      </c>
      <c r="C313">
        <v>33.4</v>
      </c>
      <c r="D313">
        <v>36.5</v>
      </c>
      <c r="E313">
        <v>88.1</v>
      </c>
      <c r="F313" s="13">
        <v>9.9691013148958767</v>
      </c>
      <c r="G313">
        <v>10.06</v>
      </c>
      <c r="H313" s="13">
        <v>9.08986851041238E-2</v>
      </c>
    </row>
    <row r="314" spans="1:8">
      <c r="A314">
        <v>63.9</v>
      </c>
      <c r="B314">
        <v>37.299999999999997</v>
      </c>
      <c r="C314">
        <v>32.6</v>
      </c>
      <c r="D314">
        <v>37.9</v>
      </c>
      <c r="E314">
        <v>88.4</v>
      </c>
      <c r="F314" s="13">
        <v>9.9874107978874633</v>
      </c>
      <c r="G314">
        <v>10.08</v>
      </c>
      <c r="H314" s="13">
        <v>9.2589202112536739E-2</v>
      </c>
    </row>
    <row r="315" spans="1:8">
      <c r="A315">
        <v>64.8</v>
      </c>
      <c r="B315">
        <v>34.9</v>
      </c>
      <c r="C315">
        <v>33.200000000000003</v>
      </c>
      <c r="D315">
        <v>38</v>
      </c>
      <c r="E315">
        <v>86.8</v>
      </c>
      <c r="F315" s="13">
        <v>9.9682445786451481</v>
      </c>
      <c r="G315">
        <v>10.08</v>
      </c>
      <c r="H315" s="13">
        <v>0.11175542135485195</v>
      </c>
    </row>
    <row r="316" spans="1:8">
      <c r="A316">
        <v>60.3</v>
      </c>
      <c r="B316">
        <v>20</v>
      </c>
      <c r="C316">
        <v>34.200000000000003</v>
      </c>
      <c r="D316">
        <v>33.6</v>
      </c>
      <c r="E316">
        <v>89.3</v>
      </c>
      <c r="F316" s="13">
        <v>9.9433595088058766</v>
      </c>
      <c r="G316">
        <v>9.77</v>
      </c>
      <c r="H316" s="13">
        <v>-0.17335950880587703</v>
      </c>
    </row>
    <row r="317" spans="1:8">
      <c r="A317">
        <v>54.1</v>
      </c>
      <c r="B317">
        <v>18.3</v>
      </c>
      <c r="C317">
        <v>33.6</v>
      </c>
      <c r="D317">
        <v>37.799999999999997</v>
      </c>
      <c r="E317">
        <v>90.2</v>
      </c>
      <c r="F317" s="13">
        <v>9.9970066888800879</v>
      </c>
      <c r="G317">
        <v>10.130000000000001</v>
      </c>
      <c r="H317" s="13">
        <v>0.13299331111991286</v>
      </c>
    </row>
    <row r="318" spans="1:8">
      <c r="A318">
        <v>59.8</v>
      </c>
      <c r="B318">
        <v>31.4</v>
      </c>
      <c r="C318">
        <v>33.200000000000003</v>
      </c>
      <c r="D318">
        <v>36</v>
      </c>
      <c r="E318">
        <v>92.4</v>
      </c>
      <c r="F318" s="13">
        <v>10.017469462197292</v>
      </c>
      <c r="G318">
        <v>9.44</v>
      </c>
      <c r="H318" s="13">
        <v>-0.57746946219729267</v>
      </c>
    </row>
  </sheetData>
  <mergeCells count="1">
    <mergeCell ref="J1:K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9"/>
  <sheetViews>
    <sheetView tabSelected="1" zoomScaleNormal="100" workbookViewId="0">
      <selection activeCell="N6" sqref="N6:S6"/>
    </sheetView>
  </sheetViews>
  <sheetFormatPr defaultColWidth="11.5703125" defaultRowHeight="12.75"/>
  <cols>
    <col min="1" max="7" width="16.7109375" customWidth="1"/>
    <col min="8" max="9" width="8.7109375" customWidth="1"/>
    <col min="11" max="19" width="8.7109375" customWidth="1"/>
  </cols>
  <sheetData>
    <row r="1" spans="1:19" ht="15.6">
      <c r="K1" s="26" t="s">
        <v>24</v>
      </c>
      <c r="L1" s="26"/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</row>
    <row r="2" spans="1:19" ht="41.85" customHeight="1">
      <c r="K2" s="7" t="s">
        <v>25</v>
      </c>
      <c r="L2" s="7" t="s">
        <v>26</v>
      </c>
      <c r="M2" s="8" t="s">
        <v>13</v>
      </c>
      <c r="N2" s="7" t="s">
        <v>102</v>
      </c>
      <c r="O2" s="7" t="s">
        <v>103</v>
      </c>
      <c r="P2" s="7" t="s">
        <v>104</v>
      </c>
      <c r="Q2" s="7" t="s">
        <v>105</v>
      </c>
      <c r="R2" s="7" t="s">
        <v>106</v>
      </c>
      <c r="S2" s="7" t="s">
        <v>107</v>
      </c>
    </row>
    <row r="3" spans="1:19">
      <c r="A3" t="s">
        <v>32</v>
      </c>
      <c r="K3" s="9">
        <v>3</v>
      </c>
      <c r="L3" s="9" t="s">
        <v>33</v>
      </c>
      <c r="M3" s="9">
        <v>10.45</v>
      </c>
      <c r="N3" s="15">
        <v>6.33</v>
      </c>
      <c r="O3" s="15">
        <v>-0.28999999999999998</v>
      </c>
      <c r="P3" s="15">
        <v>-0.32</v>
      </c>
      <c r="Q3" s="15">
        <v>4.71</v>
      </c>
      <c r="R3" s="9">
        <v>0.02</v>
      </c>
      <c r="S3" s="16">
        <v>0.01</v>
      </c>
    </row>
    <row r="4" spans="1:19">
      <c r="A4" t="s">
        <v>34</v>
      </c>
      <c r="B4" t="s">
        <v>35</v>
      </c>
      <c r="K4" s="9">
        <v>3</v>
      </c>
      <c r="L4" s="9" t="s">
        <v>36</v>
      </c>
      <c r="M4" s="9">
        <v>9.9600000000000009</v>
      </c>
      <c r="N4" s="15">
        <v>6.36</v>
      </c>
      <c r="O4" s="15">
        <v>-0.25</v>
      </c>
      <c r="P4" s="15">
        <v>-0.88</v>
      </c>
      <c r="Q4" s="15">
        <v>4.71</v>
      </c>
      <c r="R4" s="9">
        <v>0.02</v>
      </c>
      <c r="S4" s="16">
        <v>0.01</v>
      </c>
    </row>
    <row r="5" spans="1:19">
      <c r="K5" s="9">
        <v>3</v>
      </c>
      <c r="L5" s="9" t="s">
        <v>37</v>
      </c>
      <c r="M5" s="9">
        <v>9.74</v>
      </c>
      <c r="N5" s="15">
        <v>5.95</v>
      </c>
      <c r="O5" s="15">
        <v>-0.28999999999999998</v>
      </c>
      <c r="P5" s="15">
        <v>-0.62</v>
      </c>
      <c r="Q5" s="15">
        <v>4.71</v>
      </c>
      <c r="R5" s="9">
        <v>-0.01</v>
      </c>
      <c r="S5" s="16">
        <v>0</v>
      </c>
    </row>
    <row r="6" spans="1:19">
      <c r="A6" s="11" t="s">
        <v>38</v>
      </c>
      <c r="K6" s="9">
        <v>3</v>
      </c>
      <c r="L6" s="9" t="s">
        <v>39</v>
      </c>
      <c r="M6" s="9">
        <v>10.01</v>
      </c>
      <c r="N6" s="15">
        <v>5.83</v>
      </c>
      <c r="O6" s="15">
        <v>-0.16</v>
      </c>
      <c r="P6" s="15">
        <v>-0.34</v>
      </c>
      <c r="Q6" s="15">
        <v>4.71</v>
      </c>
      <c r="R6" s="9">
        <v>-0.02</v>
      </c>
      <c r="S6" s="16">
        <v>-0.01</v>
      </c>
    </row>
    <row r="7" spans="1:19">
      <c r="A7" s="17">
        <f t="array" ref="A7:G11">LINEST($M$3:$M$284, $N$3:$S$284, 1, 1)</f>
        <v>1.0795343161574658</v>
      </c>
      <c r="B7" s="17">
        <v>0.97335261904932024</v>
      </c>
      <c r="C7" s="17">
        <v>1.055231551727938</v>
      </c>
      <c r="D7" s="17">
        <v>1.0138338694243276</v>
      </c>
      <c r="E7" s="17">
        <v>1.0010815115046827</v>
      </c>
      <c r="F7" s="17">
        <v>1.0061664435845969</v>
      </c>
      <c r="G7" s="17">
        <v>-0.28880884156143199</v>
      </c>
      <c r="K7" s="9">
        <v>3</v>
      </c>
      <c r="L7" s="9" t="s">
        <v>40</v>
      </c>
      <c r="M7" s="9">
        <v>10.16</v>
      </c>
      <c r="N7" s="15">
        <v>6.92</v>
      </c>
      <c r="O7" s="15">
        <v>-0.56999999999999995</v>
      </c>
      <c r="P7" s="15">
        <v>-0.87</v>
      </c>
      <c r="Q7" s="15">
        <v>4.71</v>
      </c>
      <c r="R7" s="9">
        <v>-0.02</v>
      </c>
      <c r="S7" s="16">
        <v>0.01</v>
      </c>
    </row>
    <row r="8" spans="1:19">
      <c r="A8" s="17">
        <v>2.8843122852645869E-2</v>
      </c>
      <c r="B8" s="17">
        <v>1.4025682381392934E-2</v>
      </c>
      <c r="C8" s="17">
        <v>1.5523001292720594E-2</v>
      </c>
      <c r="D8" s="17">
        <v>5.1642061314663137E-3</v>
      </c>
      <c r="E8" s="17">
        <v>7.2389322466857708E-3</v>
      </c>
      <c r="F8" s="17">
        <v>3.6923535273794142E-3</v>
      </c>
      <c r="G8" s="17">
        <v>7.6327540860458773E-2</v>
      </c>
      <c r="K8" s="9">
        <v>3</v>
      </c>
      <c r="L8" s="9" t="s">
        <v>41</v>
      </c>
      <c r="M8" s="9">
        <v>10.029999999999999</v>
      </c>
      <c r="N8" s="15">
        <v>6.09</v>
      </c>
      <c r="O8" s="15">
        <v>-0.25</v>
      </c>
      <c r="P8" s="15">
        <v>-0.5</v>
      </c>
      <c r="Q8" s="15">
        <v>4.71</v>
      </c>
      <c r="R8" s="9">
        <v>0.04</v>
      </c>
      <c r="S8" s="16">
        <v>-0.05</v>
      </c>
    </row>
    <row r="9" spans="1:19">
      <c r="A9" s="17">
        <v>0.99709703890666623</v>
      </c>
      <c r="B9" s="17">
        <v>1.4616789136257177E-2</v>
      </c>
      <c r="C9" s="17" t="e">
        <v>#N/A</v>
      </c>
      <c r="D9" s="17" t="e">
        <v>#N/A</v>
      </c>
      <c r="E9" s="17" t="e">
        <v>#N/A</v>
      </c>
      <c r="F9" s="17" t="e">
        <v>#N/A</v>
      </c>
      <c r="G9" s="17" t="e">
        <v>#N/A</v>
      </c>
      <c r="K9" s="9">
        <v>3</v>
      </c>
      <c r="L9" s="9" t="s">
        <v>42</v>
      </c>
      <c r="M9" s="9">
        <v>9.64</v>
      </c>
      <c r="N9" s="15">
        <v>5.37</v>
      </c>
      <c r="O9" s="15">
        <v>-0.14000000000000001</v>
      </c>
      <c r="P9" s="15">
        <v>-0.28000000000000003</v>
      </c>
      <c r="Q9" s="15">
        <v>4.71</v>
      </c>
      <c r="R9" s="9">
        <v>0</v>
      </c>
      <c r="S9" s="16">
        <v>-0.02</v>
      </c>
    </row>
    <row r="10" spans="1:19">
      <c r="A10" s="17">
        <v>15742.643280625922</v>
      </c>
      <c r="B10" s="17">
        <v>275</v>
      </c>
      <c r="C10" s="17" t="e">
        <v>#N/A</v>
      </c>
      <c r="D10" s="17" t="e">
        <v>#N/A</v>
      </c>
      <c r="E10" s="17" t="e">
        <v>#N/A</v>
      </c>
      <c r="F10" s="17" t="e">
        <v>#N/A</v>
      </c>
      <c r="G10" s="17" t="e">
        <v>#N/A</v>
      </c>
      <c r="K10" s="9">
        <v>3</v>
      </c>
      <c r="L10" s="9" t="s">
        <v>43</v>
      </c>
      <c r="M10" s="9">
        <v>9.74</v>
      </c>
      <c r="N10" s="15">
        <v>5.04</v>
      </c>
      <c r="O10" s="15">
        <v>-0.02</v>
      </c>
      <c r="P10" s="15">
        <v>0.04</v>
      </c>
      <c r="Q10" s="15">
        <v>4.71</v>
      </c>
      <c r="R10" s="9">
        <v>-0.03</v>
      </c>
      <c r="S10" s="16">
        <v>0.01</v>
      </c>
    </row>
    <row r="11" spans="1:19">
      <c r="A11" s="17">
        <v>20.180543978060633</v>
      </c>
      <c r="B11" s="17">
        <v>5.8753894279796604E-2</v>
      </c>
      <c r="C11" s="17" t="e">
        <v>#N/A</v>
      </c>
      <c r="D11" s="17" t="e">
        <v>#N/A</v>
      </c>
      <c r="E11" s="17" t="e">
        <v>#N/A</v>
      </c>
      <c r="F11" s="17" t="e">
        <v>#N/A</v>
      </c>
      <c r="G11" s="17" t="e">
        <v>#N/A</v>
      </c>
      <c r="K11" s="9">
        <v>3</v>
      </c>
      <c r="L11" s="9" t="s">
        <v>44</v>
      </c>
      <c r="M11" s="9">
        <v>9.8699999999999992</v>
      </c>
      <c r="N11" s="15">
        <v>5.25</v>
      </c>
      <c r="O11" s="15">
        <v>-0.05</v>
      </c>
      <c r="P11" s="15">
        <v>-0.03</v>
      </c>
      <c r="Q11" s="15">
        <v>4.71</v>
      </c>
      <c r="R11" s="9">
        <v>-0.01</v>
      </c>
      <c r="S11" s="16">
        <v>0</v>
      </c>
    </row>
    <row r="12" spans="1:19">
      <c r="K12" s="9">
        <v>3</v>
      </c>
      <c r="L12" s="9" t="s">
        <v>45</v>
      </c>
      <c r="M12" s="9">
        <v>9.66</v>
      </c>
      <c r="N12" s="15">
        <v>5.13</v>
      </c>
      <c r="O12" s="15">
        <v>-0.02</v>
      </c>
      <c r="P12" s="15">
        <v>-7.0000000000000007E-2</v>
      </c>
      <c r="Q12" s="15">
        <v>4.71</v>
      </c>
      <c r="R12" s="9">
        <v>-0.09</v>
      </c>
      <c r="S12" s="16">
        <v>0.01</v>
      </c>
    </row>
    <row r="13" spans="1:19">
      <c r="A13" s="11" t="s">
        <v>46</v>
      </c>
      <c r="K13" s="9">
        <v>3</v>
      </c>
      <c r="L13" s="9" t="s">
        <v>47</v>
      </c>
      <c r="M13" s="9">
        <v>9.8000000000000007</v>
      </c>
      <c r="N13" s="15">
        <v>4.91</v>
      </c>
      <c r="O13" s="15">
        <v>-0.01</v>
      </c>
      <c r="P13" s="15">
        <v>0.17</v>
      </c>
      <c r="Q13" s="15">
        <v>4.71</v>
      </c>
      <c r="R13" s="9">
        <v>0.01</v>
      </c>
      <c r="S13" s="16">
        <v>0.01</v>
      </c>
    </row>
    <row r="14" spans="1:19">
      <c r="A14" s="11" t="s">
        <v>48</v>
      </c>
      <c r="B14" s="27">
        <f>$A$9</f>
        <v>0.99709703890666623</v>
      </c>
      <c r="K14" s="9">
        <v>3</v>
      </c>
      <c r="L14" s="9" t="s">
        <v>49</v>
      </c>
      <c r="M14" s="9">
        <v>9.7899999999999991</v>
      </c>
      <c r="N14" s="15">
        <v>5.03</v>
      </c>
      <c r="O14" s="15">
        <v>-0.11</v>
      </c>
      <c r="P14" s="15">
        <v>0.16</v>
      </c>
      <c r="Q14" s="15">
        <v>4.71</v>
      </c>
      <c r="R14" s="9">
        <v>0</v>
      </c>
      <c r="S14" s="16">
        <v>0.01</v>
      </c>
    </row>
    <row r="15" spans="1:19">
      <c r="A15" t="s">
        <v>50</v>
      </c>
      <c r="B15" s="12">
        <f>$B$9</f>
        <v>1.4616789136257177E-2</v>
      </c>
      <c r="K15" s="9">
        <v>3</v>
      </c>
      <c r="L15" s="9" t="s">
        <v>51</v>
      </c>
      <c r="M15" s="9">
        <v>9.84</v>
      </c>
      <c r="N15" s="15">
        <v>4.32</v>
      </c>
      <c r="O15" s="15">
        <v>0.13</v>
      </c>
      <c r="P15" s="15">
        <v>0.69</v>
      </c>
      <c r="Q15" s="15">
        <v>4.71</v>
      </c>
      <c r="R15" s="9">
        <v>-0.02</v>
      </c>
      <c r="S15" s="16">
        <v>0.01</v>
      </c>
    </row>
    <row r="16" spans="1:19" ht="15.6">
      <c r="A16" s="11" t="s">
        <v>52</v>
      </c>
      <c r="B16" s="12">
        <f>6</f>
        <v>6</v>
      </c>
      <c r="K16" s="9">
        <v>3</v>
      </c>
      <c r="L16" s="9" t="s">
        <v>53</v>
      </c>
      <c r="M16" s="9">
        <v>9.99</v>
      </c>
      <c r="N16" s="15">
        <v>4.8499999999999996</v>
      </c>
      <c r="O16" s="15">
        <v>-0.05</v>
      </c>
      <c r="P16" s="15">
        <v>0.44</v>
      </c>
      <c r="Q16" s="15">
        <v>4.71</v>
      </c>
      <c r="R16" s="9">
        <v>0.04</v>
      </c>
      <c r="S16" s="16">
        <v>0.01</v>
      </c>
    </row>
    <row r="17" spans="1:19">
      <c r="A17" t="s">
        <v>54</v>
      </c>
      <c r="B17" s="12">
        <f>282</f>
        <v>282</v>
      </c>
      <c r="K17" s="9">
        <v>3</v>
      </c>
      <c r="L17" s="9" t="s">
        <v>55</v>
      </c>
      <c r="M17" s="9">
        <v>9.5</v>
      </c>
      <c r="N17" s="15">
        <v>5.28</v>
      </c>
      <c r="O17" s="15">
        <v>-0.14000000000000001</v>
      </c>
      <c r="P17" s="15">
        <v>-0.32</v>
      </c>
      <c r="Q17" s="15">
        <v>4.71</v>
      </c>
      <c r="R17" s="9">
        <v>-0.01</v>
      </c>
      <c r="S17" s="16">
        <v>-0.02</v>
      </c>
    </row>
    <row r="18" spans="1:19">
      <c r="A18" s="11" t="s">
        <v>56</v>
      </c>
      <c r="B18" s="12">
        <f>1 - (1 - $A$9)*($B$17 - 1)/($B$17 - $B$16 - 1)</f>
        <v>0.99703370157372073</v>
      </c>
      <c r="K18" s="9">
        <v>3</v>
      </c>
      <c r="L18" s="9" t="s">
        <v>57</v>
      </c>
      <c r="M18" s="9">
        <v>9.59</v>
      </c>
      <c r="N18" s="15">
        <v>4.91</v>
      </c>
      <c r="O18" s="15">
        <v>-0.09</v>
      </c>
      <c r="P18" s="15">
        <v>0.13</v>
      </c>
      <c r="Q18" s="15">
        <v>4.71</v>
      </c>
      <c r="R18" s="9">
        <v>0</v>
      </c>
      <c r="S18" s="16">
        <v>-0.06</v>
      </c>
    </row>
    <row r="19" spans="1:19">
      <c r="K19" s="9">
        <v>3</v>
      </c>
      <c r="L19" s="9" t="s">
        <v>58</v>
      </c>
      <c r="M19" s="9">
        <v>10.11</v>
      </c>
      <c r="N19" s="15">
        <v>5.36</v>
      </c>
      <c r="O19" s="15">
        <v>-0.03</v>
      </c>
      <c r="P19" s="15">
        <v>0.02</v>
      </c>
      <c r="Q19" s="15">
        <v>4.71</v>
      </c>
      <c r="R19" s="9">
        <v>0.04</v>
      </c>
      <c r="S19" s="16">
        <v>0.01</v>
      </c>
    </row>
    <row r="20" spans="1:19" ht="15.6">
      <c r="A20" t="s">
        <v>59</v>
      </c>
      <c r="K20" s="9">
        <v>3</v>
      </c>
      <c r="L20" s="9" t="s">
        <v>60</v>
      </c>
      <c r="M20" s="9">
        <v>9.98</v>
      </c>
      <c r="N20" s="15">
        <v>5.42</v>
      </c>
      <c r="O20" s="15">
        <v>-0.12</v>
      </c>
      <c r="P20" s="15">
        <v>-0.04</v>
      </c>
      <c r="Q20" s="15">
        <v>4.71</v>
      </c>
      <c r="R20" s="9">
        <v>0.06</v>
      </c>
      <c r="S20" s="16">
        <v>-0.04</v>
      </c>
    </row>
    <row r="21" spans="1:19">
      <c r="B21" t="s">
        <v>61</v>
      </c>
      <c r="C21" t="s">
        <v>62</v>
      </c>
      <c r="D21" t="s">
        <v>63</v>
      </c>
      <c r="E21" s="11" t="s">
        <v>64</v>
      </c>
      <c r="F21" s="11" t="s">
        <v>65</v>
      </c>
      <c r="K21" s="9">
        <v>3</v>
      </c>
      <c r="L21" s="9" t="s">
        <v>66</v>
      </c>
      <c r="M21" s="9">
        <v>9.7899999999999991</v>
      </c>
      <c r="N21" s="15">
        <v>5.45</v>
      </c>
      <c r="O21" s="15">
        <v>-0.14000000000000001</v>
      </c>
      <c r="P21" s="15">
        <v>-0.17</v>
      </c>
      <c r="Q21" s="15">
        <v>4.71</v>
      </c>
      <c r="R21" s="9">
        <v>-7.0000000000000007E-2</v>
      </c>
      <c r="S21" s="16">
        <v>0.01</v>
      </c>
    </row>
    <row r="22" spans="1:19">
      <c r="A22" t="s">
        <v>32</v>
      </c>
      <c r="B22">
        <f>$B$16</f>
        <v>6</v>
      </c>
      <c r="C22" s="12">
        <f>$A$11</f>
        <v>20.180543978060633</v>
      </c>
      <c r="D22" s="12">
        <f>$A$11 / $B$22</f>
        <v>3.3634239963434389</v>
      </c>
      <c r="E22" s="13">
        <f>$A$10</f>
        <v>15742.643280625922</v>
      </c>
      <c r="F22" s="12">
        <f>FDIST($A$10, $B$22, $B$10)</f>
        <v>0</v>
      </c>
      <c r="K22" s="9">
        <v>3</v>
      </c>
      <c r="L22" s="9" t="s">
        <v>67</v>
      </c>
      <c r="M22" s="9">
        <v>9.7100000000000009</v>
      </c>
      <c r="N22" s="15">
        <v>5.24</v>
      </c>
      <c r="O22" s="15">
        <v>-7.0000000000000007E-2</v>
      </c>
      <c r="P22" s="15">
        <v>-0.21</v>
      </c>
      <c r="Q22" s="15">
        <v>4.71</v>
      </c>
      <c r="R22" s="9">
        <v>0.04</v>
      </c>
      <c r="S22" s="16">
        <v>0.01</v>
      </c>
    </row>
    <row r="23" spans="1:19">
      <c r="A23" t="s">
        <v>68</v>
      </c>
      <c r="B23">
        <f>$B$10</f>
        <v>275</v>
      </c>
      <c r="C23" s="12">
        <f>$B$11</f>
        <v>5.8753894279796604E-2</v>
      </c>
      <c r="D23" s="12">
        <f>$B$11 / $B$10</f>
        <v>2.1365052465380582E-4</v>
      </c>
      <c r="E23" s="12"/>
      <c r="F23" s="12"/>
      <c r="K23" s="9">
        <v>3</v>
      </c>
      <c r="L23" s="9" t="s">
        <v>69</v>
      </c>
      <c r="M23" s="9">
        <v>9.83</v>
      </c>
      <c r="N23" s="15">
        <v>5.19</v>
      </c>
      <c r="O23" s="15">
        <v>0.01</v>
      </c>
      <c r="P23" s="15">
        <v>-0.06</v>
      </c>
      <c r="Q23" s="15">
        <v>4.71</v>
      </c>
      <c r="R23" s="9">
        <v>-0.03</v>
      </c>
      <c r="S23" s="16">
        <v>0.01</v>
      </c>
    </row>
    <row r="24" spans="1:19">
      <c r="A24" t="s">
        <v>70</v>
      </c>
      <c r="B24">
        <f>$B$22 + $B$10</f>
        <v>281</v>
      </c>
      <c r="C24" s="12">
        <f>$A$11 + $B$11</f>
        <v>20.23929787234043</v>
      </c>
      <c r="D24" s="12"/>
      <c r="E24" s="12"/>
      <c r="F24" s="12"/>
      <c r="K24" s="9">
        <v>3</v>
      </c>
      <c r="L24" s="9" t="s">
        <v>71</v>
      </c>
      <c r="M24" s="9">
        <v>9.7200000000000006</v>
      </c>
      <c r="N24" s="15">
        <v>4.9400000000000004</v>
      </c>
      <c r="O24" s="15">
        <v>-0.06</v>
      </c>
      <c r="P24" s="15">
        <v>0.12</v>
      </c>
      <c r="Q24" s="15">
        <v>4.71</v>
      </c>
      <c r="R24" s="9">
        <v>0.02</v>
      </c>
      <c r="S24" s="16">
        <v>0.01</v>
      </c>
    </row>
    <row r="25" spans="1:19">
      <c r="K25" s="9">
        <v>3</v>
      </c>
      <c r="L25" s="9" t="s">
        <v>72</v>
      </c>
      <c r="M25" s="9">
        <v>9.91</v>
      </c>
      <c r="N25" s="15">
        <v>4.68</v>
      </c>
      <c r="O25" s="15">
        <v>0.19</v>
      </c>
      <c r="P25" s="15">
        <v>0.31</v>
      </c>
      <c r="Q25" s="15">
        <v>4.71</v>
      </c>
      <c r="R25" s="9">
        <v>0.01</v>
      </c>
      <c r="S25" s="16">
        <v>0.01</v>
      </c>
    </row>
    <row r="26" spans="1:19">
      <c r="A26" t="s">
        <v>73</v>
      </c>
      <c r="B26">
        <v>0.95</v>
      </c>
      <c r="K26" s="9">
        <v>3</v>
      </c>
      <c r="L26" s="9" t="s">
        <v>74</v>
      </c>
      <c r="M26" s="9">
        <v>9.81</v>
      </c>
      <c r="N26" s="15">
        <v>5.04</v>
      </c>
      <c r="O26" s="15">
        <v>0.04</v>
      </c>
      <c r="P26" s="15">
        <v>0.04</v>
      </c>
      <c r="Q26" s="15">
        <v>4.71</v>
      </c>
      <c r="R26" s="9">
        <v>-0.02</v>
      </c>
      <c r="S26" s="16">
        <v>0.01</v>
      </c>
    </row>
    <row r="27" spans="1:19">
      <c r="K27" s="9">
        <v>3</v>
      </c>
      <c r="L27" s="9" t="s">
        <v>75</v>
      </c>
      <c r="M27" s="9">
        <v>9.7799999999999994</v>
      </c>
      <c r="N27" s="15">
        <v>5.22</v>
      </c>
      <c r="O27" s="15">
        <v>0.05</v>
      </c>
      <c r="P27" s="15">
        <v>-0.15</v>
      </c>
      <c r="Q27" s="15">
        <v>4.71</v>
      </c>
      <c r="R27" s="9">
        <v>-0.02</v>
      </c>
      <c r="S27" s="16">
        <v>-0.05</v>
      </c>
    </row>
    <row r="28" spans="1:19" ht="15.6">
      <c r="B28" t="s">
        <v>76</v>
      </c>
      <c r="C28" t="s">
        <v>50</v>
      </c>
      <c r="D28" s="11" t="s">
        <v>77</v>
      </c>
      <c r="E28" s="11" t="s">
        <v>78</v>
      </c>
      <c r="F28" t="str">
        <f>_xlfn.CONCAT("Lower ", INT($B$26 * 100), "%")</f>
        <v>Lower 95%</v>
      </c>
      <c r="G28" t="str">
        <f>_xlfn.CONCAT("Upper ", INT($B$26 * 100), "%")</f>
        <v>Upper 95%</v>
      </c>
      <c r="K28" s="9">
        <v>3</v>
      </c>
      <c r="L28" s="9" t="s">
        <v>79</v>
      </c>
      <c r="M28" s="9">
        <v>10.06</v>
      </c>
      <c r="N28" s="15">
        <v>5.23</v>
      </c>
      <c r="O28" s="15">
        <v>0.06</v>
      </c>
      <c r="P28" s="15">
        <v>0.05</v>
      </c>
      <c r="Q28" s="15">
        <v>4.71</v>
      </c>
      <c r="R28" s="9">
        <v>0.01</v>
      </c>
      <c r="S28" s="16">
        <v>0</v>
      </c>
    </row>
    <row r="29" spans="1:19">
      <c r="A29" t="str">
        <f>"切片"</f>
        <v>切片</v>
      </c>
      <c r="B29" s="12">
        <f t="array" ref="B29:B35">INDEX($A$7:$G$7, 1, ROW($B$35)+1 - ROW())</f>
        <v>-0.28880884156143199</v>
      </c>
      <c r="C29" s="12">
        <f t="array" ref="C29:C35">INDEX($A$8:$G$8, 1, ROW($C$35)+1 - ROW())</f>
        <v>7.6327540860458773E-2</v>
      </c>
      <c r="D29" s="12">
        <f t="array" ref="D29:D35">$B$29:$B$35 / $C$29:$C$35</f>
        <v>-3.7838090721333386</v>
      </c>
      <c r="E29" s="12">
        <f t="array" ref="E29:E35">TDIST(ABS($D$29:$D$35), $B$10, 2 )</f>
        <v>1.8957213801335118E-4</v>
      </c>
      <c r="F29" s="12">
        <f t="array" ref="F29:F35">$B$29:$B$35 - $C$29:$C$35 * TINV(1 - $B$26, $B$10)</f>
        <v>-0.43906936581258293</v>
      </c>
      <c r="G29" s="12">
        <f t="array" ref="G29:G35">$B$29:$B$35 + $C$29:$C$35 * TINV(1 - $B$26, $B$10)</f>
        <v>-0.13854831731028103</v>
      </c>
      <c r="K29" s="9">
        <v>3</v>
      </c>
      <c r="L29" s="9" t="s">
        <v>80</v>
      </c>
      <c r="M29" s="9">
        <v>10.29</v>
      </c>
      <c r="N29" s="15">
        <v>5.22</v>
      </c>
      <c r="O29" s="15">
        <v>0.17</v>
      </c>
      <c r="P29" s="15">
        <v>0.16</v>
      </c>
      <c r="Q29" s="15">
        <v>4.71</v>
      </c>
      <c r="R29" s="9">
        <v>0.02</v>
      </c>
      <c r="S29" s="16">
        <v>0.01</v>
      </c>
    </row>
    <row r="30" spans="1:19">
      <c r="A30" t="str">
        <f>"X1"</f>
        <v>X1</v>
      </c>
      <c r="B30" s="12">
        <v>1.0061664435845969</v>
      </c>
      <c r="C30" s="12">
        <v>3.6923535273794142E-3</v>
      </c>
      <c r="D30" s="12">
        <v>272.5000290800179</v>
      </c>
      <c r="E30" s="12">
        <v>0</v>
      </c>
      <c r="F30" s="12">
        <v>0.99889757352157571</v>
      </c>
      <c r="G30" s="12">
        <v>1.0134353136476182</v>
      </c>
      <c r="K30" s="9">
        <v>3</v>
      </c>
      <c r="L30" s="9" t="s">
        <v>81</v>
      </c>
      <c r="M30" s="9">
        <v>10.24</v>
      </c>
      <c r="N30" s="15">
        <v>5.47</v>
      </c>
      <c r="O30" s="15">
        <v>0.03</v>
      </c>
      <c r="P30" s="15">
        <v>-0.01</v>
      </c>
      <c r="Q30" s="15">
        <v>4.71</v>
      </c>
      <c r="R30" s="9">
        <v>0.04</v>
      </c>
      <c r="S30" s="16">
        <v>0.01</v>
      </c>
    </row>
    <row r="31" spans="1:19">
      <c r="A31" t="str">
        <f>"X2"</f>
        <v>X2</v>
      </c>
      <c r="B31" s="12">
        <v>1.0010815115046827</v>
      </c>
      <c r="C31" s="12">
        <v>7.2389322466857708E-3</v>
      </c>
      <c r="D31" s="12">
        <v>138.29132217158295</v>
      </c>
      <c r="E31" s="12">
        <v>3.3268608419732468E-256</v>
      </c>
      <c r="F31" s="12">
        <v>0.9868307477286804</v>
      </c>
      <c r="G31" s="12">
        <v>1.015332275280685</v>
      </c>
      <c r="K31" s="9">
        <v>3</v>
      </c>
      <c r="L31" s="9" t="s">
        <v>82</v>
      </c>
      <c r="M31" s="9">
        <v>10</v>
      </c>
      <c r="N31" s="15">
        <v>5.81</v>
      </c>
      <c r="O31" s="15">
        <v>-0.03</v>
      </c>
      <c r="P31" s="15">
        <v>-0.44</v>
      </c>
      <c r="Q31" s="15">
        <v>4.71</v>
      </c>
      <c r="R31" s="9">
        <v>-0.03</v>
      </c>
      <c r="S31" s="16">
        <v>-0.01</v>
      </c>
    </row>
    <row r="32" spans="1:19">
      <c r="A32" t="str">
        <f>"X3"</f>
        <v>X3</v>
      </c>
      <c r="B32" s="12">
        <v>1.0138338694243276</v>
      </c>
      <c r="C32" s="12">
        <v>5.1642061314663137E-3</v>
      </c>
      <c r="D32" s="12">
        <v>196.31940391513029</v>
      </c>
      <c r="E32" s="12">
        <v>1.2653203434732802E-297</v>
      </c>
      <c r="F32" s="12">
        <v>1.0036674693031216</v>
      </c>
      <c r="G32" s="12">
        <v>1.0240002695455337</v>
      </c>
      <c r="K32" s="9">
        <v>3</v>
      </c>
      <c r="L32" s="9" t="s">
        <v>83</v>
      </c>
      <c r="M32" s="9">
        <v>10.11</v>
      </c>
      <c r="N32" s="15">
        <v>5.96</v>
      </c>
      <c r="O32" s="15">
        <v>-0.01</v>
      </c>
      <c r="P32" s="15">
        <v>-0.52</v>
      </c>
      <c r="Q32" s="15">
        <v>4.71</v>
      </c>
      <c r="R32" s="9">
        <v>-0.01</v>
      </c>
      <c r="S32" s="16">
        <v>-0.01</v>
      </c>
    </row>
    <row r="33" spans="1:19">
      <c r="A33" t="str">
        <f>"X4"</f>
        <v>X4</v>
      </c>
      <c r="B33" s="12">
        <v>1.055231551727938</v>
      </c>
      <c r="C33" s="12">
        <v>1.5523001292720594E-2</v>
      </c>
      <c r="D33" s="12">
        <v>67.97857784259682</v>
      </c>
      <c r="E33" s="12">
        <v>5.601806702504663E-174</v>
      </c>
      <c r="F33" s="12">
        <v>1.0246725387438864</v>
      </c>
      <c r="G33" s="12">
        <v>1.0857905647119896</v>
      </c>
      <c r="K33" s="9">
        <v>3</v>
      </c>
      <c r="L33" s="9" t="s">
        <v>84</v>
      </c>
      <c r="M33" s="9">
        <v>9.9700000000000006</v>
      </c>
      <c r="N33" s="15">
        <v>6.14</v>
      </c>
      <c r="O33" s="15">
        <v>-0.16</v>
      </c>
      <c r="P33" s="15">
        <v>-0.72</v>
      </c>
      <c r="Q33" s="15">
        <v>4.71</v>
      </c>
      <c r="R33" s="9">
        <v>-0.01</v>
      </c>
      <c r="S33" s="16">
        <v>0.01</v>
      </c>
    </row>
    <row r="34" spans="1:19">
      <c r="A34" t="str">
        <f>"X5"</f>
        <v>X5</v>
      </c>
      <c r="B34" s="12">
        <v>0.97335261904932024</v>
      </c>
      <c r="C34" s="12">
        <v>1.4025682381392934E-2</v>
      </c>
      <c r="D34" s="12">
        <v>69.397879731014811</v>
      </c>
      <c r="E34" s="12">
        <v>2.6055317479146416E-176</v>
      </c>
      <c r="F34" s="12">
        <v>0.94574126980565532</v>
      </c>
      <c r="G34" s="12">
        <v>1.0009639682929852</v>
      </c>
      <c r="K34" s="9">
        <v>3</v>
      </c>
      <c r="L34" s="9" t="s">
        <v>85</v>
      </c>
      <c r="M34" s="9">
        <v>10.029999999999999</v>
      </c>
      <c r="N34" s="15">
        <v>6.3</v>
      </c>
      <c r="O34" s="15">
        <v>-0.28999999999999998</v>
      </c>
      <c r="P34" s="15">
        <v>-0.6</v>
      </c>
      <c r="Q34" s="15">
        <v>4.71</v>
      </c>
      <c r="R34" s="9">
        <v>-0.02</v>
      </c>
      <c r="S34" s="16">
        <v>-0.06</v>
      </c>
    </row>
    <row r="35" spans="1:19">
      <c r="A35" t="str">
        <f>"X6"</f>
        <v>X6</v>
      </c>
      <c r="B35" s="12">
        <v>1.0795343161574658</v>
      </c>
      <c r="C35" s="12">
        <v>2.8843122852645869E-2</v>
      </c>
      <c r="D35" s="12">
        <v>37.427788997488413</v>
      </c>
      <c r="E35" s="12">
        <v>6.263036087244605E-110</v>
      </c>
      <c r="F35" s="12">
        <v>1.0227529406274685</v>
      </c>
      <c r="G35" s="12">
        <v>1.136315691687463</v>
      </c>
      <c r="K35" s="9">
        <v>3</v>
      </c>
      <c r="L35" s="9" t="s">
        <v>86</v>
      </c>
      <c r="M35" s="9">
        <v>10.18</v>
      </c>
      <c r="N35" s="15">
        <v>5.64</v>
      </c>
      <c r="O35" s="15">
        <v>0.06</v>
      </c>
      <c r="P35" s="15">
        <v>-0.2</v>
      </c>
      <c r="Q35" s="15">
        <v>4.71</v>
      </c>
      <c r="R35" s="9">
        <v>-0.02</v>
      </c>
      <c r="S35" s="16">
        <v>-0.01</v>
      </c>
    </row>
    <row r="36" spans="1:19">
      <c r="K36" s="9">
        <v>3</v>
      </c>
      <c r="L36" s="9" t="s">
        <v>88</v>
      </c>
      <c r="M36" s="9">
        <v>10.039999999999999</v>
      </c>
      <c r="N36" s="15">
        <v>5.41</v>
      </c>
      <c r="O36" s="15">
        <v>0.03</v>
      </c>
      <c r="P36" s="15">
        <v>-0.12</v>
      </c>
      <c r="Q36" s="15">
        <v>4.71</v>
      </c>
      <c r="R36" s="9">
        <v>0</v>
      </c>
      <c r="S36" s="16">
        <v>0.01</v>
      </c>
    </row>
    <row r="37" spans="1:19">
      <c r="A37" t="str">
        <f>"X1"</f>
        <v>X1</v>
      </c>
      <c r="B37" t="str">
        <f>"X2"</f>
        <v>X2</v>
      </c>
      <c r="C37" t="str">
        <f>"X3"</f>
        <v>X3</v>
      </c>
      <c r="D37" t="str">
        <f>"X4"</f>
        <v>X4</v>
      </c>
      <c r="E37" t="str">
        <f>"X5"</f>
        <v>X5</v>
      </c>
      <c r="F37" t="str">
        <f>"X6"</f>
        <v>X6</v>
      </c>
      <c r="G37" s="11" t="s">
        <v>87</v>
      </c>
      <c r="H37" t="str">
        <f>"Y"</f>
        <v>Y</v>
      </c>
      <c r="I37" t="s">
        <v>68</v>
      </c>
      <c r="K37" s="9">
        <v>3</v>
      </c>
      <c r="L37" s="9" t="s">
        <v>89</v>
      </c>
      <c r="M37" s="9">
        <v>10.220000000000001</v>
      </c>
      <c r="N37" s="15">
        <v>5.87</v>
      </c>
      <c r="O37" s="15">
        <v>-0.2</v>
      </c>
      <c r="P37" s="15">
        <v>-0.15</v>
      </c>
      <c r="Q37" s="15">
        <v>4.71</v>
      </c>
      <c r="R37" s="9">
        <v>-0.01</v>
      </c>
      <c r="S37" s="16">
        <v>0.01</v>
      </c>
    </row>
    <row r="38" spans="1:19">
      <c r="A38">
        <f t="array" ref="A38:F319">$N$3:$S$284</f>
        <v>6.33</v>
      </c>
      <c r="B38">
        <v>-0.28999999999999998</v>
      </c>
      <c r="C38">
        <v>-0.32</v>
      </c>
      <c r="D38">
        <v>4.71</v>
      </c>
      <c r="E38">
        <v>0.02</v>
      </c>
      <c r="F38">
        <v>0.01</v>
      </c>
      <c r="G38" s="18">
        <f t="array" ref="G38:G319">MMULT($A$38:$F$319, $B$30:$B$35) + $B$29</f>
        <v>10.465887273958074</v>
      </c>
      <c r="H38">
        <f t="array" ref="H38:H319">$M$3:$M$284</f>
        <v>10.45</v>
      </c>
      <c r="I38" s="18">
        <f t="array" ref="I38:I319">$H$38:$H$319 - $G$38:$G$319</f>
        <v>-1.5887273958075099E-2</v>
      </c>
      <c r="K38" s="9">
        <v>3</v>
      </c>
      <c r="L38" s="9" t="s">
        <v>90</v>
      </c>
      <c r="M38" s="9">
        <v>10.29</v>
      </c>
      <c r="N38" s="15">
        <v>6.14</v>
      </c>
      <c r="O38" s="15">
        <v>-0.11</v>
      </c>
      <c r="P38" s="15">
        <v>-0.43</v>
      </c>
      <c r="Q38" s="15">
        <v>4.71</v>
      </c>
      <c r="R38" s="9">
        <v>-0.03</v>
      </c>
      <c r="S38" s="16">
        <v>0.01</v>
      </c>
    </row>
    <row r="39" spans="1:19">
      <c r="A39">
        <v>6.36</v>
      </c>
      <c r="B39">
        <v>-0.25</v>
      </c>
      <c r="C39">
        <v>-0.88</v>
      </c>
      <c r="D39">
        <v>4.71</v>
      </c>
      <c r="E39">
        <v>0.02</v>
      </c>
      <c r="F39">
        <v>0.01</v>
      </c>
      <c r="G39" s="18">
        <v>9.9683685608481767</v>
      </c>
      <c r="H39">
        <v>9.9600000000000009</v>
      </c>
      <c r="I39" s="18">
        <v>-8.3685608481758322E-3</v>
      </c>
      <c r="K39" s="9">
        <v>3</v>
      </c>
      <c r="L39" s="9" t="s">
        <v>91</v>
      </c>
      <c r="M39" s="9">
        <v>10.28</v>
      </c>
      <c r="N39" s="15">
        <v>6.02</v>
      </c>
      <c r="O39" s="15">
        <v>-7.0000000000000007E-2</v>
      </c>
      <c r="P39" s="15">
        <v>-0.33</v>
      </c>
      <c r="Q39" s="15">
        <v>4.71</v>
      </c>
      <c r="R39" s="9">
        <v>-0.05</v>
      </c>
      <c r="S39" s="16">
        <v>0</v>
      </c>
    </row>
    <row r="40" spans="1:19">
      <c r="A40">
        <v>5.95</v>
      </c>
      <c r="B40">
        <v>-0.28999999999999998</v>
      </c>
      <c r="C40">
        <v>-0.62</v>
      </c>
      <c r="D40">
        <v>4.71</v>
      </c>
      <c r="E40">
        <v>-0.01</v>
      </c>
      <c r="F40">
        <v>0</v>
      </c>
      <c r="G40" s="18">
        <v>9.7393979428355735</v>
      </c>
      <c r="H40">
        <v>9.74</v>
      </c>
      <c r="I40" s="18">
        <v>6.0205716442673918E-4</v>
      </c>
      <c r="K40" s="9">
        <v>3</v>
      </c>
      <c r="L40" s="9" t="s">
        <v>92</v>
      </c>
      <c r="M40" s="9">
        <v>10.220000000000001</v>
      </c>
      <c r="N40" s="15">
        <v>5.93</v>
      </c>
      <c r="O40" s="15">
        <v>0.03</v>
      </c>
      <c r="P40" s="15">
        <v>-0.51</v>
      </c>
      <c r="Q40" s="15">
        <v>4.71</v>
      </c>
      <c r="R40" s="9">
        <v>0.06</v>
      </c>
      <c r="S40" s="16">
        <v>0.01</v>
      </c>
    </row>
    <row r="41" spans="1:19">
      <c r="A41">
        <v>5.83</v>
      </c>
      <c r="B41">
        <v>-0.16</v>
      </c>
      <c r="C41">
        <v>-0.34</v>
      </c>
      <c r="D41">
        <v>4.71</v>
      </c>
      <c r="E41">
        <v>-0.02</v>
      </c>
      <c r="F41">
        <v>-0.01</v>
      </c>
      <c r="G41" s="18">
        <v>10.012143180187774</v>
      </c>
      <c r="H41">
        <v>10.01</v>
      </c>
      <c r="I41" s="18">
        <v>-2.1431801877742629E-3</v>
      </c>
      <c r="K41" s="9">
        <v>3</v>
      </c>
      <c r="L41" s="9" t="s">
        <v>93</v>
      </c>
      <c r="M41" s="9">
        <v>10.17</v>
      </c>
      <c r="N41" s="15">
        <v>6.1</v>
      </c>
      <c r="O41" s="15">
        <v>-0.14000000000000001</v>
      </c>
      <c r="P41" s="15">
        <v>-0.46</v>
      </c>
      <c r="Q41" s="15">
        <v>4.71</v>
      </c>
      <c r="R41" s="9">
        <v>-0.04</v>
      </c>
      <c r="S41" s="16">
        <v>0.01</v>
      </c>
    </row>
    <row r="42" spans="1:19">
      <c r="A42">
        <v>6.92</v>
      </c>
      <c r="B42">
        <v>-0.56999999999999995</v>
      </c>
      <c r="C42">
        <v>-0.87</v>
      </c>
      <c r="D42">
        <v>4.71</v>
      </c>
      <c r="E42">
        <v>-0.02</v>
      </c>
      <c r="F42">
        <v>0.01</v>
      </c>
      <c r="G42" s="18">
        <v>10.182679919506322</v>
      </c>
      <c r="H42">
        <v>10.16</v>
      </c>
      <c r="I42" s="18">
        <v>-2.2679919506321866E-2</v>
      </c>
      <c r="K42" s="9">
        <v>3</v>
      </c>
      <c r="L42" s="9" t="s">
        <v>94</v>
      </c>
      <c r="M42" s="9">
        <v>10.220000000000001</v>
      </c>
      <c r="N42" s="15">
        <v>5.84</v>
      </c>
      <c r="O42" s="15">
        <v>0.02</v>
      </c>
      <c r="P42" s="15">
        <v>-0.3</v>
      </c>
      <c r="Q42" s="15">
        <v>4.71</v>
      </c>
      <c r="R42" s="9">
        <v>-0.04</v>
      </c>
      <c r="S42" s="16">
        <v>-0.01</v>
      </c>
    </row>
    <row r="43" spans="1:19">
      <c r="A43">
        <v>6.09</v>
      </c>
      <c r="B43">
        <v>-0.25</v>
      </c>
      <c r="C43">
        <v>-0.5</v>
      </c>
      <c r="D43">
        <v>4.71</v>
      </c>
      <c r="E43">
        <v>0.04</v>
      </c>
      <c r="F43">
        <v>-0.05</v>
      </c>
      <c r="G43" s="18">
        <v>10.036655484873116</v>
      </c>
      <c r="H43">
        <v>10.029999999999999</v>
      </c>
      <c r="I43" s="18">
        <v>-6.6554848731161798E-3</v>
      </c>
      <c r="K43" s="9">
        <v>3</v>
      </c>
      <c r="L43" s="9" t="s">
        <v>95</v>
      </c>
      <c r="M43" s="9">
        <v>10.68</v>
      </c>
      <c r="N43" s="15">
        <v>7.05</v>
      </c>
      <c r="O43" s="15">
        <v>-0.19</v>
      </c>
      <c r="P43" s="15">
        <v>-0.79</v>
      </c>
      <c r="Q43" s="15">
        <v>4.71</v>
      </c>
      <c r="R43" s="9">
        <v>-7.0000000000000007E-2</v>
      </c>
      <c r="S43" s="16">
        <v>-0.03</v>
      </c>
    </row>
    <row r="44" spans="1:19">
      <c r="A44">
        <v>5.37</v>
      </c>
      <c r="B44">
        <v>-0.14000000000000001</v>
      </c>
      <c r="C44">
        <v>-0.28000000000000003</v>
      </c>
      <c r="D44">
        <v>4.71</v>
      </c>
      <c r="E44">
        <v>0</v>
      </c>
      <c r="F44">
        <v>-0.02</v>
      </c>
      <c r="G44" s="18">
        <v>9.6388299877538266</v>
      </c>
      <c r="H44">
        <v>9.64</v>
      </c>
      <c r="I44" s="18">
        <v>1.1700122461739682E-3</v>
      </c>
      <c r="K44" s="9">
        <v>3</v>
      </c>
      <c r="L44" s="9" t="s">
        <v>96</v>
      </c>
      <c r="M44" s="9">
        <v>10.26</v>
      </c>
      <c r="N44" s="15">
        <v>6.58</v>
      </c>
      <c r="O44" s="15">
        <v>-0.2</v>
      </c>
      <c r="P44" s="15">
        <v>-0.79</v>
      </c>
      <c r="Q44" s="15">
        <v>4.71</v>
      </c>
      <c r="R44" s="9">
        <v>-0.01</v>
      </c>
      <c r="S44" s="16">
        <v>-0.02</v>
      </c>
    </row>
    <row r="45" spans="1:19">
      <c r="A45">
        <v>5.04</v>
      </c>
      <c r="B45">
        <v>-0.02</v>
      </c>
      <c r="C45">
        <v>0.04</v>
      </c>
      <c r="D45">
        <v>4.71</v>
      </c>
      <c r="E45">
        <v>-0.03</v>
      </c>
      <c r="F45">
        <v>0.01</v>
      </c>
      <c r="G45" s="18">
        <v>9.7545371318805003</v>
      </c>
      <c r="H45">
        <v>9.74</v>
      </c>
      <c r="I45" s="18">
        <v>-1.4537131880500098E-2</v>
      </c>
      <c r="K45" s="9">
        <v>3</v>
      </c>
      <c r="L45" s="9" t="s">
        <v>97</v>
      </c>
      <c r="M45" s="9">
        <v>10.29</v>
      </c>
      <c r="N45" s="15">
        <v>6.33</v>
      </c>
      <c r="O45" s="15">
        <v>-7.0000000000000007E-2</v>
      </c>
      <c r="P45" s="15">
        <v>-0.66</v>
      </c>
      <c r="Q45" s="15">
        <v>4.71</v>
      </c>
      <c r="R45" s="9">
        <v>0.03</v>
      </c>
      <c r="S45" s="16">
        <v>-0.03</v>
      </c>
    </row>
    <row r="46" spans="1:19">
      <c r="A46">
        <v>5.25</v>
      </c>
      <c r="B46">
        <v>-0.05</v>
      </c>
      <c r="C46">
        <v>-0.03</v>
      </c>
      <c r="D46">
        <v>4.71</v>
      </c>
      <c r="E46">
        <v>-0.01</v>
      </c>
      <c r="F46">
        <v>0</v>
      </c>
      <c r="G46" s="18">
        <v>9.8735029780478349</v>
      </c>
      <c r="H46">
        <v>9.8699999999999992</v>
      </c>
      <c r="I46" s="18">
        <v>-3.5029780478357253E-3</v>
      </c>
      <c r="K46" s="9">
        <v>3</v>
      </c>
      <c r="L46" s="9" t="s">
        <v>98</v>
      </c>
      <c r="M46" s="9">
        <v>10.3</v>
      </c>
      <c r="N46" s="15">
        <v>6.41</v>
      </c>
      <c r="O46" s="15">
        <v>-0.19</v>
      </c>
      <c r="P46" s="15">
        <v>-0.64</v>
      </c>
      <c r="Q46" s="15">
        <v>4.71</v>
      </c>
      <c r="R46" s="9">
        <v>0.02</v>
      </c>
      <c r="S46" s="16">
        <v>-0.01</v>
      </c>
    </row>
    <row r="47" spans="1:19">
      <c r="A47">
        <v>5.13</v>
      </c>
      <c r="B47">
        <v>-0.02</v>
      </c>
      <c r="C47">
        <v>-7.0000000000000007E-2</v>
      </c>
      <c r="D47">
        <v>4.71</v>
      </c>
      <c r="E47">
        <v>-0.09</v>
      </c>
      <c r="F47">
        <v>0.01</v>
      </c>
      <c r="G47" s="18">
        <v>9.6751692290234796</v>
      </c>
      <c r="H47">
        <v>9.66</v>
      </c>
      <c r="I47" s="18">
        <v>-1.5169229023479502E-2</v>
      </c>
      <c r="K47" s="9">
        <v>3</v>
      </c>
      <c r="L47" s="9" t="s">
        <v>99</v>
      </c>
      <c r="M47" s="9">
        <v>9.83</v>
      </c>
      <c r="N47" s="15">
        <v>6.14</v>
      </c>
      <c r="O47" s="15">
        <v>-0.08</v>
      </c>
      <c r="P47" s="15">
        <v>-0.85</v>
      </c>
      <c r="Q47" s="15">
        <v>4.71</v>
      </c>
      <c r="R47" s="9">
        <v>-7.0000000000000007E-2</v>
      </c>
      <c r="S47" s="16">
        <v>-0.02</v>
      </c>
    </row>
    <row r="48" spans="1:19">
      <c r="A48">
        <v>4.91</v>
      </c>
      <c r="B48">
        <v>-0.01</v>
      </c>
      <c r="C48">
        <v>0.17</v>
      </c>
      <c r="D48">
        <v>4.71</v>
      </c>
      <c r="E48">
        <v>0.01</v>
      </c>
      <c r="F48">
        <v>0.01</v>
      </c>
      <c r="G48" s="18">
        <v>9.804478817116685</v>
      </c>
      <c r="H48">
        <v>9.8000000000000007</v>
      </c>
      <c r="I48" s="18">
        <v>-4.4788171166842972E-3</v>
      </c>
      <c r="K48" s="9">
        <v>3</v>
      </c>
      <c r="L48" s="9" t="s">
        <v>100</v>
      </c>
      <c r="M48" s="9">
        <v>10.36</v>
      </c>
      <c r="N48" s="15">
        <v>6.53</v>
      </c>
      <c r="O48" s="15">
        <v>-0.05</v>
      </c>
      <c r="P48" s="15">
        <v>-0.91</v>
      </c>
      <c r="Q48" s="15">
        <v>4.71</v>
      </c>
      <c r="R48" s="9">
        <v>7.0000000000000007E-2</v>
      </c>
      <c r="S48" s="16">
        <v>0.01</v>
      </c>
    </row>
    <row r="49" spans="1:19">
      <c r="A49">
        <v>5.03</v>
      </c>
      <c r="B49">
        <v>-0.11</v>
      </c>
      <c r="C49">
        <v>0.16</v>
      </c>
      <c r="D49">
        <v>4.71</v>
      </c>
      <c r="E49">
        <v>0</v>
      </c>
      <c r="F49">
        <v>0.01</v>
      </c>
      <c r="G49" s="18">
        <v>9.8052387743116309</v>
      </c>
      <c r="H49">
        <v>9.7899999999999991</v>
      </c>
      <c r="I49" s="18">
        <v>-1.5238774311631786E-2</v>
      </c>
      <c r="K49" s="9">
        <v>3</v>
      </c>
      <c r="L49" s="9" t="s">
        <v>101</v>
      </c>
      <c r="M49" s="9">
        <v>9.9499999999999993</v>
      </c>
      <c r="N49" s="15">
        <v>6.56</v>
      </c>
      <c r="O49" s="15">
        <v>0.28000000000000003</v>
      </c>
      <c r="P49" s="15">
        <v>-1.58</v>
      </c>
      <c r="Q49" s="15">
        <v>4.71</v>
      </c>
      <c r="R49" s="9">
        <v>0.01</v>
      </c>
      <c r="S49" s="16">
        <v>-0.03</v>
      </c>
    </row>
    <row r="50" spans="1:19">
      <c r="A50">
        <v>4.32</v>
      </c>
      <c r="B50">
        <v>0.13</v>
      </c>
      <c r="C50">
        <v>0.69</v>
      </c>
      <c r="D50">
        <v>4.71</v>
      </c>
      <c r="E50">
        <v>-0.02</v>
      </c>
      <c r="F50">
        <v>0.01</v>
      </c>
      <c r="G50" s="18">
        <v>9.8489850605415974</v>
      </c>
      <c r="H50">
        <v>9.84</v>
      </c>
      <c r="I50" s="18">
        <v>-8.9850605415975338E-3</v>
      </c>
      <c r="K50" s="9">
        <v>4</v>
      </c>
      <c r="L50" s="9" t="s">
        <v>33</v>
      </c>
      <c r="M50" s="9">
        <v>10.39</v>
      </c>
      <c r="N50" s="9">
        <v>6.26</v>
      </c>
      <c r="O50" s="9">
        <v>-0.31</v>
      </c>
      <c r="P50" s="9">
        <v>-0.26</v>
      </c>
      <c r="Q50" s="9">
        <v>4.71</v>
      </c>
      <c r="R50" s="9">
        <v>-0.03</v>
      </c>
      <c r="S50" s="9">
        <v>7.0000000000000001E-3</v>
      </c>
    </row>
    <row r="51" spans="1:19">
      <c r="A51">
        <v>4.8499999999999996</v>
      </c>
      <c r="B51">
        <v>-0.05</v>
      </c>
      <c r="C51">
        <v>0.44</v>
      </c>
      <c r="D51">
        <v>4.71</v>
      </c>
      <c r="E51">
        <v>0.04</v>
      </c>
      <c r="F51">
        <v>0.01</v>
      </c>
      <c r="G51" s="18">
        <v>10.007001293357469</v>
      </c>
      <c r="H51">
        <v>9.99</v>
      </c>
      <c r="I51" s="18">
        <v>-1.7001293357468583E-2</v>
      </c>
      <c r="K51" s="14">
        <v>4</v>
      </c>
      <c r="L51" s="9" t="s">
        <v>36</v>
      </c>
      <c r="M51" s="9">
        <v>10.029999999999999</v>
      </c>
      <c r="N51" s="9">
        <v>6.37</v>
      </c>
      <c r="O51" s="9">
        <v>-0.3</v>
      </c>
      <c r="P51" s="9">
        <v>-0.81</v>
      </c>
      <c r="Q51" s="9">
        <v>4.71</v>
      </c>
      <c r="R51" s="9">
        <v>0.04</v>
      </c>
      <c r="S51" s="9">
        <v>3.0000000000000001E-3</v>
      </c>
    </row>
    <row r="52" spans="1:19">
      <c r="A52">
        <v>5.28</v>
      </c>
      <c r="B52">
        <v>-0.14000000000000001</v>
      </c>
      <c r="C52">
        <v>-0.32</v>
      </c>
      <c r="D52">
        <v>4.71</v>
      </c>
      <c r="E52">
        <v>-0.01</v>
      </c>
      <c r="F52">
        <v>-0.02</v>
      </c>
      <c r="G52" s="18">
        <v>9.4979881268637474</v>
      </c>
      <c r="H52">
        <v>9.5</v>
      </c>
      <c r="I52" s="18">
        <v>2.0118731362526177E-3</v>
      </c>
      <c r="K52" s="9">
        <v>4</v>
      </c>
      <c r="L52" s="9" t="s">
        <v>37</v>
      </c>
      <c r="M52" s="9">
        <v>9.91</v>
      </c>
      <c r="N52" s="9">
        <v>6.01</v>
      </c>
      <c r="O52" s="9">
        <v>-0.32</v>
      </c>
      <c r="P52" s="9">
        <v>-0.56999999999999995</v>
      </c>
      <c r="Q52" s="9">
        <v>4.71</v>
      </c>
      <c r="R52" s="9">
        <v>0.06</v>
      </c>
      <c r="S52" s="9">
        <v>7.0000000000000001E-3</v>
      </c>
    </row>
    <row r="53" spans="1:19">
      <c r="A53">
        <v>4.91</v>
      </c>
      <c r="B53">
        <v>-0.09</v>
      </c>
      <c r="C53">
        <v>0.13</v>
      </c>
      <c r="D53">
        <v>4.71</v>
      </c>
      <c r="E53">
        <v>0</v>
      </c>
      <c r="F53">
        <v>-0.06</v>
      </c>
      <c r="G53" s="18">
        <v>9.5985380130978211</v>
      </c>
      <c r="H53">
        <v>9.59</v>
      </c>
      <c r="I53" s="18">
        <v>-8.5380130978212065E-3</v>
      </c>
      <c r="K53" s="14">
        <v>4</v>
      </c>
      <c r="L53" s="9" t="s">
        <v>39</v>
      </c>
      <c r="M53" s="9">
        <v>10.18</v>
      </c>
      <c r="N53" s="9">
        <v>5.91</v>
      </c>
      <c r="O53" s="9">
        <v>-0.17</v>
      </c>
      <c r="P53" s="9">
        <v>-0.32</v>
      </c>
      <c r="Q53" s="9">
        <v>4.71</v>
      </c>
      <c r="R53" s="9">
        <v>7.0000000000000007E-2</v>
      </c>
      <c r="S53" s="9">
        <v>-1.7000000000000001E-2</v>
      </c>
    </row>
    <row r="54" spans="1:19">
      <c r="A54">
        <v>5.36</v>
      </c>
      <c r="B54">
        <v>-0.03</v>
      </c>
      <c r="C54">
        <v>0.02</v>
      </c>
      <c r="D54">
        <v>4.71</v>
      </c>
      <c r="E54">
        <v>0.04</v>
      </c>
      <c r="F54">
        <v>0.01</v>
      </c>
      <c r="G54" s="18">
        <v>10.11435758465749</v>
      </c>
      <c r="H54">
        <v>10.11</v>
      </c>
      <c r="I54" s="18">
        <v>-4.3575846574910315E-3</v>
      </c>
      <c r="K54" s="9">
        <v>4</v>
      </c>
      <c r="L54" s="9" t="s">
        <v>40</v>
      </c>
      <c r="M54" s="9">
        <v>10.27</v>
      </c>
      <c r="N54" s="9">
        <v>6.99</v>
      </c>
      <c r="O54" s="9">
        <v>-0.63</v>
      </c>
      <c r="P54" s="9">
        <v>-0.8</v>
      </c>
      <c r="Q54" s="9">
        <v>4.71</v>
      </c>
      <c r="R54" s="9">
        <v>0.02</v>
      </c>
      <c r="S54" s="9">
        <v>-2.8000000000000001E-2</v>
      </c>
    </row>
    <row r="55" spans="1:19">
      <c r="A55">
        <v>5.42</v>
      </c>
      <c r="B55">
        <v>-0.12</v>
      </c>
      <c r="C55">
        <v>-0.04</v>
      </c>
      <c r="D55">
        <v>4.71</v>
      </c>
      <c r="E55">
        <v>0.06</v>
      </c>
      <c r="F55">
        <v>-0.04</v>
      </c>
      <c r="G55" s="18">
        <v>9.9892905396447986</v>
      </c>
      <c r="H55">
        <v>9.98</v>
      </c>
      <c r="I55" s="18">
        <v>-9.2905396447982014E-3</v>
      </c>
      <c r="K55" s="14">
        <v>4</v>
      </c>
      <c r="L55" s="9" t="s">
        <v>41</v>
      </c>
      <c r="M55" s="9">
        <v>9.99</v>
      </c>
      <c r="N55" s="9">
        <v>6.1</v>
      </c>
      <c r="O55" s="9">
        <v>-0.27</v>
      </c>
      <c r="P55" s="9">
        <v>-0.5</v>
      </c>
      <c r="Q55" s="9">
        <v>4.71</v>
      </c>
      <c r="R55" s="9">
        <v>0</v>
      </c>
      <c r="S55" s="9">
        <v>-4.2999999999999997E-2</v>
      </c>
    </row>
    <row r="56" spans="1:19">
      <c r="A56">
        <v>5.45</v>
      </c>
      <c r="B56">
        <v>-0.14000000000000001</v>
      </c>
      <c r="C56">
        <v>-0.17</v>
      </c>
      <c r="D56">
        <v>4.71</v>
      </c>
      <c r="E56">
        <v>-7.0000000000000007E-2</v>
      </c>
      <c r="F56">
        <v>0.01</v>
      </c>
      <c r="G56" s="18">
        <v>9.7950963750285425</v>
      </c>
      <c r="H56">
        <v>9.7899999999999991</v>
      </c>
      <c r="I56" s="18">
        <v>-5.0963750285433207E-3</v>
      </c>
      <c r="K56" s="9">
        <v>4</v>
      </c>
      <c r="L56" s="9" t="s">
        <v>42</v>
      </c>
      <c r="M56" s="9">
        <v>9.65</v>
      </c>
      <c r="N56" s="9">
        <v>5.37</v>
      </c>
      <c r="O56" s="9">
        <v>-0.16</v>
      </c>
      <c r="P56" s="9">
        <v>-0.27</v>
      </c>
      <c r="Q56" s="9">
        <v>4.71</v>
      </c>
      <c r="R56" s="9">
        <v>0.03</v>
      </c>
      <c r="S56" s="9">
        <v>-2.3E-2</v>
      </c>
    </row>
    <row r="57" spans="1:19">
      <c r="A57">
        <v>5.24</v>
      </c>
      <c r="B57">
        <v>-7.0000000000000007E-2</v>
      </c>
      <c r="C57">
        <v>-0.21</v>
      </c>
      <c r="D57">
        <v>4.71</v>
      </c>
      <c r="E57">
        <v>0.04</v>
      </c>
      <c r="F57">
        <v>0.01</v>
      </c>
      <c r="G57" s="18">
        <v>9.7203925609995565</v>
      </c>
      <c r="H57">
        <v>9.7100000000000009</v>
      </c>
      <c r="I57" s="18">
        <v>-1.0392560999555656E-2</v>
      </c>
      <c r="K57" s="14">
        <v>4</v>
      </c>
      <c r="L57" s="9" t="s">
        <v>43</v>
      </c>
      <c r="M57" s="9">
        <v>9.77</v>
      </c>
      <c r="N57" s="9">
        <v>5.05</v>
      </c>
      <c r="O57" s="9">
        <v>-0.04</v>
      </c>
      <c r="P57" s="9">
        <v>0.04</v>
      </c>
      <c r="Q57" s="9">
        <v>4.71</v>
      </c>
      <c r="R57" s="9">
        <v>-0.01</v>
      </c>
      <c r="S57" s="9">
        <v>7.0000000000000001E-3</v>
      </c>
    </row>
    <row r="58" spans="1:19">
      <c r="A58">
        <v>5.19</v>
      </c>
      <c r="B58">
        <v>0.01</v>
      </c>
      <c r="C58">
        <v>-0.06</v>
      </c>
      <c r="D58">
        <v>4.71</v>
      </c>
      <c r="E58">
        <v>-0.03</v>
      </c>
      <c r="F58">
        <v>0.01</v>
      </c>
      <c r="G58" s="18">
        <v>9.8341111568208976</v>
      </c>
      <c r="H58">
        <v>9.83</v>
      </c>
      <c r="I58" s="18">
        <v>-4.1111568208975768E-3</v>
      </c>
      <c r="K58" s="9">
        <v>4</v>
      </c>
      <c r="L58" s="9" t="s">
        <v>44</v>
      </c>
      <c r="M58" s="9">
        <v>9.9</v>
      </c>
      <c r="N58" s="9">
        <v>5.29</v>
      </c>
      <c r="O58" s="9">
        <v>-0.06</v>
      </c>
      <c r="P58" s="9">
        <v>-0.05</v>
      </c>
      <c r="Q58" s="9">
        <v>4.71</v>
      </c>
      <c r="R58" s="9">
        <v>0.04</v>
      </c>
      <c r="S58" s="9">
        <v>-2.5000000000000001E-2</v>
      </c>
    </row>
    <row r="59" spans="1:19">
      <c r="A59">
        <v>4.9400000000000004</v>
      </c>
      <c r="B59">
        <v>-0.06</v>
      </c>
      <c r="C59">
        <v>0.12</v>
      </c>
      <c r="D59">
        <v>4.71</v>
      </c>
      <c r="E59">
        <v>0.02</v>
      </c>
      <c r="F59">
        <v>0.01</v>
      </c>
      <c r="G59" s="18">
        <v>9.7436515675682678</v>
      </c>
      <c r="H59">
        <v>9.7200000000000006</v>
      </c>
      <c r="I59" s="18">
        <v>-2.365156756826714E-2</v>
      </c>
      <c r="K59" s="14">
        <v>4</v>
      </c>
      <c r="L59" s="9" t="s">
        <v>45</v>
      </c>
      <c r="M59" s="9">
        <v>9.73</v>
      </c>
      <c r="N59" s="9">
        <v>5.15</v>
      </c>
      <c r="O59" s="9">
        <v>-0.02</v>
      </c>
      <c r="P59" s="9">
        <v>-0.08</v>
      </c>
      <c r="Q59" s="9">
        <v>4.71</v>
      </c>
      <c r="R59" s="9">
        <v>-0.04</v>
      </c>
      <c r="S59" s="9">
        <v>7.0000000000000001E-3</v>
      </c>
    </row>
    <row r="60" spans="1:19">
      <c r="A60">
        <v>4.68</v>
      </c>
      <c r="B60">
        <v>0.19</v>
      </c>
      <c r="C60">
        <v>0.31</v>
      </c>
      <c r="D60">
        <v>4.71</v>
      </c>
      <c r="E60">
        <v>0.01</v>
      </c>
      <c r="F60">
        <v>0.01</v>
      </c>
      <c r="G60" s="18">
        <v>9.9152135791125708</v>
      </c>
      <c r="H60">
        <v>9.91</v>
      </c>
      <c r="I60" s="18">
        <v>-5.2135791125706987E-3</v>
      </c>
      <c r="K60" s="9">
        <v>4</v>
      </c>
      <c r="L60" s="9" t="s">
        <v>47</v>
      </c>
      <c r="M60" s="9">
        <v>9.7100000000000009</v>
      </c>
      <c r="N60" s="9">
        <v>4.91</v>
      </c>
      <c r="O60" s="9">
        <v>-0.02</v>
      </c>
      <c r="P60" s="9">
        <v>0.14000000000000001</v>
      </c>
      <c r="Q60" s="9">
        <v>4.71</v>
      </c>
      <c r="R60" s="9">
        <v>-0.04</v>
      </c>
      <c r="S60" s="9">
        <v>7.0000000000000001E-3</v>
      </c>
    </row>
    <row r="61" spans="1:19">
      <c r="A61">
        <v>5.04</v>
      </c>
      <c r="B61">
        <v>0.04</v>
      </c>
      <c r="C61">
        <v>0.04</v>
      </c>
      <c r="D61">
        <v>4.71</v>
      </c>
      <c r="E61">
        <v>-0.02</v>
      </c>
      <c r="F61">
        <v>0.01</v>
      </c>
      <c r="G61" s="18">
        <v>9.8243355487612742</v>
      </c>
      <c r="H61">
        <v>9.81</v>
      </c>
      <c r="I61" s="18">
        <v>-1.4335548761273742E-2</v>
      </c>
      <c r="K61" s="14">
        <v>4</v>
      </c>
      <c r="L61" s="9" t="s">
        <v>49</v>
      </c>
      <c r="M61" s="9">
        <v>9.76</v>
      </c>
      <c r="N61" s="9">
        <v>5.0199999999999996</v>
      </c>
      <c r="O61" s="9">
        <v>-0.11</v>
      </c>
      <c r="P61" s="9">
        <v>0.14000000000000001</v>
      </c>
      <c r="Q61" s="9">
        <v>4.71</v>
      </c>
      <c r="R61" s="9">
        <v>-0.01</v>
      </c>
      <c r="S61" s="9">
        <v>7.0000000000000001E-3</v>
      </c>
    </row>
    <row r="62" spans="1:19">
      <c r="A62">
        <v>5.22</v>
      </c>
      <c r="B62">
        <v>0.05</v>
      </c>
      <c r="C62">
        <v>-0.15</v>
      </c>
      <c r="D62">
        <v>4.71</v>
      </c>
      <c r="E62">
        <v>-0.02</v>
      </c>
      <c r="F62">
        <v>-0.05</v>
      </c>
      <c r="G62" s="18">
        <v>9.7580558295614779</v>
      </c>
      <c r="H62">
        <v>9.7799999999999994</v>
      </c>
      <c r="I62" s="18">
        <v>2.1944170438521482E-2</v>
      </c>
      <c r="K62" s="9">
        <v>4</v>
      </c>
      <c r="L62" s="9" t="s">
        <v>51</v>
      </c>
      <c r="M62" s="9">
        <v>9.81</v>
      </c>
      <c r="N62" s="9">
        <v>4.3099999999999996</v>
      </c>
      <c r="O62" s="9">
        <v>0.13</v>
      </c>
      <c r="P62" s="9">
        <v>0.67</v>
      </c>
      <c r="Q62" s="9">
        <v>4.71</v>
      </c>
      <c r="R62" s="9">
        <v>-0.02</v>
      </c>
      <c r="S62" s="9">
        <v>7.0000000000000001E-3</v>
      </c>
    </row>
    <row r="63" spans="1:19">
      <c r="A63">
        <v>5.23</v>
      </c>
      <c r="B63">
        <v>0.06</v>
      </c>
      <c r="C63">
        <v>0.05</v>
      </c>
      <c r="D63">
        <v>4.71</v>
      </c>
      <c r="E63">
        <v>0.01</v>
      </c>
      <c r="F63">
        <v>0</v>
      </c>
      <c r="G63" s="18">
        <v>10.06407237737659</v>
      </c>
      <c r="H63">
        <v>10.06</v>
      </c>
      <c r="I63" s="18">
        <v>-4.0723773765893867E-3</v>
      </c>
      <c r="K63" s="14">
        <v>4</v>
      </c>
      <c r="L63" s="9" t="s">
        <v>53</v>
      </c>
      <c r="M63" s="9">
        <v>9.85</v>
      </c>
      <c r="N63" s="9">
        <v>4.82</v>
      </c>
      <c r="O63" s="9">
        <v>-0.06</v>
      </c>
      <c r="P63" s="9">
        <v>0.41</v>
      </c>
      <c r="Q63" s="9">
        <v>4.71</v>
      </c>
      <c r="R63" s="9">
        <v>-0.04</v>
      </c>
      <c r="S63" s="9">
        <v>7.0000000000000001E-3</v>
      </c>
    </row>
    <row r="64" spans="1:19">
      <c r="A64">
        <v>5.22</v>
      </c>
      <c r="B64">
        <v>0.17</v>
      </c>
      <c r="C64">
        <v>0.16</v>
      </c>
      <c r="D64">
        <v>4.71</v>
      </c>
      <c r="E64">
        <v>0.02</v>
      </c>
      <c r="F64">
        <v>0.01</v>
      </c>
      <c r="G64" s="18">
        <v>10.296180274195004</v>
      </c>
      <c r="H64">
        <v>10.29</v>
      </c>
      <c r="I64" s="18">
        <v>-6.1802741950049978E-3</v>
      </c>
      <c r="K64" s="9">
        <v>4</v>
      </c>
      <c r="L64" s="9" t="s">
        <v>55</v>
      </c>
      <c r="M64" s="9">
        <v>9.51</v>
      </c>
      <c r="N64" s="9">
        <v>5.28</v>
      </c>
      <c r="O64" s="9">
        <v>-0.14000000000000001</v>
      </c>
      <c r="P64" s="9">
        <v>-0.31</v>
      </c>
      <c r="Q64" s="9">
        <v>4.71</v>
      </c>
      <c r="R64" s="9">
        <v>0</v>
      </c>
      <c r="S64" s="9">
        <v>-3.2000000000000001E-2</v>
      </c>
    </row>
    <row r="65" spans="1:19">
      <c r="A65">
        <v>5.47</v>
      </c>
      <c r="B65">
        <v>0.03</v>
      </c>
      <c r="C65">
        <v>-0.01</v>
      </c>
      <c r="D65">
        <v>4.71</v>
      </c>
      <c r="E65">
        <v>0.04</v>
      </c>
      <c r="F65">
        <v>0.01</v>
      </c>
      <c r="G65" s="18">
        <v>10.254685768059348</v>
      </c>
      <c r="H65">
        <v>10.24</v>
      </c>
      <c r="I65" s="18">
        <v>-1.4685768059347737E-2</v>
      </c>
      <c r="K65" s="14">
        <v>4</v>
      </c>
      <c r="L65" s="9" t="s">
        <v>57</v>
      </c>
      <c r="M65" s="9">
        <v>9.61</v>
      </c>
      <c r="N65" s="9">
        <v>4.88</v>
      </c>
      <c r="O65" s="9">
        <v>-0.09</v>
      </c>
      <c r="P65" s="9">
        <v>0.13</v>
      </c>
      <c r="Q65" s="9">
        <v>4.71</v>
      </c>
      <c r="R65" s="9">
        <v>0.02</v>
      </c>
      <c r="S65" s="9">
        <v>-5.0999999999999997E-2</v>
      </c>
    </row>
    <row r="66" spans="1:19">
      <c r="A66">
        <v>5.81</v>
      </c>
      <c r="B66">
        <v>-0.03</v>
      </c>
      <c r="C66">
        <v>-0.44</v>
      </c>
      <c r="D66">
        <v>4.71</v>
      </c>
      <c r="E66">
        <v>-0.03</v>
      </c>
      <c r="F66">
        <v>-0.01</v>
      </c>
      <c r="G66" s="18">
        <v>10.011043534678764</v>
      </c>
      <c r="H66">
        <v>10</v>
      </c>
      <c r="I66" s="18">
        <v>-1.1043534678764289E-2</v>
      </c>
      <c r="K66" s="9">
        <v>4</v>
      </c>
      <c r="L66" s="9" t="s">
        <v>58</v>
      </c>
      <c r="M66" s="9">
        <v>9.89</v>
      </c>
      <c r="N66" s="9">
        <v>5.27</v>
      </c>
      <c r="O66" s="9">
        <v>-0.03</v>
      </c>
      <c r="P66" s="9">
        <v>0</v>
      </c>
      <c r="Q66" s="9">
        <v>4.71</v>
      </c>
      <c r="R66" s="9">
        <v>-0.06</v>
      </c>
      <c r="S66" s="9">
        <v>7.0000000000000001E-3</v>
      </c>
    </row>
    <row r="67" spans="1:19">
      <c r="A67">
        <v>5.96</v>
      </c>
      <c r="B67">
        <v>-0.01</v>
      </c>
      <c r="C67">
        <v>-0.52</v>
      </c>
      <c r="D67">
        <v>4.71</v>
      </c>
      <c r="E67">
        <v>-0.01</v>
      </c>
      <c r="F67">
        <v>-0.01</v>
      </c>
      <c r="G67" s="18">
        <v>10.120350474273589</v>
      </c>
      <c r="H67">
        <v>10.11</v>
      </c>
      <c r="I67" s="18">
        <v>-1.0350474273590038E-2</v>
      </c>
      <c r="K67" s="14">
        <v>4</v>
      </c>
      <c r="L67" s="9" t="s">
        <v>60</v>
      </c>
      <c r="M67" s="9">
        <v>9.9600000000000009</v>
      </c>
      <c r="N67" s="9">
        <v>5.4</v>
      </c>
      <c r="O67" s="9">
        <v>-0.12</v>
      </c>
      <c r="P67" s="9">
        <v>-0.03</v>
      </c>
      <c r="Q67" s="9">
        <v>4.71</v>
      </c>
      <c r="R67" s="9">
        <v>0</v>
      </c>
      <c r="S67" s="9">
        <v>7.0000000000000001E-3</v>
      </c>
    </row>
    <row r="68" spans="1:19">
      <c r="A68">
        <v>6.14</v>
      </c>
      <c r="B68">
        <v>-0.16</v>
      </c>
      <c r="C68">
        <v>-0.72</v>
      </c>
      <c r="D68">
        <v>4.71</v>
      </c>
      <c r="E68">
        <v>-0.01</v>
      </c>
      <c r="F68">
        <v>0.01</v>
      </c>
      <c r="G68" s="18">
        <v>9.9701221198313998</v>
      </c>
      <c r="H68">
        <v>9.9700000000000006</v>
      </c>
      <c r="I68" s="18">
        <v>-1.2211983139920335E-4</v>
      </c>
      <c r="K68" s="9">
        <v>4</v>
      </c>
      <c r="L68" s="9" t="s">
        <v>66</v>
      </c>
      <c r="M68" s="9">
        <v>9.66</v>
      </c>
      <c r="N68" s="9">
        <v>5.37</v>
      </c>
      <c r="O68" s="9">
        <v>-0.14000000000000001</v>
      </c>
      <c r="P68" s="9">
        <v>-0.18</v>
      </c>
      <c r="Q68" s="9">
        <v>4.71</v>
      </c>
      <c r="R68" s="9">
        <v>-0.09</v>
      </c>
      <c r="S68" s="9">
        <v>-2.1000000000000001E-2</v>
      </c>
    </row>
    <row r="69" spans="1:19">
      <c r="A69">
        <v>6.3</v>
      </c>
      <c r="B69">
        <v>-0.28999999999999998</v>
      </c>
      <c r="C69">
        <v>-0.6</v>
      </c>
      <c r="D69">
        <v>4.71</v>
      </c>
      <c r="E69">
        <v>-0.02</v>
      </c>
      <c r="F69">
        <v>-0.06</v>
      </c>
      <c r="G69" s="18">
        <v>10.037327290318727</v>
      </c>
      <c r="H69">
        <v>10.029999999999999</v>
      </c>
      <c r="I69" s="18">
        <v>-7.3272903187273641E-3</v>
      </c>
      <c r="K69" s="14">
        <v>4</v>
      </c>
      <c r="L69" s="9" t="s">
        <v>67</v>
      </c>
      <c r="M69" s="9">
        <v>9.67</v>
      </c>
      <c r="N69" s="9">
        <v>5.26</v>
      </c>
      <c r="O69" s="9">
        <v>-0.08</v>
      </c>
      <c r="P69" s="9">
        <v>-0.24</v>
      </c>
      <c r="Q69" s="9">
        <v>4.71</v>
      </c>
      <c r="R69" s="9">
        <v>0.03</v>
      </c>
      <c r="S69" s="9">
        <v>-1.0999999999999999E-2</v>
      </c>
    </row>
    <row r="70" spans="1:19">
      <c r="A70">
        <v>5.64</v>
      </c>
      <c r="B70">
        <v>0.06</v>
      </c>
      <c r="C70">
        <v>-0.2</v>
      </c>
      <c r="D70">
        <v>4.71</v>
      </c>
      <c r="E70">
        <v>-0.02</v>
      </c>
      <c r="F70">
        <v>-0.01</v>
      </c>
      <c r="G70" s="18">
        <v>10.183146230157135</v>
      </c>
      <c r="H70">
        <v>10.18</v>
      </c>
      <c r="I70" s="18">
        <v>-3.1462301571352214E-3</v>
      </c>
      <c r="K70" s="9">
        <v>4</v>
      </c>
      <c r="L70" s="9" t="s">
        <v>69</v>
      </c>
      <c r="M70" s="9">
        <v>9.82</v>
      </c>
      <c r="N70" s="9">
        <v>5.21</v>
      </c>
      <c r="O70" s="9">
        <v>0.01</v>
      </c>
      <c r="P70" s="9">
        <v>-0.08</v>
      </c>
      <c r="Q70" s="9">
        <v>4.71</v>
      </c>
      <c r="R70" s="9">
        <v>-0.04</v>
      </c>
      <c r="S70" s="9">
        <v>-3.0000000000000001E-3</v>
      </c>
    </row>
    <row r="71" spans="1:19">
      <c r="A71">
        <v>5.41</v>
      </c>
      <c r="B71">
        <v>0.03</v>
      </c>
      <c r="C71">
        <v>-0.12</v>
      </c>
      <c r="D71">
        <v>4.71</v>
      </c>
      <c r="E71">
        <v>0</v>
      </c>
      <c r="F71">
        <v>0.01</v>
      </c>
      <c r="G71" s="18">
        <v>10.043859951045624</v>
      </c>
      <c r="H71">
        <v>10.039999999999999</v>
      </c>
      <c r="I71" s="18">
        <v>-3.8599510456247543E-3</v>
      </c>
      <c r="K71" s="14">
        <v>4</v>
      </c>
      <c r="L71" s="9" t="s">
        <v>71</v>
      </c>
      <c r="M71" s="9">
        <v>9.75</v>
      </c>
      <c r="N71" s="9">
        <v>4.96</v>
      </c>
      <c r="O71" s="9">
        <v>-0.05</v>
      </c>
      <c r="P71" s="9">
        <v>0.1</v>
      </c>
      <c r="Q71" s="9">
        <v>4.71</v>
      </c>
      <c r="R71" s="9">
        <v>0.03</v>
      </c>
      <c r="S71" s="9">
        <v>-0.02</v>
      </c>
    </row>
    <row r="72" spans="1:19">
      <c r="A72">
        <v>5.87</v>
      </c>
      <c r="B72">
        <v>-0.2</v>
      </c>
      <c r="C72">
        <v>-0.15</v>
      </c>
      <c r="D72">
        <v>4.71</v>
      </c>
      <c r="E72">
        <v>-0.01</v>
      </c>
      <c r="F72">
        <v>0.01</v>
      </c>
      <c r="G72" s="18">
        <v>10.236299225175237</v>
      </c>
      <c r="H72">
        <v>10.220000000000001</v>
      </c>
      <c r="I72" s="18">
        <v>-1.6299225175236742E-2</v>
      </c>
      <c r="K72" s="9">
        <v>4</v>
      </c>
      <c r="L72" s="9" t="s">
        <v>72</v>
      </c>
      <c r="M72" s="9">
        <v>9.93</v>
      </c>
      <c r="N72" s="9">
        <v>4.71</v>
      </c>
      <c r="O72" s="9">
        <v>0.2</v>
      </c>
      <c r="P72" s="9">
        <v>0.27</v>
      </c>
      <c r="Q72" s="9">
        <v>4.71</v>
      </c>
      <c r="R72" s="9">
        <v>0.02</v>
      </c>
      <c r="S72" s="9">
        <v>7.0000000000000001E-3</v>
      </c>
    </row>
    <row r="73" spans="1:19">
      <c r="A73">
        <v>6.14</v>
      </c>
      <c r="B73">
        <v>-0.11</v>
      </c>
      <c r="C73">
        <v>-0.43</v>
      </c>
      <c r="D73">
        <v>4.71</v>
      </c>
      <c r="E73">
        <v>-0.03</v>
      </c>
      <c r="F73">
        <v>0.01</v>
      </c>
      <c r="G73" s="18">
        <v>10.294720965158701</v>
      </c>
      <c r="H73">
        <v>10.29</v>
      </c>
      <c r="I73" s="18">
        <v>-4.7209651587021284E-3</v>
      </c>
      <c r="K73" s="14">
        <v>4</v>
      </c>
      <c r="L73" s="9" t="s">
        <v>74</v>
      </c>
      <c r="M73" s="9">
        <v>9.91</v>
      </c>
      <c r="N73" s="9">
        <v>5.08</v>
      </c>
      <c r="O73" s="9">
        <v>0.03</v>
      </c>
      <c r="P73" s="9">
        <v>0.03</v>
      </c>
      <c r="Q73" s="9">
        <v>4.71</v>
      </c>
      <c r="R73" s="9">
        <v>0.05</v>
      </c>
      <c r="S73" s="9">
        <v>7.0000000000000001E-3</v>
      </c>
    </row>
    <row r="74" spans="1:19">
      <c r="A74">
        <v>6.02</v>
      </c>
      <c r="B74">
        <v>-7.0000000000000007E-2</v>
      </c>
      <c r="C74">
        <v>-0.33</v>
      </c>
      <c r="D74">
        <v>4.71</v>
      </c>
      <c r="E74">
        <v>-0.05</v>
      </c>
      <c r="F74">
        <v>0</v>
      </c>
      <c r="G74" s="18">
        <v>10.285145243788607</v>
      </c>
      <c r="H74">
        <v>10.28</v>
      </c>
      <c r="I74" s="18">
        <v>-5.1452437886077007E-3</v>
      </c>
      <c r="K74" s="9">
        <v>4</v>
      </c>
      <c r="L74" s="9" t="s">
        <v>75</v>
      </c>
      <c r="M74" s="9">
        <v>9.83</v>
      </c>
      <c r="N74" s="9">
        <v>5.2</v>
      </c>
      <c r="O74" s="9">
        <v>7.0000000000000007E-2</v>
      </c>
      <c r="P74" s="9">
        <v>-0.15</v>
      </c>
      <c r="Q74" s="9">
        <v>4.71</v>
      </c>
      <c r="R74" s="9">
        <v>0.02</v>
      </c>
      <c r="S74" s="9">
        <v>-2.3E-2</v>
      </c>
    </row>
    <row r="75" spans="1:19">
      <c r="A75">
        <v>5.93</v>
      </c>
      <c r="B75">
        <v>0.03</v>
      </c>
      <c r="C75">
        <v>-0.51</v>
      </c>
      <c r="D75">
        <v>4.71</v>
      </c>
      <c r="E75">
        <v>0.06</v>
      </c>
      <c r="F75">
        <v>0.01</v>
      </c>
      <c r="G75" s="18">
        <v>10.230072449777085</v>
      </c>
      <c r="H75">
        <v>10.220000000000001</v>
      </c>
      <c r="I75" s="18">
        <v>-1.0072449777084103E-2</v>
      </c>
      <c r="K75" s="14">
        <v>4</v>
      </c>
      <c r="L75" s="9" t="s">
        <v>79</v>
      </c>
      <c r="M75" s="9">
        <v>9.9499999999999993</v>
      </c>
      <c r="N75" s="9">
        <v>5.18</v>
      </c>
      <c r="O75" s="9">
        <v>7.0000000000000007E-2</v>
      </c>
      <c r="P75" s="9">
        <v>0.02</v>
      </c>
      <c r="Q75" s="9">
        <v>4.71</v>
      </c>
      <c r="R75" s="9">
        <v>-0.04</v>
      </c>
      <c r="S75" s="9">
        <v>7.0000000000000001E-3</v>
      </c>
    </row>
    <row r="76" spans="1:19">
      <c r="A76">
        <v>6.1</v>
      </c>
      <c r="B76">
        <v>-0.14000000000000001</v>
      </c>
      <c r="C76">
        <v>-0.46</v>
      </c>
      <c r="D76">
        <v>4.71</v>
      </c>
      <c r="E76">
        <v>-0.04</v>
      </c>
      <c r="F76">
        <v>0.01</v>
      </c>
      <c r="G76" s="18">
        <v>10.184293319796954</v>
      </c>
      <c r="H76">
        <v>10.17</v>
      </c>
      <c r="I76" s="18">
        <v>-1.4293319796953696E-2</v>
      </c>
      <c r="K76" s="9">
        <v>4</v>
      </c>
      <c r="L76" s="9" t="s">
        <v>80</v>
      </c>
      <c r="M76" s="9">
        <v>10.220000000000001</v>
      </c>
      <c r="N76" s="9">
        <v>5.18</v>
      </c>
      <c r="O76" s="9">
        <v>0.18</v>
      </c>
      <c r="P76" s="9">
        <v>0.15</v>
      </c>
      <c r="Q76" s="9">
        <v>4.71</v>
      </c>
      <c r="R76" s="9">
        <v>-0.01</v>
      </c>
      <c r="S76" s="9">
        <v>7.0000000000000001E-3</v>
      </c>
    </row>
    <row r="77" spans="1:19">
      <c r="A77">
        <v>5.84</v>
      </c>
      <c r="B77">
        <v>0.02</v>
      </c>
      <c r="C77">
        <v>-0.3</v>
      </c>
      <c r="D77">
        <v>4.71</v>
      </c>
      <c r="E77">
        <v>-0.04</v>
      </c>
      <c r="F77">
        <v>-0.01</v>
      </c>
      <c r="G77" s="18">
        <v>10.223485819090449</v>
      </c>
      <c r="H77">
        <v>10.220000000000001</v>
      </c>
      <c r="I77" s="18">
        <v>-3.4858190904483166E-3</v>
      </c>
      <c r="K77" s="14">
        <v>4</v>
      </c>
      <c r="L77" s="9" t="s">
        <v>81</v>
      </c>
      <c r="M77" s="9">
        <v>10.130000000000001</v>
      </c>
      <c r="N77" s="9">
        <v>5.4</v>
      </c>
      <c r="O77" s="9">
        <v>0.03</v>
      </c>
      <c r="P77" s="9">
        <v>-0.01</v>
      </c>
      <c r="Q77" s="9">
        <v>4.71</v>
      </c>
      <c r="R77" s="9">
        <v>-0.01</v>
      </c>
      <c r="S77" s="9">
        <v>7.0000000000000001E-3</v>
      </c>
    </row>
    <row r="78" spans="1:19">
      <c r="A78">
        <v>7.05</v>
      </c>
      <c r="B78">
        <v>-0.19</v>
      </c>
      <c r="C78">
        <v>-0.79</v>
      </c>
      <c r="D78">
        <v>4.71</v>
      </c>
      <c r="E78">
        <v>-7.0000000000000007E-2</v>
      </c>
      <c r="F78">
        <v>-0.03</v>
      </c>
      <c r="G78" s="18">
        <v>10.683150237499278</v>
      </c>
      <c r="H78">
        <v>10.68</v>
      </c>
      <c r="I78" s="18">
        <v>-3.1502374992786741E-3</v>
      </c>
      <c r="K78" s="9">
        <v>4</v>
      </c>
      <c r="L78" s="9" t="s">
        <v>82</v>
      </c>
      <c r="M78" s="9">
        <v>9.9600000000000009</v>
      </c>
      <c r="N78" s="9">
        <v>5.79</v>
      </c>
      <c r="O78" s="9">
        <v>-0.02</v>
      </c>
      <c r="P78" s="9">
        <v>-0.44</v>
      </c>
      <c r="Q78" s="9">
        <v>4.71</v>
      </c>
      <c r="R78" s="9">
        <v>-7.0000000000000007E-2</v>
      </c>
      <c r="S78" s="9">
        <v>-1.2E-2</v>
      </c>
    </row>
    <row r="79" spans="1:19">
      <c r="A79">
        <v>6.58</v>
      </c>
      <c r="B79">
        <v>-0.2</v>
      </c>
      <c r="C79">
        <v>-0.79</v>
      </c>
      <c r="D79">
        <v>4.71</v>
      </c>
      <c r="E79">
        <v>-0.01</v>
      </c>
      <c r="F79">
        <v>-0.02</v>
      </c>
      <c r="G79" s="18">
        <v>10.269437694204006</v>
      </c>
      <c r="H79">
        <v>10.26</v>
      </c>
      <c r="I79" s="18">
        <v>-9.4376942040064193E-3</v>
      </c>
      <c r="K79" s="14">
        <v>4</v>
      </c>
      <c r="L79" s="9" t="s">
        <v>83</v>
      </c>
      <c r="M79" s="9">
        <v>10.18</v>
      </c>
      <c r="N79" s="9">
        <v>5.96</v>
      </c>
      <c r="O79" s="9">
        <v>-0.03</v>
      </c>
      <c r="P79" s="9">
        <v>-0.48</v>
      </c>
      <c r="Q79" s="9">
        <v>4.71</v>
      </c>
      <c r="R79" s="9">
        <v>0.03</v>
      </c>
      <c r="S79" s="9">
        <v>3.0000000000000001E-3</v>
      </c>
    </row>
    <row r="80" spans="1:19">
      <c r="A80">
        <v>6.33</v>
      </c>
      <c r="B80">
        <v>-7.0000000000000007E-2</v>
      </c>
      <c r="C80">
        <v>-0.66</v>
      </c>
      <c r="D80">
        <v>4.71</v>
      </c>
      <c r="E80">
        <v>0.03</v>
      </c>
      <c r="F80">
        <v>-0.03</v>
      </c>
      <c r="G80" s="18">
        <v>10.307973844429027</v>
      </c>
      <c r="H80">
        <v>10.29</v>
      </c>
      <c r="I80" s="18">
        <v>-1.7973844429027608E-2</v>
      </c>
      <c r="K80" s="9">
        <v>4</v>
      </c>
      <c r="L80" s="9" t="s">
        <v>84</v>
      </c>
      <c r="M80" s="9">
        <v>9.94</v>
      </c>
      <c r="N80" s="9">
        <v>6.07</v>
      </c>
      <c r="O80" s="9">
        <v>-0.15</v>
      </c>
      <c r="P80" s="9">
        <v>-0.67</v>
      </c>
      <c r="Q80" s="9">
        <v>4.71</v>
      </c>
      <c r="R80" s="9">
        <v>-0.01</v>
      </c>
      <c r="S80" s="9">
        <v>7.0000000000000001E-3</v>
      </c>
    </row>
    <row r="81" spans="1:19">
      <c r="A81">
        <v>6.41</v>
      </c>
      <c r="B81">
        <v>-0.19</v>
      </c>
      <c r="C81">
        <v>-0.64</v>
      </c>
      <c r="D81">
        <v>4.71</v>
      </c>
      <c r="E81">
        <v>0.02</v>
      </c>
      <c r="F81">
        <v>-0.01</v>
      </c>
      <c r="G81" s="18">
        <v>10.300471216056376</v>
      </c>
      <c r="H81">
        <v>10.3</v>
      </c>
      <c r="I81" s="18">
        <v>-4.712160563755674E-4</v>
      </c>
      <c r="K81" s="14">
        <v>4</v>
      </c>
      <c r="L81" s="9" t="s">
        <v>85</v>
      </c>
      <c r="M81" s="9">
        <v>10.35</v>
      </c>
      <c r="N81" s="9">
        <v>6.4</v>
      </c>
      <c r="O81" s="9">
        <v>-0.28999999999999998</v>
      </c>
      <c r="P81" s="9">
        <v>-0.55000000000000004</v>
      </c>
      <c r="Q81" s="9">
        <v>4.71</v>
      </c>
      <c r="R81" s="9">
        <v>0.1</v>
      </c>
      <c r="S81" s="9">
        <v>-1.6E-2</v>
      </c>
    </row>
    <row r="82" spans="1:19">
      <c r="A82">
        <v>6.14</v>
      </c>
      <c r="B82">
        <v>-0.08</v>
      </c>
      <c r="C82">
        <v>-0.85</v>
      </c>
      <c r="D82">
        <v>4.71</v>
      </c>
      <c r="E82">
        <v>-7.0000000000000007E-2</v>
      </c>
      <c r="F82">
        <v>-0.02</v>
      </c>
      <c r="G82" s="18">
        <v>9.8276230510989269</v>
      </c>
      <c r="H82">
        <v>9.83</v>
      </c>
      <c r="I82" s="18">
        <v>2.3769489010732059E-3</v>
      </c>
      <c r="K82" s="9">
        <v>4</v>
      </c>
      <c r="L82" s="9" t="s">
        <v>86</v>
      </c>
      <c r="M82" s="9">
        <v>10.25</v>
      </c>
      <c r="N82" s="9">
        <v>5.61</v>
      </c>
      <c r="O82" s="9">
        <v>7.0000000000000007E-2</v>
      </c>
      <c r="P82" s="9">
        <v>-0.18</v>
      </c>
      <c r="Q82" s="9">
        <v>4.71</v>
      </c>
      <c r="R82" s="9">
        <v>0.02</v>
      </c>
      <c r="S82" s="9">
        <v>7.0000000000000001E-3</v>
      </c>
    </row>
    <row r="83" spans="1:19">
      <c r="A83">
        <v>6.53</v>
      </c>
      <c r="B83">
        <v>-0.05</v>
      </c>
      <c r="C83">
        <v>-0.91</v>
      </c>
      <c r="D83">
        <v>4.71</v>
      </c>
      <c r="E83">
        <v>7.0000000000000007E-2</v>
      </c>
      <c r="F83">
        <v>0.01</v>
      </c>
      <c r="G83" s="18">
        <v>10.357885773428229</v>
      </c>
      <c r="H83">
        <v>10.36</v>
      </c>
      <c r="I83" s="18">
        <v>2.1142265717699615E-3</v>
      </c>
      <c r="K83" s="14">
        <v>4</v>
      </c>
      <c r="L83" s="9" t="s">
        <v>88</v>
      </c>
      <c r="M83" s="9">
        <v>10.09</v>
      </c>
      <c r="N83" s="9">
        <v>5.41</v>
      </c>
      <c r="O83" s="9">
        <v>0.05</v>
      </c>
      <c r="P83" s="9">
        <v>-0.12</v>
      </c>
      <c r="Q83" s="9">
        <v>4.71</v>
      </c>
      <c r="R83" s="9">
        <v>0.03</v>
      </c>
      <c r="S83" s="9">
        <v>7.0000000000000001E-3</v>
      </c>
    </row>
    <row r="84" spans="1:19">
      <c r="A84">
        <v>6.56</v>
      </c>
      <c r="B84">
        <v>0.28000000000000003</v>
      </c>
      <c r="C84">
        <v>-1.58</v>
      </c>
      <c r="D84">
        <v>4.71</v>
      </c>
      <c r="E84">
        <v>0.01</v>
      </c>
      <c r="F84">
        <v>-0.03</v>
      </c>
      <c r="G84" s="18">
        <v>9.937576443228755</v>
      </c>
      <c r="H84">
        <v>9.9499999999999993</v>
      </c>
      <c r="I84" s="18">
        <v>1.2423556771244293E-2</v>
      </c>
      <c r="K84" s="9">
        <v>4</v>
      </c>
      <c r="L84" s="9" t="s">
        <v>89</v>
      </c>
      <c r="M84" s="9">
        <v>10.15</v>
      </c>
      <c r="N84" s="9">
        <v>5.78</v>
      </c>
      <c r="O84" s="9">
        <v>-0.2</v>
      </c>
      <c r="P84" s="9">
        <v>-0.1</v>
      </c>
      <c r="Q84" s="9">
        <v>4.71</v>
      </c>
      <c r="R84" s="9">
        <v>-0.03</v>
      </c>
      <c r="S84" s="9">
        <v>-1.0999999999999999E-2</v>
      </c>
    </row>
    <row r="85" spans="1:19">
      <c r="A85">
        <v>6.26</v>
      </c>
      <c r="B85">
        <v>-0.31</v>
      </c>
      <c r="C85">
        <v>-0.26</v>
      </c>
      <c r="D85">
        <v>4.71</v>
      </c>
      <c r="E85">
        <v>-0.03</v>
      </c>
      <c r="F85">
        <v>7.0000000000000001E-3</v>
      </c>
      <c r="G85" s="18">
        <v>10.384357790941579</v>
      </c>
      <c r="H85">
        <v>10.39</v>
      </c>
      <c r="I85" s="18">
        <v>5.6422090584220541E-3</v>
      </c>
      <c r="K85" s="14">
        <v>4</v>
      </c>
      <c r="L85" s="9" t="s">
        <v>90</v>
      </c>
      <c r="M85" s="9">
        <v>10.43</v>
      </c>
      <c r="N85" s="9">
        <v>6.17</v>
      </c>
      <c r="O85" s="9">
        <v>-0.11</v>
      </c>
      <c r="P85" s="9">
        <v>-0.38</v>
      </c>
      <c r="Q85" s="9">
        <v>4.71</v>
      </c>
      <c r="R85" s="9">
        <v>0.05</v>
      </c>
      <c r="S85" s="9">
        <v>-2.3E-2</v>
      </c>
    </row>
    <row r="86" spans="1:19">
      <c r="A86">
        <v>6.37</v>
      </c>
      <c r="B86">
        <v>-0.3</v>
      </c>
      <c r="C86">
        <v>-0.81</v>
      </c>
      <c r="D86">
        <v>4.71</v>
      </c>
      <c r="E86">
        <v>0.04</v>
      </c>
      <c r="F86">
        <v>3.0000000000000001E-3</v>
      </c>
      <c r="G86" s="18">
        <v>10.011254832736375</v>
      </c>
      <c r="H86">
        <v>10.029999999999999</v>
      </c>
      <c r="I86" s="18">
        <v>1.8745167263624296E-2</v>
      </c>
      <c r="K86" s="9">
        <v>4</v>
      </c>
      <c r="L86" s="9" t="s">
        <v>91</v>
      </c>
      <c r="M86" s="9">
        <v>10.34</v>
      </c>
      <c r="N86" s="9">
        <v>6</v>
      </c>
      <c r="O86" s="9">
        <v>-7.0000000000000007E-2</v>
      </c>
      <c r="P86" s="9">
        <v>-0.3</v>
      </c>
      <c r="Q86" s="9">
        <v>4.71</v>
      </c>
      <c r="R86" s="9">
        <v>-0.02</v>
      </c>
      <c r="S86" s="9">
        <v>7.0000000000000001E-3</v>
      </c>
    </row>
    <row r="87" spans="1:19">
      <c r="A87">
        <v>6.01</v>
      </c>
      <c r="B87">
        <v>-0.32</v>
      </c>
      <c r="C87">
        <v>-0.56999999999999995</v>
      </c>
      <c r="D87">
        <v>4.71</v>
      </c>
      <c r="E87">
        <v>0.06</v>
      </c>
      <c r="F87">
        <v>7.0000000000000001E-3</v>
      </c>
      <c r="G87" s="18">
        <v>9.8961186011232805</v>
      </c>
      <c r="H87">
        <v>9.91</v>
      </c>
      <c r="I87" s="18">
        <v>1.3881398876719686E-2</v>
      </c>
      <c r="K87" s="14">
        <v>4</v>
      </c>
      <c r="L87" s="9" t="s">
        <v>92</v>
      </c>
      <c r="M87" s="9">
        <v>10.26</v>
      </c>
      <c r="N87" s="9">
        <v>5.89</v>
      </c>
      <c r="O87" s="9">
        <v>0.03</v>
      </c>
      <c r="P87" s="9">
        <v>-0.46</v>
      </c>
      <c r="Q87" s="9">
        <v>4.71</v>
      </c>
      <c r="R87" s="9">
        <v>7.0000000000000007E-2</v>
      </c>
      <c r="S87" s="9">
        <v>7.0000000000000001E-3</v>
      </c>
    </row>
    <row r="88" spans="1:19">
      <c r="A88">
        <v>5.91</v>
      </c>
      <c r="B88">
        <v>-0.17</v>
      </c>
      <c r="C88">
        <v>-0.32</v>
      </c>
      <c r="D88">
        <v>4.71</v>
      </c>
      <c r="E88">
        <v>7.0000000000000007E-2</v>
      </c>
      <c r="F88">
        <v>-1.7000000000000001E-2</v>
      </c>
      <c r="G88" s="18">
        <v>10.182947353449322</v>
      </c>
      <c r="H88">
        <v>10.18</v>
      </c>
      <c r="I88" s="18">
        <v>-2.9473534493220654E-3</v>
      </c>
      <c r="K88" s="9">
        <v>4</v>
      </c>
      <c r="L88" s="9" t="s">
        <v>93</v>
      </c>
      <c r="M88" s="9">
        <v>10.3</v>
      </c>
      <c r="N88" s="9">
        <v>6.11</v>
      </c>
      <c r="O88" s="9">
        <v>-0.16</v>
      </c>
      <c r="P88" s="9">
        <v>-0.38</v>
      </c>
      <c r="Q88" s="9">
        <v>4.71</v>
      </c>
      <c r="R88" s="9">
        <v>0</v>
      </c>
      <c r="S88" s="9">
        <v>7.0000000000000001E-3</v>
      </c>
    </row>
    <row r="89" spans="1:19">
      <c r="A89">
        <v>6.99</v>
      </c>
      <c r="B89">
        <v>-0.63</v>
      </c>
      <c r="C89">
        <v>-0.8</v>
      </c>
      <c r="D89">
        <v>4.71</v>
      </c>
      <c r="E89">
        <v>0.02</v>
      </c>
      <c r="F89">
        <v>-2.8000000000000001E-2</v>
      </c>
      <c r="G89" s="18">
        <v>10.261926851474657</v>
      </c>
      <c r="H89">
        <v>10.27</v>
      </c>
      <c r="I89" s="18">
        <v>8.0731485253426882E-3</v>
      </c>
      <c r="K89" s="14">
        <v>4</v>
      </c>
      <c r="L89" s="9" t="s">
        <v>94</v>
      </c>
      <c r="M89" s="9">
        <v>10.210000000000001</v>
      </c>
      <c r="N89" s="9">
        <v>5.79</v>
      </c>
      <c r="O89" s="9">
        <v>0.05</v>
      </c>
      <c r="P89" s="9">
        <v>-0.28000000000000003</v>
      </c>
      <c r="Q89" s="9">
        <v>4.71</v>
      </c>
      <c r="R89" s="9">
        <v>-7.0000000000000007E-2</v>
      </c>
      <c r="S89" s="9">
        <v>7.0000000000000001E-3</v>
      </c>
    </row>
    <row r="90" spans="1:19">
      <c r="A90">
        <v>6.1</v>
      </c>
      <c r="B90">
        <v>-0.27</v>
      </c>
      <c r="C90">
        <v>-0.5</v>
      </c>
      <c r="D90">
        <v>4.71</v>
      </c>
      <c r="E90">
        <v>0</v>
      </c>
      <c r="F90">
        <v>-4.2999999999999997E-2</v>
      </c>
      <c r="G90" s="18">
        <v>9.9953181545299969</v>
      </c>
      <c r="H90">
        <v>9.99</v>
      </c>
      <c r="I90" s="18">
        <v>-5.3181545299967325E-3</v>
      </c>
      <c r="K90" s="9">
        <v>4</v>
      </c>
      <c r="L90" s="9" t="s">
        <v>95</v>
      </c>
      <c r="M90" s="9">
        <v>11</v>
      </c>
      <c r="N90" s="9">
        <v>7.13</v>
      </c>
      <c r="O90" s="9">
        <v>-0.19</v>
      </c>
      <c r="P90" s="9">
        <v>-0.74</v>
      </c>
      <c r="Q90" s="9">
        <v>4.71</v>
      </c>
      <c r="R90" s="9">
        <v>7.0000000000000007E-2</v>
      </c>
      <c r="S90" s="9">
        <v>7.0000000000000001E-3</v>
      </c>
    </row>
    <row r="91" spans="1:19">
      <c r="A91">
        <v>5.37</v>
      </c>
      <c r="B91">
        <v>-0.16</v>
      </c>
      <c r="C91">
        <v>-0.27</v>
      </c>
      <c r="D91">
        <v>4.71</v>
      </c>
      <c r="E91">
        <v>0.03</v>
      </c>
      <c r="F91">
        <v>-2.3E-2</v>
      </c>
      <c r="G91" s="18">
        <v>9.6549086718409836</v>
      </c>
      <c r="H91">
        <v>9.65</v>
      </c>
      <c r="I91" s="18">
        <v>-4.9086718409832031E-3</v>
      </c>
      <c r="K91" s="14">
        <v>4</v>
      </c>
      <c r="L91" s="9" t="s">
        <v>96</v>
      </c>
      <c r="M91" s="9">
        <v>10.47</v>
      </c>
      <c r="N91" s="9">
        <v>6.62</v>
      </c>
      <c r="O91" s="9">
        <v>-0.21</v>
      </c>
      <c r="P91" s="9">
        <v>-0.74</v>
      </c>
      <c r="Q91" s="9">
        <v>4.71</v>
      </c>
      <c r="R91" s="9">
        <v>0.09</v>
      </c>
      <c r="S91" s="9">
        <v>-2E-3</v>
      </c>
    </row>
    <row r="92" spans="1:19">
      <c r="A92">
        <v>5.05</v>
      </c>
      <c r="B92">
        <v>-0.04</v>
      </c>
      <c r="C92">
        <v>0.04</v>
      </c>
      <c r="D92">
        <v>4.71</v>
      </c>
      <c r="E92">
        <v>-0.01</v>
      </c>
      <c r="F92">
        <v>7.0000000000000001E-3</v>
      </c>
      <c r="G92" s="18">
        <v>9.7608056155187661</v>
      </c>
      <c r="H92">
        <v>9.77</v>
      </c>
      <c r="I92" s="18">
        <v>9.1943844812334419E-3</v>
      </c>
      <c r="K92" s="9">
        <v>4</v>
      </c>
      <c r="L92" s="9" t="s">
        <v>97</v>
      </c>
      <c r="M92" s="9">
        <v>10.45</v>
      </c>
      <c r="N92" s="9">
        <v>6.39</v>
      </c>
      <c r="O92" s="9">
        <v>-0.06</v>
      </c>
      <c r="P92" s="9">
        <v>-0.63</v>
      </c>
      <c r="Q92" s="9">
        <v>4.71</v>
      </c>
      <c r="R92" s="9">
        <v>0.08</v>
      </c>
      <c r="S92" s="9">
        <v>-3.6999999999999998E-2</v>
      </c>
    </row>
    <row r="93" spans="1:19">
      <c r="A93">
        <v>5.29</v>
      </c>
      <c r="B93">
        <v>-0.06</v>
      </c>
      <c r="C93">
        <v>-0.05</v>
      </c>
      <c r="D93">
        <v>4.71</v>
      </c>
      <c r="E93">
        <v>0.04</v>
      </c>
      <c r="F93">
        <v>-2.5000000000000001E-2</v>
      </c>
      <c r="G93" s="18">
        <v>9.9051414163362121</v>
      </c>
      <c r="H93">
        <v>9.9</v>
      </c>
      <c r="I93" s="18">
        <v>-5.1414163362117904E-3</v>
      </c>
      <c r="K93" s="14">
        <v>4</v>
      </c>
      <c r="L93" s="9" t="s">
        <v>98</v>
      </c>
      <c r="M93" s="9">
        <v>10.52</v>
      </c>
      <c r="N93" s="9">
        <v>6.49</v>
      </c>
      <c r="O93" s="9">
        <v>-0.21</v>
      </c>
      <c r="P93" s="9">
        <v>-0.6</v>
      </c>
      <c r="Q93" s="9">
        <v>4.71</v>
      </c>
      <c r="R93" s="9">
        <v>0.13</v>
      </c>
      <c r="S93" s="9">
        <v>-8.9999999999999993E-3</v>
      </c>
    </row>
    <row r="94" spans="1:19">
      <c r="A94">
        <v>5.15</v>
      </c>
      <c r="B94">
        <v>-0.02</v>
      </c>
      <c r="C94">
        <v>-0.08</v>
      </c>
      <c r="D94">
        <v>4.71</v>
      </c>
      <c r="E94">
        <v>-0.04</v>
      </c>
      <c r="F94">
        <v>7.0000000000000001E-3</v>
      </c>
      <c r="G94" s="18">
        <v>9.7305832472049207</v>
      </c>
      <c r="H94">
        <v>9.73</v>
      </c>
      <c r="I94" s="18">
        <v>-5.832472049203119E-4</v>
      </c>
      <c r="K94" s="9">
        <v>4</v>
      </c>
      <c r="L94" s="9" t="s">
        <v>99</v>
      </c>
      <c r="M94" s="9">
        <v>10.14</v>
      </c>
      <c r="N94" s="9">
        <v>6.17</v>
      </c>
      <c r="O94" s="9">
        <v>-0.08</v>
      </c>
      <c r="P94" s="9">
        <v>-0.76</v>
      </c>
      <c r="Q94" s="9">
        <v>4.71</v>
      </c>
      <c r="R94" s="9">
        <v>0.1</v>
      </c>
      <c r="S94" s="9">
        <v>2E-3</v>
      </c>
    </row>
    <row r="95" spans="1:19">
      <c r="A95">
        <v>4.91</v>
      </c>
      <c r="B95">
        <v>-0.02</v>
      </c>
      <c r="C95">
        <v>0.14000000000000001</v>
      </c>
      <c r="D95">
        <v>4.71</v>
      </c>
      <c r="E95">
        <v>-0.04</v>
      </c>
      <c r="F95">
        <v>7.0000000000000001E-3</v>
      </c>
      <c r="G95" s="18">
        <v>9.7121467520179703</v>
      </c>
      <c r="H95">
        <v>9.7100000000000009</v>
      </c>
      <c r="I95" s="18">
        <v>-2.1467520179694333E-3</v>
      </c>
      <c r="K95" s="14">
        <v>4</v>
      </c>
      <c r="L95" s="9" t="s">
        <v>100</v>
      </c>
      <c r="M95" s="9">
        <v>10.65</v>
      </c>
      <c r="N95" s="9">
        <v>6.62</v>
      </c>
      <c r="O95" s="9">
        <v>-0.03</v>
      </c>
      <c r="P95" s="9">
        <v>-0.85</v>
      </c>
      <c r="Q95" s="9">
        <v>4.71</v>
      </c>
      <c r="R95" s="9">
        <v>0.2</v>
      </c>
      <c r="S95" s="9">
        <v>7.0000000000000001E-3</v>
      </c>
    </row>
    <row r="96" spans="1:19">
      <c r="A96">
        <v>5.0199999999999996</v>
      </c>
      <c r="B96">
        <v>-0.11</v>
      </c>
      <c r="C96">
        <v>0.14000000000000001</v>
      </c>
      <c r="D96">
        <v>4.71</v>
      </c>
      <c r="E96">
        <v>-0.01</v>
      </c>
      <c r="F96">
        <v>7.0000000000000001E-3</v>
      </c>
      <c r="G96" s="18">
        <v>9.7619283033483342</v>
      </c>
      <c r="H96">
        <v>9.76</v>
      </c>
      <c r="I96" s="18">
        <v>-1.9283033483343814E-3</v>
      </c>
      <c r="K96" s="9">
        <v>4</v>
      </c>
      <c r="L96" s="9" t="s">
        <v>101</v>
      </c>
      <c r="M96" s="9">
        <v>10.09</v>
      </c>
      <c r="N96" s="9">
        <v>6.6</v>
      </c>
      <c r="O96" s="9">
        <v>0.3</v>
      </c>
      <c r="P96" s="9">
        <v>-1.56</v>
      </c>
      <c r="Q96" s="9">
        <v>4.71</v>
      </c>
      <c r="R96" s="9">
        <v>0.06</v>
      </c>
      <c r="S96" s="9">
        <v>-2.1000000000000001E-2</v>
      </c>
    </row>
    <row r="97" spans="1:22">
      <c r="A97">
        <v>4.3099999999999996</v>
      </c>
      <c r="B97">
        <v>0.13</v>
      </c>
      <c r="C97">
        <v>0.67</v>
      </c>
      <c r="D97">
        <v>4.71</v>
      </c>
      <c r="E97">
        <v>-0.02</v>
      </c>
      <c r="F97">
        <v>7.0000000000000001E-3</v>
      </c>
      <c r="G97" s="18">
        <v>9.8154081157687916</v>
      </c>
      <c r="H97">
        <v>9.81</v>
      </c>
      <c r="I97" s="18">
        <v>-5.4081157687910775E-3</v>
      </c>
      <c r="K97" s="9">
        <v>5</v>
      </c>
      <c r="L97" s="9" t="s">
        <v>33</v>
      </c>
      <c r="M97" s="9">
        <v>10.29</v>
      </c>
      <c r="N97" s="9">
        <v>6.28</v>
      </c>
      <c r="O97" s="9">
        <v>-0.31</v>
      </c>
      <c r="P97" s="9">
        <v>-0.26</v>
      </c>
      <c r="Q97" s="9">
        <v>4.6399999999999997</v>
      </c>
      <c r="R97" s="9">
        <v>-7.0000000000000007E-2</v>
      </c>
      <c r="S97" s="9">
        <v>0.01</v>
      </c>
    </row>
    <row r="98" spans="1:22">
      <c r="A98">
        <v>4.82</v>
      </c>
      <c r="B98">
        <v>-0.06</v>
      </c>
      <c r="C98">
        <v>0.41</v>
      </c>
      <c r="D98">
        <v>4.71</v>
      </c>
      <c r="E98">
        <v>-0.04</v>
      </c>
      <c r="F98">
        <v>7.0000000000000001E-3</v>
      </c>
      <c r="G98" s="18">
        <v>9.8552836563797364</v>
      </c>
      <c r="H98">
        <v>9.85</v>
      </c>
      <c r="I98" s="18">
        <v>-5.283656379736712E-3</v>
      </c>
      <c r="K98" s="9">
        <v>5</v>
      </c>
      <c r="L98" s="9" t="s">
        <v>36</v>
      </c>
      <c r="M98" s="9">
        <v>9.7899999999999991</v>
      </c>
      <c r="N98" s="9">
        <v>6.33</v>
      </c>
      <c r="O98" s="9">
        <v>-0.31</v>
      </c>
      <c r="P98" s="9">
        <v>-0.8</v>
      </c>
      <c r="Q98" s="9">
        <v>4.6399999999999997</v>
      </c>
      <c r="R98" s="9">
        <v>-7.0000000000000007E-2</v>
      </c>
      <c r="S98" s="9">
        <v>0.01</v>
      </c>
    </row>
    <row r="99" spans="1:22">
      <c r="A99">
        <v>5.28</v>
      </c>
      <c r="B99">
        <v>-0.14000000000000001</v>
      </c>
      <c r="C99">
        <v>-0.31</v>
      </c>
      <c r="D99">
        <v>4.71</v>
      </c>
      <c r="E99">
        <v>0</v>
      </c>
      <c r="F99">
        <v>-3.2000000000000001E-2</v>
      </c>
      <c r="G99" s="18">
        <v>9.5049055799545918</v>
      </c>
      <c r="H99">
        <v>9.51</v>
      </c>
      <c r="I99" s="18">
        <v>5.0944200454079436E-3</v>
      </c>
      <c r="K99" s="9">
        <v>5</v>
      </c>
      <c r="L99" s="9" t="s">
        <v>37</v>
      </c>
      <c r="M99" s="9">
        <v>9.77</v>
      </c>
      <c r="N99" s="9">
        <v>6</v>
      </c>
      <c r="O99" s="9">
        <v>-0.32</v>
      </c>
      <c r="P99" s="9">
        <v>-0.56999999999999995</v>
      </c>
      <c r="Q99" s="9">
        <v>4.6399999999999997</v>
      </c>
      <c r="R99" s="9">
        <v>0.01</v>
      </c>
      <c r="S99" s="9">
        <v>0.01</v>
      </c>
    </row>
    <row r="100" spans="1:22">
      <c r="A100">
        <v>4.88</v>
      </c>
      <c r="B100">
        <v>-0.09</v>
      </c>
      <c r="C100">
        <v>0.13</v>
      </c>
      <c r="D100">
        <v>4.71</v>
      </c>
      <c r="E100">
        <v>0.02</v>
      </c>
      <c r="F100">
        <v>-5.0999999999999997E-2</v>
      </c>
      <c r="G100" s="18">
        <v>9.5975358810166878</v>
      </c>
      <c r="H100">
        <v>9.61</v>
      </c>
      <c r="I100" s="18">
        <v>1.2464118983311678E-2</v>
      </c>
      <c r="K100" s="9">
        <v>5</v>
      </c>
      <c r="L100" s="9" t="s">
        <v>39</v>
      </c>
      <c r="M100" s="9">
        <v>10.050000000000001</v>
      </c>
      <c r="N100" s="9">
        <v>5.91</v>
      </c>
      <c r="O100" s="9">
        <v>-0.17</v>
      </c>
      <c r="P100" s="9">
        <v>-0.32</v>
      </c>
      <c r="Q100" s="9">
        <v>4.6399999999999997</v>
      </c>
      <c r="R100" s="9">
        <v>0.01</v>
      </c>
      <c r="S100" s="9">
        <v>-1.2E-2</v>
      </c>
    </row>
    <row r="101" spans="1:22">
      <c r="A101">
        <v>5.27</v>
      </c>
      <c r="B101">
        <v>-0.03</v>
      </c>
      <c r="C101">
        <v>0</v>
      </c>
      <c r="D101">
        <v>4.71</v>
      </c>
      <c r="E101">
        <v>-0.06</v>
      </c>
      <c r="F101">
        <v>7.0000000000000001E-3</v>
      </c>
      <c r="G101" s="18">
        <v>9.9029520624929841</v>
      </c>
      <c r="H101">
        <v>9.89</v>
      </c>
      <c r="I101" s="18">
        <v>-1.2952062492983529E-2</v>
      </c>
      <c r="K101" s="9">
        <v>5</v>
      </c>
      <c r="L101" s="9" t="s">
        <v>40</v>
      </c>
      <c r="M101" s="9">
        <v>9.86</v>
      </c>
      <c r="N101" s="9">
        <v>6.8</v>
      </c>
      <c r="O101" s="9">
        <v>-0.64</v>
      </c>
      <c r="P101" s="9">
        <v>-0.76</v>
      </c>
      <c r="Q101" s="9">
        <v>4.6399999999999997</v>
      </c>
      <c r="R101" s="9">
        <v>-0.14000000000000001</v>
      </c>
      <c r="S101" s="9">
        <v>-3.7999999999999999E-2</v>
      </c>
    </row>
    <row r="102" spans="1:22">
      <c r="A102">
        <v>5.4</v>
      </c>
      <c r="B102">
        <v>-0.12</v>
      </c>
      <c r="C102">
        <v>-0.03</v>
      </c>
      <c r="D102">
        <v>4.71</v>
      </c>
      <c r="E102">
        <v>0</v>
      </c>
      <c r="F102">
        <v>7.0000000000000001E-3</v>
      </c>
      <c r="G102" s="18">
        <v>9.9716425051837909</v>
      </c>
      <c r="H102">
        <v>9.9600000000000009</v>
      </c>
      <c r="I102" s="18">
        <v>-1.1642505183790064E-2</v>
      </c>
      <c r="K102" s="9">
        <v>5</v>
      </c>
      <c r="L102" s="9" t="s">
        <v>41</v>
      </c>
      <c r="M102" s="9">
        <v>9.98</v>
      </c>
      <c r="N102" s="9">
        <v>6.15</v>
      </c>
      <c r="O102" s="9">
        <v>-0.28000000000000003</v>
      </c>
      <c r="P102" s="9">
        <v>-0.48</v>
      </c>
      <c r="Q102" s="9">
        <v>4.6399999999999997</v>
      </c>
      <c r="R102" s="9">
        <v>-0.01</v>
      </c>
      <c r="S102" s="9">
        <v>-4.2999999999999997E-2</v>
      </c>
    </row>
    <row r="103" spans="1:22">
      <c r="A103">
        <v>5.37</v>
      </c>
      <c r="B103">
        <v>-0.14000000000000001</v>
      </c>
      <c r="C103">
        <v>-0.18</v>
      </c>
      <c r="D103">
        <v>4.71</v>
      </c>
      <c r="E103">
        <v>-0.09</v>
      </c>
      <c r="F103">
        <v>-2.1000000000000001E-2</v>
      </c>
      <c r="G103" s="18">
        <v>9.6515321046656624</v>
      </c>
      <c r="H103">
        <v>9.66</v>
      </c>
      <c r="I103" s="18">
        <v>8.4678953343377827E-3</v>
      </c>
      <c r="K103" s="9">
        <v>5</v>
      </c>
      <c r="L103" s="9" t="s">
        <v>42</v>
      </c>
      <c r="M103" s="9">
        <v>9.5299999999999994</v>
      </c>
      <c r="N103" s="9">
        <v>5.42</v>
      </c>
      <c r="O103" s="9">
        <v>-0.18</v>
      </c>
      <c r="P103" s="9">
        <v>-0.27</v>
      </c>
      <c r="Q103" s="9">
        <v>4.6399999999999997</v>
      </c>
      <c r="R103" s="9">
        <v>-0.06</v>
      </c>
      <c r="S103" s="9">
        <v>-1.9E-2</v>
      </c>
      <c r="T103" s="11"/>
      <c r="U103" s="11"/>
      <c r="V103" s="11"/>
    </row>
    <row r="104" spans="1:22">
      <c r="A104">
        <v>5.26</v>
      </c>
      <c r="B104">
        <v>-0.08</v>
      </c>
      <c r="C104">
        <v>-0.24</v>
      </c>
      <c r="D104">
        <v>4.71</v>
      </c>
      <c r="E104">
        <v>0.03</v>
      </c>
      <c r="F104">
        <v>-1.0999999999999999E-2</v>
      </c>
      <c r="G104" s="18">
        <v>9.6676863118436707</v>
      </c>
      <c r="H104">
        <v>9.67</v>
      </c>
      <c r="I104" s="18">
        <v>2.3136881563292633E-3</v>
      </c>
      <c r="K104" s="9">
        <v>5</v>
      </c>
      <c r="L104" s="9" t="s">
        <v>43</v>
      </c>
      <c r="M104" s="9">
        <v>9.73</v>
      </c>
      <c r="N104" s="9">
        <v>5.12</v>
      </c>
      <c r="O104" s="9">
        <v>-0.04</v>
      </c>
      <c r="P104" s="9">
        <v>0.03</v>
      </c>
      <c r="Q104" s="9">
        <v>4.6399999999999997</v>
      </c>
      <c r="R104" s="9">
        <v>-0.03</v>
      </c>
      <c r="S104" s="9">
        <v>0.01</v>
      </c>
      <c r="T104" s="11"/>
      <c r="U104" s="11"/>
      <c r="V104" s="11"/>
    </row>
    <row r="105" spans="1:22">
      <c r="A105">
        <v>5.21</v>
      </c>
      <c r="B105">
        <v>0.01</v>
      </c>
      <c r="C105">
        <v>-0.08</v>
      </c>
      <c r="D105">
        <v>4.71</v>
      </c>
      <c r="E105">
        <v>-0.04</v>
      </c>
      <c r="F105">
        <v>-3.0000000000000001E-3</v>
      </c>
      <c r="G105" s="18">
        <v>9.8101903360035614</v>
      </c>
      <c r="H105">
        <v>9.82</v>
      </c>
      <c r="I105" s="18">
        <v>9.8096639964388999E-3</v>
      </c>
      <c r="K105" s="9">
        <v>5</v>
      </c>
      <c r="L105" s="9" t="s">
        <v>44</v>
      </c>
      <c r="M105" s="9">
        <v>9.9600000000000009</v>
      </c>
      <c r="N105" s="9">
        <v>5.4</v>
      </c>
      <c r="O105" s="9">
        <v>-0.06</v>
      </c>
      <c r="P105" s="9">
        <v>-0.05</v>
      </c>
      <c r="Q105" s="9">
        <v>4.6399999999999997</v>
      </c>
      <c r="R105" s="9">
        <v>0.04</v>
      </c>
      <c r="S105" s="9">
        <v>-1.2E-2</v>
      </c>
      <c r="T105" s="11"/>
      <c r="U105" s="11"/>
      <c r="V105" s="11"/>
    </row>
    <row r="106" spans="1:22">
      <c r="A106">
        <v>4.96</v>
      </c>
      <c r="B106">
        <v>-0.05</v>
      </c>
      <c r="C106">
        <v>0.1</v>
      </c>
      <c r="D106">
        <v>4.71</v>
      </c>
      <c r="E106">
        <v>0.03</v>
      </c>
      <c r="F106">
        <v>-0.02</v>
      </c>
      <c r="G106" s="18">
        <v>9.7308565308722876</v>
      </c>
      <c r="H106">
        <v>9.75</v>
      </c>
      <c r="I106" s="18">
        <v>1.9143469127712365E-2</v>
      </c>
      <c r="K106" s="9">
        <v>5</v>
      </c>
      <c r="L106" s="9" t="s">
        <v>45</v>
      </c>
      <c r="M106" s="9">
        <v>9.76</v>
      </c>
      <c r="N106" s="9">
        <v>5.21</v>
      </c>
      <c r="O106" s="9">
        <v>-0.02</v>
      </c>
      <c r="P106" s="9">
        <v>-0.08</v>
      </c>
      <c r="Q106" s="9">
        <v>4.6399999999999997</v>
      </c>
      <c r="R106" s="9">
        <v>0</v>
      </c>
      <c r="S106" s="9">
        <v>0.01</v>
      </c>
      <c r="T106" s="11"/>
      <c r="U106" s="11"/>
      <c r="V106" s="11"/>
    </row>
    <row r="107" spans="1:22">
      <c r="A107">
        <v>4.71</v>
      </c>
      <c r="B107">
        <v>0.2</v>
      </c>
      <c r="C107">
        <v>0.27</v>
      </c>
      <c r="D107">
        <v>4.71</v>
      </c>
      <c r="E107">
        <v>0.02</v>
      </c>
      <c r="F107">
        <v>7.0000000000000001E-3</v>
      </c>
      <c r="G107" s="18">
        <v>9.921350956000202</v>
      </c>
      <c r="H107">
        <v>9.93</v>
      </c>
      <c r="I107" s="18">
        <v>8.649043999797712E-3</v>
      </c>
      <c r="K107" s="9">
        <v>5</v>
      </c>
      <c r="L107" s="9" t="s">
        <v>47</v>
      </c>
      <c r="M107" s="9">
        <v>9.82</v>
      </c>
      <c r="N107" s="9">
        <v>5.03</v>
      </c>
      <c r="O107" s="9">
        <v>-0.01</v>
      </c>
      <c r="P107" s="9">
        <v>0.14000000000000001</v>
      </c>
      <c r="Q107" s="9">
        <v>4.6399999999999997</v>
      </c>
      <c r="R107" s="9">
        <v>0.01</v>
      </c>
      <c r="S107" s="9">
        <v>0.01</v>
      </c>
      <c r="T107" s="11"/>
      <c r="U107" s="11"/>
      <c r="V107" s="11"/>
    </row>
    <row r="108" spans="1:22">
      <c r="A108">
        <v>5.08</v>
      </c>
      <c r="B108">
        <v>0.03</v>
      </c>
      <c r="C108">
        <v>0.03</v>
      </c>
      <c r="D108">
        <v>4.71</v>
      </c>
      <c r="E108">
        <v>0.05</v>
      </c>
      <c r="F108">
        <v>7.0000000000000001E-3</v>
      </c>
      <c r="G108" s="18">
        <v>9.9093291330803481</v>
      </c>
      <c r="H108">
        <v>9.91</v>
      </c>
      <c r="I108" s="18">
        <v>6.7086691965201339E-4</v>
      </c>
      <c r="K108" s="9">
        <v>5</v>
      </c>
      <c r="L108" s="9" t="s">
        <v>49</v>
      </c>
      <c r="M108" s="9">
        <v>9.8699999999999992</v>
      </c>
      <c r="N108" s="9">
        <v>5.16</v>
      </c>
      <c r="O108" s="9">
        <v>-0.1</v>
      </c>
      <c r="P108" s="9">
        <v>0.13</v>
      </c>
      <c r="Q108" s="9">
        <v>4.6399999999999997</v>
      </c>
      <c r="R108" s="9">
        <v>0.03</v>
      </c>
      <c r="S108" s="9">
        <v>0.01</v>
      </c>
      <c r="T108" s="11"/>
      <c r="U108" s="11"/>
      <c r="V108" s="11"/>
    </row>
    <row r="109" spans="1:22">
      <c r="A109">
        <v>5.2</v>
      </c>
      <c r="B109">
        <v>7.0000000000000007E-2</v>
      </c>
      <c r="C109">
        <v>-0.15</v>
      </c>
      <c r="D109">
        <v>4.71</v>
      </c>
      <c r="E109">
        <v>0.02</v>
      </c>
      <c r="F109">
        <v>-2.3E-2</v>
      </c>
      <c r="G109" s="18">
        <v>9.8260356622181053</v>
      </c>
      <c r="H109">
        <v>9.83</v>
      </c>
      <c r="I109" s="18">
        <v>3.9643377818947556E-3</v>
      </c>
      <c r="K109" s="9">
        <v>5</v>
      </c>
      <c r="L109" s="9" t="s">
        <v>51</v>
      </c>
      <c r="M109" s="9">
        <v>10</v>
      </c>
      <c r="N109" s="9">
        <v>4.47</v>
      </c>
      <c r="O109" s="9">
        <v>0.14000000000000001</v>
      </c>
      <c r="P109" s="9">
        <v>0.67</v>
      </c>
      <c r="Q109" s="9">
        <v>4.6399999999999997</v>
      </c>
      <c r="R109" s="9">
        <v>7.0000000000000007E-2</v>
      </c>
      <c r="S109" s="9">
        <v>0.01</v>
      </c>
      <c r="T109" s="11"/>
      <c r="U109" s="11"/>
      <c r="V109" s="11"/>
    </row>
    <row r="110" spans="1:22">
      <c r="A110">
        <v>5.18</v>
      </c>
      <c r="B110">
        <v>7.0000000000000007E-2</v>
      </c>
      <c r="C110">
        <v>0.02</v>
      </c>
      <c r="D110">
        <v>4.71</v>
      </c>
      <c r="E110">
        <v>-0.04</v>
      </c>
      <c r="F110">
        <v>7.0000000000000001E-3</v>
      </c>
      <c r="G110" s="18">
        <v>9.9522489634903142</v>
      </c>
      <c r="H110">
        <v>9.9499999999999993</v>
      </c>
      <c r="I110" s="18">
        <v>-2.2489634903148925E-3</v>
      </c>
      <c r="K110" s="9">
        <v>5</v>
      </c>
      <c r="L110" s="9" t="s">
        <v>53</v>
      </c>
      <c r="M110" s="9">
        <v>10.02</v>
      </c>
      <c r="N110" s="9">
        <v>5</v>
      </c>
      <c r="O110" s="9">
        <v>-0.06</v>
      </c>
      <c r="P110" s="9">
        <v>0.39</v>
      </c>
      <c r="Q110" s="9">
        <v>4.6399999999999997</v>
      </c>
      <c r="R110" s="9">
        <v>0.03</v>
      </c>
      <c r="S110" s="9">
        <v>0.01</v>
      </c>
      <c r="T110" s="11"/>
      <c r="U110" s="11"/>
      <c r="V110" s="11"/>
    </row>
    <row r="111" spans="1:22">
      <c r="A111">
        <v>5.18</v>
      </c>
      <c r="B111">
        <v>0.18</v>
      </c>
      <c r="C111">
        <v>0.15</v>
      </c>
      <c r="D111">
        <v>4.71</v>
      </c>
      <c r="E111">
        <v>-0.01</v>
      </c>
      <c r="F111">
        <v>7.0000000000000001E-3</v>
      </c>
      <c r="G111" s="18">
        <v>10.223366911352469</v>
      </c>
      <c r="H111">
        <v>10.220000000000001</v>
      </c>
      <c r="I111" s="18">
        <v>-3.3669113524688044E-3</v>
      </c>
      <c r="K111" s="9">
        <v>5</v>
      </c>
      <c r="L111" s="9" t="s">
        <v>55</v>
      </c>
      <c r="M111" s="9">
        <v>9.33</v>
      </c>
      <c r="N111" s="9">
        <v>5.24</v>
      </c>
      <c r="O111" s="9">
        <v>-0.14000000000000001</v>
      </c>
      <c r="P111" s="9">
        <v>-0.3</v>
      </c>
      <c r="Q111" s="9">
        <v>4.6399999999999997</v>
      </c>
      <c r="R111" s="9">
        <v>-0.1</v>
      </c>
      <c r="S111" s="9">
        <v>-8.9999999999999993E-3</v>
      </c>
      <c r="T111" s="11"/>
      <c r="U111" s="11"/>
      <c r="V111" s="11"/>
    </row>
    <row r="112" spans="1:22">
      <c r="A112">
        <v>5.4</v>
      </c>
      <c r="B112">
        <v>0.03</v>
      </c>
      <c r="C112">
        <v>-0.01</v>
      </c>
      <c r="D112">
        <v>4.71</v>
      </c>
      <c r="E112">
        <v>-0.01</v>
      </c>
      <c r="F112">
        <v>7.0000000000000001E-3</v>
      </c>
      <c r="G112" s="18">
        <v>10.132347883107487</v>
      </c>
      <c r="H112">
        <v>10.130000000000001</v>
      </c>
      <c r="I112" s="18">
        <v>-2.3478831074861262E-3</v>
      </c>
      <c r="K112" s="9">
        <v>5</v>
      </c>
      <c r="L112" s="9" t="s">
        <v>57</v>
      </c>
      <c r="M112" s="9">
        <v>9.57</v>
      </c>
      <c r="N112" s="9">
        <v>4.9400000000000004</v>
      </c>
      <c r="O112" s="9">
        <v>-0.09</v>
      </c>
      <c r="P112" s="9">
        <v>0.11</v>
      </c>
      <c r="Q112" s="9">
        <v>4.6399999999999997</v>
      </c>
      <c r="R112" s="9">
        <v>-0.05</v>
      </c>
      <c r="S112" s="9">
        <v>0.01</v>
      </c>
      <c r="T112" s="11"/>
      <c r="U112" s="11"/>
      <c r="V112" s="11"/>
    </row>
    <row r="113" spans="1:22">
      <c r="A113">
        <v>5.79</v>
      </c>
      <c r="B113">
        <v>-0.02</v>
      </c>
      <c r="C113">
        <v>-0.44</v>
      </c>
      <c r="D113">
        <v>4.71</v>
      </c>
      <c r="E113">
        <v>-7.0000000000000007E-2</v>
      </c>
      <c r="F113">
        <v>-1.2E-2</v>
      </c>
      <c r="G113" s="18">
        <v>9.9598378475278313</v>
      </c>
      <c r="H113">
        <v>9.9600000000000009</v>
      </c>
      <c r="I113" s="18">
        <v>1.621524721695522E-4</v>
      </c>
      <c r="K113" s="9">
        <v>5</v>
      </c>
      <c r="L113" s="9" t="s">
        <v>58</v>
      </c>
      <c r="M113" s="9">
        <v>9.66</v>
      </c>
      <c r="N113" s="9">
        <v>5.26</v>
      </c>
      <c r="O113" s="9">
        <v>-0.03</v>
      </c>
      <c r="P113" s="9">
        <v>0</v>
      </c>
      <c r="Q113" s="9">
        <v>4.6399999999999997</v>
      </c>
      <c r="R113" s="9">
        <v>-0.19</v>
      </c>
      <c r="S113" s="9">
        <v>-2.1999999999999999E-2</v>
      </c>
      <c r="T113" s="11"/>
      <c r="U113" s="11"/>
      <c r="V113" s="11"/>
    </row>
    <row r="114" spans="1:22">
      <c r="A114">
        <v>5.96</v>
      </c>
      <c r="B114">
        <v>-0.03</v>
      </c>
      <c r="C114">
        <v>-0.48</v>
      </c>
      <c r="D114">
        <v>4.71</v>
      </c>
      <c r="E114">
        <v>0.03</v>
      </c>
      <c r="F114">
        <v>3.0000000000000001E-3</v>
      </c>
      <c r="G114" s="18">
        <v>10.193850249692488</v>
      </c>
      <c r="H114">
        <v>10.18</v>
      </c>
      <c r="I114" s="18">
        <v>-1.3850249692488603E-2</v>
      </c>
      <c r="K114" s="9">
        <v>5</v>
      </c>
      <c r="L114" s="9" t="s">
        <v>60</v>
      </c>
      <c r="M114" s="9">
        <v>9.91</v>
      </c>
      <c r="N114" s="9">
        <v>5.47</v>
      </c>
      <c r="O114" s="9">
        <v>-0.13</v>
      </c>
      <c r="P114" s="9">
        <v>-0.03</v>
      </c>
      <c r="Q114" s="9">
        <v>4.6399999999999997</v>
      </c>
      <c r="R114" s="9">
        <v>-0.03</v>
      </c>
      <c r="S114" s="9">
        <v>-1.4999999999999999E-2</v>
      </c>
      <c r="T114" s="11"/>
      <c r="U114" s="11"/>
      <c r="V114" s="11"/>
    </row>
    <row r="115" spans="1:22">
      <c r="A115">
        <v>6.07</v>
      </c>
      <c r="B115">
        <v>-0.15</v>
      </c>
      <c r="C115">
        <v>-0.67</v>
      </c>
      <c r="D115">
        <v>4.71</v>
      </c>
      <c r="E115">
        <v>-0.01</v>
      </c>
      <c r="F115">
        <v>7.0000000000000001E-3</v>
      </c>
      <c r="G115" s="18">
        <v>9.957154374418268</v>
      </c>
      <c r="H115">
        <v>9.94</v>
      </c>
      <c r="I115" s="18">
        <v>-1.7154374418268503E-2</v>
      </c>
      <c r="K115" s="9">
        <v>5</v>
      </c>
      <c r="L115" s="9" t="s">
        <v>66</v>
      </c>
      <c r="M115" s="9">
        <v>9.67</v>
      </c>
      <c r="N115" s="9">
        <v>5.43</v>
      </c>
      <c r="O115" s="9">
        <v>-0.15</v>
      </c>
      <c r="P115" s="9">
        <v>-0.16</v>
      </c>
      <c r="Q115" s="9">
        <v>4.6399999999999997</v>
      </c>
      <c r="R115" s="9">
        <v>-0.1</v>
      </c>
      <c r="S115" s="9">
        <v>0.01</v>
      </c>
      <c r="T115" s="11"/>
      <c r="U115" s="11"/>
      <c r="V115" s="11"/>
    </row>
    <row r="116" spans="1:22">
      <c r="A116">
        <v>6.4</v>
      </c>
      <c r="B116">
        <v>-0.28999999999999998</v>
      </c>
      <c r="C116">
        <v>-0.55000000000000004</v>
      </c>
      <c r="D116">
        <v>4.71</v>
      </c>
      <c r="E116">
        <v>0.1</v>
      </c>
      <c r="F116">
        <v>-1.6E-2</v>
      </c>
      <c r="G116" s="18">
        <v>10.352937452345252</v>
      </c>
      <c r="H116">
        <v>10.35</v>
      </c>
      <c r="I116" s="18">
        <v>-2.9374523452521117E-3</v>
      </c>
      <c r="K116" s="9">
        <v>5</v>
      </c>
      <c r="L116" s="9" t="s">
        <v>67</v>
      </c>
      <c r="M116" s="9">
        <v>9.49</v>
      </c>
      <c r="N116" s="9">
        <v>5.24</v>
      </c>
      <c r="O116" s="9">
        <v>-0.08</v>
      </c>
      <c r="P116" s="9">
        <v>-0.2</v>
      </c>
      <c r="Q116" s="9">
        <v>4.6399999999999997</v>
      </c>
      <c r="R116" s="9">
        <v>-7.0000000000000007E-2</v>
      </c>
      <c r="S116" s="9">
        <v>-3.6999999999999998E-2</v>
      </c>
      <c r="T116" s="11"/>
      <c r="U116" s="11"/>
      <c r="V116" s="11"/>
    </row>
    <row r="117" spans="1:22">
      <c r="A117">
        <v>5.61</v>
      </c>
      <c r="B117">
        <v>7.0000000000000007E-2</v>
      </c>
      <c r="C117">
        <v>-0.18</v>
      </c>
      <c r="D117">
        <v>4.71</v>
      </c>
      <c r="E117">
        <v>0.02</v>
      </c>
      <c r="F117">
        <v>7.0000000000000001E-3</v>
      </c>
      <c r="G117" s="18">
        <v>10.240534917489784</v>
      </c>
      <c r="H117">
        <v>10.25</v>
      </c>
      <c r="I117" s="18">
        <v>9.4650825102160496E-3</v>
      </c>
      <c r="K117" s="9">
        <v>5</v>
      </c>
      <c r="L117" s="9" t="s">
        <v>69</v>
      </c>
      <c r="M117" s="9">
        <v>9.8000000000000007</v>
      </c>
      <c r="N117" s="9">
        <v>5.31</v>
      </c>
      <c r="O117" s="9">
        <v>0.01</v>
      </c>
      <c r="P117" s="9">
        <v>-0.09</v>
      </c>
      <c r="Q117" s="9">
        <v>4.6399999999999997</v>
      </c>
      <c r="R117" s="9">
        <v>0.02</v>
      </c>
      <c r="S117" s="9">
        <v>-8.4000000000000005E-2</v>
      </c>
      <c r="T117" s="11"/>
      <c r="U117" s="11"/>
      <c r="V117" s="11"/>
    </row>
    <row r="118" spans="1:22">
      <c r="A118">
        <v>5.41</v>
      </c>
      <c r="B118">
        <v>0.05</v>
      </c>
      <c r="C118">
        <v>-0.12</v>
      </c>
      <c r="D118">
        <v>4.71</v>
      </c>
      <c r="E118">
        <v>0.03</v>
      </c>
      <c r="F118">
        <v>7.0000000000000001E-3</v>
      </c>
      <c r="G118" s="18">
        <v>10.089843556898725</v>
      </c>
      <c r="H118">
        <v>10.09</v>
      </c>
      <c r="I118" s="18">
        <v>1.5644310127527206E-4</v>
      </c>
      <c r="K118" s="9">
        <v>5</v>
      </c>
      <c r="L118" s="9" t="s">
        <v>71</v>
      </c>
      <c r="M118" s="9">
        <v>9.75</v>
      </c>
      <c r="N118" s="9">
        <v>5.03</v>
      </c>
      <c r="O118" s="9">
        <v>-0.04</v>
      </c>
      <c r="P118" s="9">
        <v>0.11</v>
      </c>
      <c r="Q118" s="9">
        <v>4.6399999999999997</v>
      </c>
      <c r="R118" s="9">
        <v>0.03</v>
      </c>
      <c r="S118" s="9">
        <v>-1.2999999999999999E-2</v>
      </c>
      <c r="T118" s="11"/>
      <c r="U118" s="11"/>
      <c r="V118" s="11"/>
    </row>
    <row r="119" spans="1:22">
      <c r="A119">
        <v>5.78</v>
      </c>
      <c r="B119">
        <v>-0.2</v>
      </c>
      <c r="C119">
        <v>-0.1</v>
      </c>
      <c r="D119">
        <v>4.71</v>
      </c>
      <c r="E119">
        <v>-0.03</v>
      </c>
      <c r="F119">
        <v>-1.0999999999999999E-2</v>
      </c>
      <c r="G119" s="18">
        <v>10.154298665703546</v>
      </c>
      <c r="H119">
        <v>10.15</v>
      </c>
      <c r="I119" s="18">
        <v>-4.2986657035459785E-3</v>
      </c>
      <c r="K119" s="9">
        <v>5</v>
      </c>
      <c r="L119" s="9" t="s">
        <v>72</v>
      </c>
      <c r="M119" s="9">
        <v>10.01</v>
      </c>
      <c r="N119" s="9">
        <v>4.84</v>
      </c>
      <c r="O119" s="9">
        <v>0.2</v>
      </c>
      <c r="P119" s="9">
        <v>0.27</v>
      </c>
      <c r="Q119" s="9">
        <v>4.6399999999999997</v>
      </c>
      <c r="R119" s="9">
        <v>0.05</v>
      </c>
      <c r="S119" s="9">
        <v>0.01</v>
      </c>
      <c r="T119" s="11"/>
      <c r="U119" s="11"/>
      <c r="V119" s="11"/>
    </row>
    <row r="120" spans="1:22">
      <c r="A120">
        <v>6.17</v>
      </c>
      <c r="B120">
        <v>-0.11</v>
      </c>
      <c r="C120">
        <v>-0.38</v>
      </c>
      <c r="D120">
        <v>4.71</v>
      </c>
      <c r="E120">
        <v>0.05</v>
      </c>
      <c r="F120">
        <v>-2.3E-2</v>
      </c>
      <c r="G120" s="18">
        <v>10.417841229028204</v>
      </c>
      <c r="H120">
        <v>10.43</v>
      </c>
      <c r="I120" s="18">
        <v>1.2158770971796073E-2</v>
      </c>
      <c r="K120" s="9">
        <v>5</v>
      </c>
      <c r="L120" s="9" t="s">
        <v>74</v>
      </c>
      <c r="M120" s="9">
        <v>9.81</v>
      </c>
      <c r="N120" s="9">
        <v>5.15</v>
      </c>
      <c r="O120" s="9">
        <v>0.01</v>
      </c>
      <c r="P120" s="9">
        <v>0.01</v>
      </c>
      <c r="Q120" s="9">
        <v>4.6399999999999997</v>
      </c>
      <c r="R120" s="9">
        <v>-0.02</v>
      </c>
      <c r="S120" s="9">
        <v>0.01</v>
      </c>
      <c r="T120" s="11"/>
      <c r="U120" s="11"/>
      <c r="V120" s="11"/>
    </row>
    <row r="121" spans="1:22">
      <c r="A121">
        <v>6</v>
      </c>
      <c r="B121">
        <v>-7.0000000000000007E-2</v>
      </c>
      <c r="C121">
        <v>-0.3</v>
      </c>
      <c r="D121">
        <v>4.71</v>
      </c>
      <c r="E121">
        <v>-0.02</v>
      </c>
      <c r="F121">
        <v>7.0000000000000001E-3</v>
      </c>
      <c r="G121" s="18">
        <v>10.332194249784228</v>
      </c>
      <c r="H121">
        <v>10.34</v>
      </c>
      <c r="I121" s="18">
        <v>7.8057502157715675E-3</v>
      </c>
      <c r="K121" s="9">
        <v>5</v>
      </c>
      <c r="L121" s="9" t="s">
        <v>75</v>
      </c>
      <c r="M121" s="9">
        <v>9.73</v>
      </c>
      <c r="N121" s="9">
        <v>5.22</v>
      </c>
      <c r="O121" s="9">
        <v>7.0000000000000007E-2</v>
      </c>
      <c r="P121" s="9">
        <v>-0.15</v>
      </c>
      <c r="Q121" s="9">
        <v>4.6399999999999997</v>
      </c>
      <c r="R121" s="9">
        <v>-0.06</v>
      </c>
      <c r="S121" s="9">
        <v>0.01</v>
      </c>
      <c r="T121" s="11"/>
      <c r="U121" s="11"/>
      <c r="V121" s="11"/>
    </row>
    <row r="122" spans="1:22">
      <c r="A122">
        <v>5.89</v>
      </c>
      <c r="B122">
        <v>0.03</v>
      </c>
      <c r="C122">
        <v>-0.46</v>
      </c>
      <c r="D122">
        <v>4.71</v>
      </c>
      <c r="E122">
        <v>7.0000000000000007E-2</v>
      </c>
      <c r="F122">
        <v>7.0000000000000001E-3</v>
      </c>
      <c r="G122" s="18">
        <v>10.247012408746938</v>
      </c>
      <c r="H122">
        <v>10.26</v>
      </c>
      <c r="I122" s="18">
        <v>1.2987591253061481E-2</v>
      </c>
      <c r="K122" s="9">
        <v>5</v>
      </c>
      <c r="L122" s="9" t="s">
        <v>79</v>
      </c>
      <c r="M122" s="9">
        <v>10.09</v>
      </c>
      <c r="N122" s="9">
        <v>5.36</v>
      </c>
      <c r="O122" s="9">
        <v>0.06</v>
      </c>
      <c r="P122" s="9">
        <v>0.01</v>
      </c>
      <c r="Q122" s="9">
        <v>4.6399999999999997</v>
      </c>
      <c r="R122" s="9">
        <v>0.02</v>
      </c>
      <c r="S122" s="9">
        <v>-7.0000000000000001E-3</v>
      </c>
      <c r="T122" s="11"/>
      <c r="U122" s="11"/>
      <c r="V122" s="11"/>
    </row>
    <row r="123" spans="1:22">
      <c r="A123">
        <v>6.11</v>
      </c>
      <c r="B123">
        <v>-0.16</v>
      </c>
      <c r="C123">
        <v>-0.38</v>
      </c>
      <c r="D123">
        <v>4.71</v>
      </c>
      <c r="E123">
        <v>0</v>
      </c>
      <c r="F123">
        <v>7.0000000000000001E-3</v>
      </c>
      <c r="G123" s="18">
        <v>10.291135565370153</v>
      </c>
      <c r="H123">
        <v>10.3</v>
      </c>
      <c r="I123" s="18">
        <v>8.8644346298476506E-3</v>
      </c>
      <c r="K123" s="9">
        <v>5</v>
      </c>
      <c r="L123" s="9" t="s">
        <v>80</v>
      </c>
      <c r="M123" s="9">
        <v>10.29</v>
      </c>
      <c r="N123" s="9">
        <v>5.33</v>
      </c>
      <c r="O123" s="9">
        <v>0.17</v>
      </c>
      <c r="P123" s="9">
        <v>0.13</v>
      </c>
      <c r="Q123" s="9">
        <v>4.6399999999999997</v>
      </c>
      <c r="R123" s="9">
        <v>0.01</v>
      </c>
      <c r="S123" s="9">
        <v>0.01</v>
      </c>
      <c r="T123" s="11"/>
      <c r="U123" s="11"/>
      <c r="V123" s="11"/>
    </row>
    <row r="124" spans="1:22">
      <c r="A124">
        <v>5.79</v>
      </c>
      <c r="B124">
        <v>0.05</v>
      </c>
      <c r="C124">
        <v>-0.28000000000000003</v>
      </c>
      <c r="D124">
        <v>4.71</v>
      </c>
      <c r="E124">
        <v>-7.0000000000000007E-2</v>
      </c>
      <c r="F124">
        <v>7.0000000000000001E-3</v>
      </c>
      <c r="G124" s="18">
        <v>10.212638124448047</v>
      </c>
      <c r="H124">
        <v>10.210000000000001</v>
      </c>
      <c r="I124" s="18">
        <v>-2.6381244480457866E-3</v>
      </c>
      <c r="K124" s="9">
        <v>5</v>
      </c>
      <c r="L124" s="9" t="s">
        <v>81</v>
      </c>
      <c r="M124" s="9">
        <v>10.17</v>
      </c>
      <c r="N124" s="9">
        <v>5.53</v>
      </c>
      <c r="O124" s="9">
        <v>0.03</v>
      </c>
      <c r="P124" s="9">
        <v>-0.02</v>
      </c>
      <c r="Q124" s="9">
        <v>4.6399999999999997</v>
      </c>
      <c r="R124" s="9">
        <v>-0.02</v>
      </c>
      <c r="S124" s="9">
        <v>0.01</v>
      </c>
      <c r="T124" s="11"/>
      <c r="U124" s="11"/>
      <c r="V124" s="11"/>
    </row>
    <row r="125" spans="1:22">
      <c r="A125">
        <v>7.13</v>
      </c>
      <c r="B125">
        <v>-0.19</v>
      </c>
      <c r="C125">
        <v>-0.74</v>
      </c>
      <c r="D125">
        <v>4.71</v>
      </c>
      <c r="E125">
        <v>7.0000000000000007E-2</v>
      </c>
      <c r="F125">
        <v>7.0000000000000001E-3</v>
      </c>
      <c r="G125" s="18">
        <v>10.990547382821996</v>
      </c>
      <c r="H125">
        <v>11</v>
      </c>
      <c r="I125" s="18">
        <v>9.4526171780042745E-3</v>
      </c>
      <c r="K125" s="9">
        <v>5</v>
      </c>
      <c r="L125" s="9" t="s">
        <v>82</v>
      </c>
      <c r="M125" s="9">
        <v>10.14</v>
      </c>
      <c r="N125" s="9">
        <v>5.96</v>
      </c>
      <c r="O125" s="9">
        <v>-0.03</v>
      </c>
      <c r="P125" s="9">
        <v>-0.44</v>
      </c>
      <c r="Q125" s="9">
        <v>4.6399999999999997</v>
      </c>
      <c r="R125" s="9">
        <v>0.09</v>
      </c>
      <c r="S125" s="9">
        <v>-7.6999999999999999E-2</v>
      </c>
      <c r="T125" s="11"/>
      <c r="U125" s="11"/>
      <c r="V125" s="11"/>
    </row>
    <row r="126" spans="1:22">
      <c r="A126">
        <v>6.62</v>
      </c>
      <c r="B126">
        <v>-0.21</v>
      </c>
      <c r="C126">
        <v>-0.74</v>
      </c>
      <c r="D126">
        <v>4.71</v>
      </c>
      <c r="E126">
        <v>0.09</v>
      </c>
      <c r="F126">
        <v>-2E-3</v>
      </c>
      <c r="G126" s="18">
        <v>10.467132109899326</v>
      </c>
      <c r="H126">
        <v>10.47</v>
      </c>
      <c r="I126" s="18">
        <v>2.8678901006742308E-3</v>
      </c>
      <c r="K126" s="9">
        <v>5</v>
      </c>
      <c r="L126" s="9" t="s">
        <v>83</v>
      </c>
      <c r="M126" s="9">
        <v>9.94</v>
      </c>
      <c r="N126" s="9">
        <v>5.95</v>
      </c>
      <c r="O126" s="9">
        <v>-0.05</v>
      </c>
      <c r="P126" s="9">
        <v>-0.5</v>
      </c>
      <c r="Q126" s="9">
        <v>4.6399999999999997</v>
      </c>
      <c r="R126" s="9">
        <v>-0.09</v>
      </c>
      <c r="S126" s="9">
        <v>-2E-3</v>
      </c>
      <c r="T126" s="11"/>
      <c r="U126" s="11"/>
      <c r="V126" s="11"/>
    </row>
    <row r="127" spans="1:22">
      <c r="A127">
        <v>6.39</v>
      </c>
      <c r="B127">
        <v>-0.06</v>
      </c>
      <c r="C127">
        <v>-0.63</v>
      </c>
      <c r="D127">
        <v>4.71</v>
      </c>
      <c r="E127">
        <v>0.08</v>
      </c>
      <c r="F127">
        <v>-3.6999999999999998E-2</v>
      </c>
      <c r="G127" s="18">
        <v>10.449880552981243</v>
      </c>
      <c r="H127">
        <v>10.45</v>
      </c>
      <c r="I127" s="18">
        <v>1.1944701875599151E-4</v>
      </c>
      <c r="K127" s="9">
        <v>5</v>
      </c>
      <c r="L127" s="9" t="s">
        <v>84</v>
      </c>
      <c r="M127" s="9">
        <v>9.82</v>
      </c>
      <c r="N127" s="9">
        <v>6.09</v>
      </c>
      <c r="O127" s="9">
        <v>-0.16</v>
      </c>
      <c r="P127" s="9">
        <v>-0.67</v>
      </c>
      <c r="Q127" s="9">
        <v>4.6399999999999997</v>
      </c>
      <c r="R127" s="9">
        <v>-7.0000000000000007E-2</v>
      </c>
      <c r="S127" s="9">
        <v>-1.7999999999999999E-2</v>
      </c>
      <c r="T127" s="11"/>
      <c r="U127" s="11"/>
      <c r="V127" s="11"/>
    </row>
    <row r="128" spans="1:22">
      <c r="A128">
        <v>6.49</v>
      </c>
      <c r="B128">
        <v>-0.21</v>
      </c>
      <c r="C128">
        <v>-0.6</v>
      </c>
      <c r="D128">
        <v>4.71</v>
      </c>
      <c r="E128">
        <v>0.13</v>
      </c>
      <c r="F128">
        <v>-8.9999999999999993E-3</v>
      </c>
      <c r="G128" s="18">
        <v>10.509644578501605</v>
      </c>
      <c r="H128">
        <v>10.52</v>
      </c>
      <c r="I128" s="18">
        <v>1.035542149839408E-2</v>
      </c>
      <c r="K128" s="9">
        <v>5</v>
      </c>
      <c r="L128" s="9" t="s">
        <v>85</v>
      </c>
      <c r="M128" s="9">
        <v>10.26</v>
      </c>
      <c r="N128" s="9">
        <v>6.4</v>
      </c>
      <c r="O128" s="9">
        <v>-0.31</v>
      </c>
      <c r="P128" s="9">
        <v>-0.55000000000000004</v>
      </c>
      <c r="Q128" s="9">
        <v>4.6399999999999997</v>
      </c>
      <c r="R128" s="9">
        <v>7.0000000000000007E-2</v>
      </c>
      <c r="S128" s="9">
        <v>0.01</v>
      </c>
      <c r="T128" s="11"/>
      <c r="U128" s="11"/>
      <c r="V128" s="11"/>
    </row>
    <row r="129" spans="1:22">
      <c r="A129">
        <v>6.17</v>
      </c>
      <c r="B129">
        <v>-0.08</v>
      </c>
      <c r="C129">
        <v>-0.76</v>
      </c>
      <c r="D129">
        <v>4.71</v>
      </c>
      <c r="E129">
        <v>0.1</v>
      </c>
      <c r="F129">
        <v>2E-3</v>
      </c>
      <c r="G129" s="18">
        <v>10.138272792848502</v>
      </c>
      <c r="H129">
        <v>10.14</v>
      </c>
      <c r="I129" s="18">
        <v>1.7272071514984333E-3</v>
      </c>
      <c r="K129" s="9">
        <v>5</v>
      </c>
      <c r="L129" s="9" t="s">
        <v>86</v>
      </c>
      <c r="M129" s="9">
        <v>10.07</v>
      </c>
      <c r="N129" s="9">
        <v>5.61</v>
      </c>
      <c r="O129" s="9">
        <v>7.0000000000000007E-2</v>
      </c>
      <c r="P129" s="9">
        <v>-0.18</v>
      </c>
      <c r="Q129" s="9">
        <v>4.6399999999999997</v>
      </c>
      <c r="R129" s="9">
        <v>-0.08</v>
      </c>
      <c r="S129" s="9">
        <v>0.01</v>
      </c>
      <c r="T129" s="11"/>
      <c r="U129" s="11"/>
      <c r="V129" s="11"/>
    </row>
    <row r="130" spans="1:22">
      <c r="A130">
        <v>6.62</v>
      </c>
      <c r="B130">
        <v>-0.03</v>
      </c>
      <c r="C130">
        <v>-0.85</v>
      </c>
      <c r="D130">
        <v>4.71</v>
      </c>
      <c r="E130">
        <v>0.2</v>
      </c>
      <c r="F130">
        <v>7.0000000000000001E-3</v>
      </c>
      <c r="G130" s="18">
        <v>10.652589653274335</v>
      </c>
      <c r="H130">
        <v>10.65</v>
      </c>
      <c r="I130" s="18">
        <v>-2.5896532743345801E-3</v>
      </c>
      <c r="K130" s="9">
        <v>5</v>
      </c>
      <c r="L130" s="9" t="s">
        <v>88</v>
      </c>
      <c r="M130" s="9">
        <v>9.92</v>
      </c>
      <c r="N130" s="9">
        <v>5.43</v>
      </c>
      <c r="O130" s="9">
        <v>0.04</v>
      </c>
      <c r="P130" s="9">
        <v>-0.14000000000000001</v>
      </c>
      <c r="Q130" s="9">
        <v>4.6399999999999997</v>
      </c>
      <c r="R130" s="9">
        <v>-0.06</v>
      </c>
      <c r="S130" s="9">
        <v>0.01</v>
      </c>
      <c r="T130" s="11"/>
      <c r="U130" s="11"/>
      <c r="V130" s="11"/>
    </row>
    <row r="131" spans="1:22">
      <c r="A131">
        <v>6.6</v>
      </c>
      <c r="B131">
        <v>0.3</v>
      </c>
      <c r="C131">
        <v>-1.56</v>
      </c>
      <c r="D131">
        <v>4.71</v>
      </c>
      <c r="E131">
        <v>0.06</v>
      </c>
      <c r="F131">
        <v>-2.1000000000000001E-2</v>
      </c>
      <c r="G131" s="18">
        <v>10.076504848388602</v>
      </c>
      <c r="H131">
        <v>10.09</v>
      </c>
      <c r="I131" s="18">
        <v>1.3495151611397915E-2</v>
      </c>
      <c r="K131" s="9">
        <v>5</v>
      </c>
      <c r="L131" s="9" t="s">
        <v>89</v>
      </c>
      <c r="M131" s="9">
        <v>9.9600000000000009</v>
      </c>
      <c r="N131" s="9">
        <v>5.73</v>
      </c>
      <c r="O131" s="9">
        <v>-0.19</v>
      </c>
      <c r="P131" s="9">
        <v>-0.1</v>
      </c>
      <c r="Q131" s="9">
        <v>4.6399999999999997</v>
      </c>
      <c r="R131" s="9">
        <v>-0.13</v>
      </c>
      <c r="S131" s="9">
        <v>0.01</v>
      </c>
      <c r="T131" s="11"/>
      <c r="U131" s="11"/>
      <c r="V131" s="11"/>
    </row>
    <row r="132" spans="1:22">
      <c r="A132">
        <v>6.28</v>
      </c>
      <c r="B132">
        <v>-0.31</v>
      </c>
      <c r="C132">
        <v>-0.26</v>
      </c>
      <c r="D132">
        <v>4.6399999999999997</v>
      </c>
      <c r="E132">
        <v>-7.0000000000000007E-2</v>
      </c>
      <c r="F132">
        <v>0.01</v>
      </c>
      <c r="G132" s="18">
        <v>10.294919409378815</v>
      </c>
      <c r="H132">
        <v>10.29</v>
      </c>
      <c r="I132" s="18">
        <v>-4.9194093788162974E-3</v>
      </c>
      <c r="K132" s="9">
        <v>5</v>
      </c>
      <c r="L132" s="9" t="s">
        <v>90</v>
      </c>
      <c r="M132" s="9">
        <v>10.25</v>
      </c>
      <c r="N132" s="9">
        <v>6.11</v>
      </c>
      <c r="O132" s="9">
        <v>-0.12</v>
      </c>
      <c r="P132" s="9">
        <v>-0.35</v>
      </c>
      <c r="Q132" s="9">
        <v>4.6399999999999997</v>
      </c>
      <c r="R132" s="9">
        <v>-0.04</v>
      </c>
      <c r="S132" s="9">
        <v>0.01</v>
      </c>
      <c r="T132" s="11"/>
      <c r="U132" s="11"/>
      <c r="V132" s="11"/>
    </row>
    <row r="133" spans="1:22">
      <c r="A133">
        <v>6.33</v>
      </c>
      <c r="B133">
        <v>-0.31</v>
      </c>
      <c r="C133">
        <v>-0.8</v>
      </c>
      <c r="D133">
        <v>4.6399999999999997</v>
      </c>
      <c r="E133">
        <v>-7.0000000000000007E-2</v>
      </c>
      <c r="F133">
        <v>0.01</v>
      </c>
      <c r="G133" s="18">
        <v>9.7977574420689084</v>
      </c>
      <c r="H133">
        <v>9.7899999999999991</v>
      </c>
      <c r="I133" s="18">
        <v>-7.7574420689092705E-3</v>
      </c>
      <c r="K133" s="9">
        <v>5</v>
      </c>
      <c r="L133" s="9" t="s">
        <v>91</v>
      </c>
      <c r="M133" s="9">
        <v>10.23</v>
      </c>
      <c r="N133" s="9">
        <v>6.05</v>
      </c>
      <c r="O133" s="9">
        <v>-7.0000000000000007E-2</v>
      </c>
      <c r="P133" s="9">
        <v>-0.33</v>
      </c>
      <c r="Q133" s="9">
        <v>4.6399999999999997</v>
      </c>
      <c r="R133" s="9">
        <v>-0.04</v>
      </c>
      <c r="S133" s="9">
        <v>-2.1000000000000001E-2</v>
      </c>
      <c r="T133" s="11"/>
      <c r="U133" s="11"/>
      <c r="V133" s="11"/>
    </row>
    <row r="134" spans="1:22">
      <c r="A134">
        <v>6</v>
      </c>
      <c r="B134">
        <v>-0.32</v>
      </c>
      <c r="C134">
        <v>-0.56999999999999995</v>
      </c>
      <c r="D134">
        <v>4.6399999999999997</v>
      </c>
      <c r="E134">
        <v>0.01</v>
      </c>
      <c r="F134">
        <v>0.01</v>
      </c>
      <c r="G134" s="18">
        <v>9.7667617000624851</v>
      </c>
      <c r="H134">
        <v>9.77</v>
      </c>
      <c r="I134" s="18">
        <v>3.238299937514455E-3</v>
      </c>
      <c r="K134" s="9">
        <v>5</v>
      </c>
      <c r="L134" s="9" t="s">
        <v>92</v>
      </c>
      <c r="M134" s="9">
        <v>10.01</v>
      </c>
      <c r="N134" s="9">
        <v>5.87</v>
      </c>
      <c r="O134" s="9">
        <v>0.02</v>
      </c>
      <c r="P134" s="9">
        <v>-0.45</v>
      </c>
      <c r="Q134" s="9">
        <v>4.6399999999999997</v>
      </c>
      <c r="R134" s="9">
        <v>-0.08</v>
      </c>
      <c r="S134" s="9">
        <v>0.01</v>
      </c>
      <c r="T134" s="11"/>
      <c r="U134" s="11"/>
      <c r="V134" s="11"/>
    </row>
    <row r="135" spans="1:22">
      <c r="A135">
        <v>5.91</v>
      </c>
      <c r="B135">
        <v>-0.17</v>
      </c>
      <c r="C135">
        <v>-0.32</v>
      </c>
      <c r="D135">
        <v>4.6399999999999997</v>
      </c>
      <c r="E135">
        <v>0.01</v>
      </c>
      <c r="F135">
        <v>-1.2E-2</v>
      </c>
      <c r="G135" s="18">
        <v>10.056077659266192</v>
      </c>
      <c r="H135">
        <v>10.050000000000001</v>
      </c>
      <c r="I135" s="18">
        <v>-6.0776592661913043E-3</v>
      </c>
      <c r="K135" s="9">
        <v>5</v>
      </c>
      <c r="L135" s="9" t="s">
        <v>93</v>
      </c>
      <c r="M135" s="9">
        <v>10.1</v>
      </c>
      <c r="N135" s="9">
        <v>6.05</v>
      </c>
      <c r="O135" s="9">
        <v>-0.16</v>
      </c>
      <c r="P135" s="9">
        <v>-0.38</v>
      </c>
      <c r="Q135" s="9">
        <v>4.6399999999999997</v>
      </c>
      <c r="R135" s="9">
        <v>-0.06</v>
      </c>
      <c r="S135" s="9">
        <v>0.01</v>
      </c>
      <c r="T135" s="11"/>
      <c r="U135" s="11"/>
      <c r="V135" s="11"/>
    </row>
    <row r="136" spans="1:22">
      <c r="A136">
        <v>6.8</v>
      </c>
      <c r="B136">
        <v>-0.64</v>
      </c>
      <c r="C136">
        <v>-0.76</v>
      </c>
      <c r="D136">
        <v>4.6399999999999997</v>
      </c>
      <c r="E136">
        <v>-0.14000000000000001</v>
      </c>
      <c r="F136">
        <v>-3.7999999999999999E-2</v>
      </c>
      <c r="G136" s="18">
        <v>9.8608997960250839</v>
      </c>
      <c r="H136">
        <v>9.86</v>
      </c>
      <c r="I136" s="18">
        <v>-8.997960250844983E-4</v>
      </c>
      <c r="K136" s="9">
        <v>5</v>
      </c>
      <c r="L136" s="9" t="s">
        <v>94</v>
      </c>
      <c r="M136" s="9">
        <v>10.36</v>
      </c>
      <c r="N136" s="9">
        <v>5.91</v>
      </c>
      <c r="O136" s="9">
        <v>0.05</v>
      </c>
      <c r="P136" s="9">
        <v>-0.28999999999999998</v>
      </c>
      <c r="Q136" s="9">
        <v>4.6399999999999997</v>
      </c>
      <c r="R136" s="9">
        <v>0.04</v>
      </c>
      <c r="S136" s="9">
        <v>0.01</v>
      </c>
      <c r="T136" s="11"/>
      <c r="U136" s="11"/>
      <c r="V136" s="11"/>
    </row>
    <row r="137" spans="1:22">
      <c r="A137">
        <v>6.15</v>
      </c>
      <c r="B137">
        <v>-0.28000000000000003</v>
      </c>
      <c r="C137">
        <v>-0.48</v>
      </c>
      <c r="D137">
        <v>4.6399999999999997</v>
      </c>
      <c r="E137">
        <v>-0.01</v>
      </c>
      <c r="F137">
        <v>-4.2999999999999997E-2</v>
      </c>
      <c r="G137" s="18">
        <v>9.9722926041712192</v>
      </c>
      <c r="H137">
        <v>9.98</v>
      </c>
      <c r="I137" s="18">
        <v>7.7073958287812161E-3</v>
      </c>
      <c r="K137" s="9">
        <v>5</v>
      </c>
      <c r="L137" s="9" t="s">
        <v>95</v>
      </c>
      <c r="M137" s="9">
        <v>10.51</v>
      </c>
      <c r="N137" s="9">
        <v>6.92</v>
      </c>
      <c r="O137" s="9">
        <v>-0.2</v>
      </c>
      <c r="P137" s="9">
        <v>-0.71</v>
      </c>
      <c r="Q137" s="9">
        <v>4.6399999999999997</v>
      </c>
      <c r="R137" s="9">
        <v>-0.11</v>
      </c>
      <c r="S137" s="9">
        <v>-2.3E-2</v>
      </c>
      <c r="T137" s="11"/>
      <c r="U137" s="11"/>
      <c r="V137" s="11"/>
    </row>
    <row r="138" spans="1:22">
      <c r="A138">
        <v>5.42</v>
      </c>
      <c r="B138">
        <v>-0.18</v>
      </c>
      <c r="C138">
        <v>-0.27</v>
      </c>
      <c r="D138">
        <v>4.6399999999999997</v>
      </c>
      <c r="E138">
        <v>-0.06</v>
      </c>
      <c r="F138">
        <v>-1.9E-2</v>
      </c>
      <c r="G138" s="18">
        <v>9.528045556719352</v>
      </c>
      <c r="H138">
        <v>9.5299999999999994</v>
      </c>
      <c r="I138" s="18">
        <v>1.9544432806473111E-3</v>
      </c>
      <c r="K138" s="9">
        <v>5</v>
      </c>
      <c r="L138" s="9" t="s">
        <v>96</v>
      </c>
      <c r="M138" s="9">
        <v>10.210000000000001</v>
      </c>
      <c r="N138" s="9">
        <v>6.6</v>
      </c>
      <c r="O138" s="9">
        <v>-0.23</v>
      </c>
      <c r="P138" s="9">
        <v>-0.77</v>
      </c>
      <c r="Q138" s="9">
        <v>4.6399999999999997</v>
      </c>
      <c r="R138" s="9">
        <v>-0.04</v>
      </c>
      <c r="S138" s="9">
        <v>2E-3</v>
      </c>
      <c r="T138" s="11"/>
      <c r="U138" s="11"/>
      <c r="V138" s="11"/>
    </row>
    <row r="139" spans="1:22">
      <c r="A139">
        <v>5.12</v>
      </c>
      <c r="B139">
        <v>-0.04</v>
      </c>
      <c r="C139">
        <v>0.03</v>
      </c>
      <c r="D139">
        <v>4.6399999999999997</v>
      </c>
      <c r="E139">
        <v>-0.03</v>
      </c>
      <c r="F139">
        <v>0.01</v>
      </c>
      <c r="G139" s="18">
        <v>9.731004269821975</v>
      </c>
      <c r="H139">
        <v>9.73</v>
      </c>
      <c r="I139" s="18">
        <v>-1.0042698219745461E-3</v>
      </c>
      <c r="K139" s="9">
        <v>5</v>
      </c>
      <c r="L139" s="9" t="s">
        <v>97</v>
      </c>
      <c r="M139" s="9">
        <v>10.32</v>
      </c>
      <c r="N139" s="9">
        <v>6.4</v>
      </c>
      <c r="O139" s="9">
        <v>-0.08</v>
      </c>
      <c r="P139" s="9">
        <v>-0.62</v>
      </c>
      <c r="Q139" s="9">
        <v>4.6399999999999997</v>
      </c>
      <c r="R139" s="9">
        <v>0.03</v>
      </c>
      <c r="S139" s="9">
        <v>-4.7E-2</v>
      </c>
      <c r="T139" s="11"/>
      <c r="U139" s="11"/>
      <c r="V139" s="11"/>
    </row>
    <row r="140" spans="1:22">
      <c r="A140">
        <v>5.4</v>
      </c>
      <c r="B140">
        <v>-0.06</v>
      </c>
      <c r="C140">
        <v>-0.05</v>
      </c>
      <c r="D140">
        <v>4.6399999999999997</v>
      </c>
      <c r="E140">
        <v>0.04</v>
      </c>
      <c r="F140">
        <v>-1.2E-2</v>
      </c>
      <c r="G140" s="18">
        <v>9.9559874626196088</v>
      </c>
      <c r="H140">
        <v>9.9600000000000009</v>
      </c>
      <c r="I140" s="18">
        <v>4.0125373803920894E-3</v>
      </c>
      <c r="K140" s="9">
        <v>5</v>
      </c>
      <c r="L140" s="9" t="s">
        <v>98</v>
      </c>
      <c r="M140" s="9">
        <v>10.199999999999999</v>
      </c>
      <c r="N140" s="9">
        <v>6.43</v>
      </c>
      <c r="O140" s="9">
        <v>-0.22</v>
      </c>
      <c r="P140" s="9">
        <v>-0.6</v>
      </c>
      <c r="Q140" s="9">
        <v>4.6399999999999997</v>
      </c>
      <c r="R140" s="9">
        <v>-0.03</v>
      </c>
      <c r="S140" s="9">
        <v>-1.9E-2</v>
      </c>
      <c r="T140" s="11"/>
      <c r="U140" s="11"/>
      <c r="V140" s="11"/>
    </row>
    <row r="141" spans="1:22">
      <c r="A141">
        <v>5.21</v>
      </c>
      <c r="B141">
        <v>-0.02</v>
      </c>
      <c r="C141">
        <v>-0.08</v>
      </c>
      <c r="D141">
        <v>4.6399999999999997</v>
      </c>
      <c r="E141">
        <v>0</v>
      </c>
      <c r="F141">
        <v>0.01</v>
      </c>
      <c r="G141" s="18">
        <v>9.7592597329094861</v>
      </c>
      <c r="H141">
        <v>9.76</v>
      </c>
      <c r="I141" s="18">
        <v>7.4026709051366879E-4</v>
      </c>
      <c r="K141" s="9">
        <v>5</v>
      </c>
      <c r="L141" s="9" t="s">
        <v>99</v>
      </c>
      <c r="M141" s="9">
        <v>9.76</v>
      </c>
      <c r="N141" s="9">
        <v>6.05</v>
      </c>
      <c r="O141" s="9">
        <v>-0.1</v>
      </c>
      <c r="P141" s="9">
        <v>-0.75</v>
      </c>
      <c r="Q141" s="9">
        <v>4.6399999999999997</v>
      </c>
      <c r="R141" s="9">
        <v>-0.08</v>
      </c>
      <c r="S141" s="9">
        <v>-3.0000000000000001E-3</v>
      </c>
      <c r="T141" s="11"/>
      <c r="U141" s="11"/>
      <c r="V141" s="11"/>
    </row>
    <row r="142" spans="1:22">
      <c r="A142">
        <v>5.03</v>
      </c>
      <c r="B142">
        <v>-0.01</v>
      </c>
      <c r="C142">
        <v>0.14000000000000001</v>
      </c>
      <c r="D142">
        <v>4.6399999999999997</v>
      </c>
      <c r="E142">
        <v>0.01</v>
      </c>
      <c r="F142">
        <v>0.01</v>
      </c>
      <c r="G142" s="18">
        <v>9.8209375656431508</v>
      </c>
      <c r="H142">
        <v>9.82</v>
      </c>
      <c r="I142" s="18">
        <v>-9.3756564315050639E-4</v>
      </c>
      <c r="K142" s="9">
        <v>5</v>
      </c>
      <c r="L142" s="9" t="s">
        <v>100</v>
      </c>
      <c r="M142" s="9">
        <v>10.26</v>
      </c>
      <c r="N142" s="9">
        <v>6.59</v>
      </c>
      <c r="O142" s="9">
        <v>-0.06</v>
      </c>
      <c r="P142" s="9">
        <v>-0.88</v>
      </c>
      <c r="Q142" s="9">
        <v>4.6399999999999997</v>
      </c>
      <c r="R142" s="9">
        <v>0.02</v>
      </c>
      <c r="S142" s="9">
        <v>-5.6000000000000001E-2</v>
      </c>
      <c r="T142" s="11"/>
      <c r="U142" s="11"/>
      <c r="V142" s="11"/>
    </row>
    <row r="143" spans="1:22">
      <c r="A143">
        <v>5.16</v>
      </c>
      <c r="B143">
        <v>-0.1</v>
      </c>
      <c r="C143">
        <v>0.13</v>
      </c>
      <c r="D143">
        <v>4.6399999999999997</v>
      </c>
      <c r="E143">
        <v>0.03</v>
      </c>
      <c r="F143">
        <v>0.01</v>
      </c>
      <c r="G143" s="18">
        <v>9.8709705809604706</v>
      </c>
      <c r="H143">
        <v>9.8699999999999992</v>
      </c>
      <c r="I143" s="18">
        <v>-9.7058096047142328E-4</v>
      </c>
      <c r="K143" s="9">
        <v>5</v>
      </c>
      <c r="L143" s="9" t="s">
        <v>101</v>
      </c>
      <c r="M143" s="9">
        <v>9.89</v>
      </c>
      <c r="N143" s="9">
        <v>6.64</v>
      </c>
      <c r="O143" s="9">
        <v>0.25</v>
      </c>
      <c r="P143" s="9">
        <v>-1.59</v>
      </c>
      <c r="Q143" s="9">
        <v>4.6399999999999997</v>
      </c>
      <c r="R143" s="9">
        <v>-0.04</v>
      </c>
      <c r="S143" s="9">
        <v>-1.0999999999999999E-2</v>
      </c>
      <c r="T143" s="11"/>
      <c r="U143" s="11"/>
      <c r="V143" s="11"/>
    </row>
    <row r="144" spans="1:22">
      <c r="A144">
        <v>4.47</v>
      </c>
      <c r="B144">
        <v>0.14000000000000001</v>
      </c>
      <c r="C144">
        <v>0.67</v>
      </c>
      <c r="D144">
        <v>4.6399999999999997</v>
      </c>
      <c r="E144">
        <v>7.0000000000000007E-2</v>
      </c>
      <c r="F144">
        <v>0.01</v>
      </c>
      <c r="G144" s="18">
        <v>10.003379691899333</v>
      </c>
      <c r="H144">
        <v>10</v>
      </c>
      <c r="I144" s="18">
        <v>-3.3796918993331815E-3</v>
      </c>
      <c r="K144" s="9">
        <v>6</v>
      </c>
      <c r="L144" s="9" t="s">
        <v>33</v>
      </c>
      <c r="M144" s="9">
        <v>10.210000000000001</v>
      </c>
      <c r="N144" s="9">
        <v>6.26</v>
      </c>
      <c r="O144" s="9">
        <v>-0.31</v>
      </c>
      <c r="P144" s="9">
        <v>-0.25</v>
      </c>
      <c r="Q144" s="9">
        <v>4.5999999999999996</v>
      </c>
      <c r="R144" s="9">
        <v>-0.1</v>
      </c>
      <c r="S144" s="9">
        <v>0.01</v>
      </c>
      <c r="T144" s="11"/>
      <c r="U144" s="11"/>
      <c r="V144" s="11"/>
    </row>
    <row r="145" spans="1:22">
      <c r="A145">
        <v>5</v>
      </c>
      <c r="B145">
        <v>-0.06</v>
      </c>
      <c r="C145">
        <v>0.39</v>
      </c>
      <c r="D145">
        <v>4.6399999999999997</v>
      </c>
      <c r="E145">
        <v>0.03</v>
      </c>
      <c r="F145">
        <v>0.01</v>
      </c>
      <c r="G145" s="18">
        <v>10.013624016497447</v>
      </c>
      <c r="H145">
        <v>10.02</v>
      </c>
      <c r="I145" s="18">
        <v>6.3759835025525291E-3</v>
      </c>
      <c r="K145" s="9">
        <v>6</v>
      </c>
      <c r="L145" s="9" t="s">
        <v>36</v>
      </c>
      <c r="M145" s="9">
        <v>9.49</v>
      </c>
      <c r="N145" s="9">
        <v>6.26</v>
      </c>
      <c r="O145" s="9">
        <v>-0.32</v>
      </c>
      <c r="P145" s="9">
        <v>-0.81</v>
      </c>
      <c r="Q145" s="9">
        <v>4.5999999999999996</v>
      </c>
      <c r="R145" s="9">
        <v>-0.25</v>
      </c>
      <c r="S145" s="9">
        <v>0.01</v>
      </c>
      <c r="T145" s="11"/>
      <c r="U145" s="11"/>
      <c r="V145" s="11"/>
    </row>
    <row r="146" spans="1:22">
      <c r="A146">
        <v>5.24</v>
      </c>
      <c r="B146">
        <v>-0.14000000000000001</v>
      </c>
      <c r="C146">
        <v>-0.3</v>
      </c>
      <c r="D146">
        <v>4.6399999999999997</v>
      </c>
      <c r="E146">
        <v>-0.1</v>
      </c>
      <c r="F146">
        <v>-8.9999999999999993E-3</v>
      </c>
      <c r="G146" s="18">
        <v>9.3284250796511863</v>
      </c>
      <c r="H146">
        <v>9.33</v>
      </c>
      <c r="I146" s="18">
        <v>1.5749203488137908E-3</v>
      </c>
      <c r="K146" s="9">
        <v>6</v>
      </c>
      <c r="L146" s="9" t="s">
        <v>37</v>
      </c>
      <c r="M146" s="9">
        <v>9.6300000000000008</v>
      </c>
      <c r="N146" s="9">
        <v>6.04</v>
      </c>
      <c r="O146" s="9">
        <v>-0.32</v>
      </c>
      <c r="P146" s="9">
        <v>-0.6</v>
      </c>
      <c r="Q146" s="9">
        <v>4.5999999999999996</v>
      </c>
      <c r="R146" s="9">
        <v>-0.1</v>
      </c>
      <c r="S146" s="9">
        <v>0.01</v>
      </c>
      <c r="T146" s="11"/>
      <c r="U146" s="11"/>
      <c r="V146" s="11"/>
    </row>
    <row r="147" spans="1:22">
      <c r="A147">
        <v>4.9400000000000004</v>
      </c>
      <c r="B147">
        <v>-0.09</v>
      </c>
      <c r="C147">
        <v>0.11</v>
      </c>
      <c r="D147">
        <v>4.6399999999999997</v>
      </c>
      <c r="E147">
        <v>-0.05</v>
      </c>
      <c r="F147">
        <v>0.01</v>
      </c>
      <c r="G147" s="18">
        <v>9.5614798915744732</v>
      </c>
      <c r="H147">
        <v>9.57</v>
      </c>
      <c r="I147" s="18">
        <v>8.5201084255270843E-3</v>
      </c>
      <c r="K147" s="9">
        <v>6</v>
      </c>
      <c r="L147" s="9" t="s">
        <v>39</v>
      </c>
      <c r="M147" s="9">
        <v>10.01</v>
      </c>
      <c r="N147" s="9">
        <v>5.98</v>
      </c>
      <c r="O147" s="9">
        <v>-0.17</v>
      </c>
      <c r="P147" s="9">
        <v>-0.34</v>
      </c>
      <c r="Q147" s="9">
        <v>4.5999999999999996</v>
      </c>
      <c r="R147" s="9">
        <v>-7.0000000000000007E-2</v>
      </c>
      <c r="S147" s="9">
        <v>0.01</v>
      </c>
      <c r="T147" s="11"/>
      <c r="U147" s="11"/>
      <c r="V147" s="11"/>
    </row>
    <row r="148" spans="1:22">
      <c r="A148">
        <v>5.26</v>
      </c>
      <c r="B148">
        <v>-0.03</v>
      </c>
      <c r="C148">
        <v>0</v>
      </c>
      <c r="D148">
        <v>4.6399999999999997</v>
      </c>
      <c r="E148">
        <v>-0.19</v>
      </c>
      <c r="F148">
        <v>-2.1999999999999999E-2</v>
      </c>
      <c r="G148" s="18">
        <v>9.661181853791204</v>
      </c>
      <c r="H148">
        <v>9.66</v>
      </c>
      <c r="I148" s="18">
        <v>-1.1818537912038352E-3</v>
      </c>
      <c r="K148" s="9">
        <v>6</v>
      </c>
      <c r="L148" s="9" t="s">
        <v>40</v>
      </c>
      <c r="M148" s="9">
        <v>9.85</v>
      </c>
      <c r="N148" s="9">
        <v>6.83</v>
      </c>
      <c r="O148" s="9">
        <v>-0.62</v>
      </c>
      <c r="P148" s="9">
        <v>-0.75</v>
      </c>
      <c r="Q148" s="9">
        <v>4.5999999999999996</v>
      </c>
      <c r="R148" s="9">
        <v>-0.21</v>
      </c>
      <c r="S148" s="9">
        <v>-5.0000000000000001E-3</v>
      </c>
      <c r="T148" s="11"/>
      <c r="U148" s="11"/>
      <c r="V148" s="11"/>
    </row>
    <row r="149" spans="1:22">
      <c r="A149">
        <v>5.47</v>
      </c>
      <c r="B149">
        <v>-0.13</v>
      </c>
      <c r="C149">
        <v>-0.03</v>
      </c>
      <c r="D149">
        <v>4.6399999999999997</v>
      </c>
      <c r="E149">
        <v>-0.03</v>
      </c>
      <c r="F149">
        <v>-1.4999999999999999E-2</v>
      </c>
      <c r="G149" s="18">
        <v>9.905246798971767</v>
      </c>
      <c r="H149">
        <v>9.91</v>
      </c>
      <c r="I149" s="18">
        <v>4.7532010282331782E-3</v>
      </c>
      <c r="K149" s="9">
        <v>6</v>
      </c>
      <c r="L149" s="9" t="s">
        <v>41</v>
      </c>
      <c r="M149" s="9">
        <v>9.84</v>
      </c>
      <c r="N149" s="9">
        <v>6.2</v>
      </c>
      <c r="O149" s="9">
        <v>-0.28999999999999998</v>
      </c>
      <c r="P149" s="9">
        <v>-0.49</v>
      </c>
      <c r="Q149" s="9">
        <v>4.5999999999999996</v>
      </c>
      <c r="R149" s="9">
        <v>-0.02</v>
      </c>
      <c r="S149" s="9">
        <v>-0.152</v>
      </c>
      <c r="T149" s="11"/>
      <c r="U149" s="11"/>
      <c r="V149" s="11"/>
    </row>
    <row r="150" spans="1:22">
      <c r="A150">
        <v>5.43</v>
      </c>
      <c r="B150">
        <v>-0.15</v>
      </c>
      <c r="C150">
        <v>-0.16</v>
      </c>
      <c r="D150">
        <v>4.6399999999999997</v>
      </c>
      <c r="E150">
        <v>-0.1</v>
      </c>
      <c r="F150">
        <v>0.01</v>
      </c>
      <c r="G150" s="18">
        <v>9.6720337825436111</v>
      </c>
      <c r="H150">
        <v>9.67</v>
      </c>
      <c r="I150" s="18">
        <v>-2.0337825436111956E-3</v>
      </c>
      <c r="K150" s="9">
        <v>6</v>
      </c>
      <c r="L150" s="9" t="s">
        <v>42</v>
      </c>
      <c r="M150" s="9">
        <v>9.59</v>
      </c>
      <c r="N150" s="9">
        <v>5.49</v>
      </c>
      <c r="O150" s="9">
        <v>-0.19</v>
      </c>
      <c r="P150" s="9">
        <v>-0.28000000000000003</v>
      </c>
      <c r="Q150" s="9">
        <v>4.5999999999999996</v>
      </c>
      <c r="R150" s="9">
        <v>-0.04</v>
      </c>
      <c r="S150" s="9">
        <v>0.01</v>
      </c>
    </row>
    <row r="151" spans="1:22">
      <c r="A151">
        <v>5.24</v>
      </c>
      <c r="B151">
        <v>-0.08</v>
      </c>
      <c r="C151">
        <v>-0.2</v>
      </c>
      <c r="D151">
        <v>4.6399999999999997</v>
      </c>
      <c r="E151">
        <v>-7.0000000000000007E-2</v>
      </c>
      <c r="F151">
        <v>-3.6999999999999998E-2</v>
      </c>
      <c r="G151" s="18">
        <v>9.4888469750029696</v>
      </c>
      <c r="H151">
        <v>9.49</v>
      </c>
      <c r="I151" s="18">
        <v>1.1530249970306272E-3</v>
      </c>
      <c r="K151" s="9">
        <v>6</v>
      </c>
      <c r="L151" s="9" t="s">
        <v>43</v>
      </c>
      <c r="M151" s="9">
        <v>9.66</v>
      </c>
      <c r="N151" s="9">
        <v>5.13</v>
      </c>
      <c r="O151" s="9">
        <v>-0.04</v>
      </c>
      <c r="P151" s="9">
        <v>0.03</v>
      </c>
      <c r="Q151" s="9">
        <v>4.5999999999999996</v>
      </c>
      <c r="R151" s="9">
        <v>-0.06</v>
      </c>
      <c r="S151" s="9">
        <v>0.01</v>
      </c>
    </row>
    <row r="152" spans="1:22">
      <c r="A152">
        <v>5.31</v>
      </c>
      <c r="B152">
        <v>0.01</v>
      </c>
      <c r="C152">
        <v>-0.09</v>
      </c>
      <c r="D152">
        <v>4.6399999999999997</v>
      </c>
      <c r="E152">
        <v>0.02</v>
      </c>
      <c r="F152">
        <v>-8.4000000000000005E-2</v>
      </c>
      <c r="G152" s="18">
        <v>9.7977613105810288</v>
      </c>
      <c r="H152">
        <v>9.8000000000000007</v>
      </c>
      <c r="I152" s="18">
        <v>2.2386894189718731E-3</v>
      </c>
      <c r="K152" s="9">
        <v>6</v>
      </c>
      <c r="L152" s="9" t="s">
        <v>44</v>
      </c>
      <c r="M152" s="9">
        <v>9.7899999999999991</v>
      </c>
      <c r="N152" s="9">
        <v>5.4</v>
      </c>
      <c r="O152" s="9">
        <v>-7.0000000000000007E-2</v>
      </c>
      <c r="P152" s="9">
        <v>-0.06</v>
      </c>
      <c r="Q152" s="9">
        <v>4.5999999999999996</v>
      </c>
      <c r="R152" s="9">
        <v>-0.03</v>
      </c>
      <c r="S152" s="9">
        <v>-4.8000000000000001E-2</v>
      </c>
    </row>
    <row r="153" spans="1:22">
      <c r="A153">
        <v>5.03</v>
      </c>
      <c r="B153">
        <v>-0.04</v>
      </c>
      <c r="C153">
        <v>0.11</v>
      </c>
      <c r="D153">
        <v>4.6399999999999997</v>
      </c>
      <c r="E153">
        <v>0.03</v>
      </c>
      <c r="F153">
        <v>-1.2999999999999999E-2</v>
      </c>
      <c r="G153" s="18">
        <v>9.755127867324644</v>
      </c>
      <c r="H153">
        <v>9.75</v>
      </c>
      <c r="I153" s="18">
        <v>-5.1278673246439865E-3</v>
      </c>
      <c r="K153" s="9">
        <v>6</v>
      </c>
      <c r="L153" s="9" t="s">
        <v>45</v>
      </c>
      <c r="M153" s="9">
        <v>9.81</v>
      </c>
      <c r="N153" s="9">
        <v>5.28</v>
      </c>
      <c r="O153" s="9">
        <v>-0.02</v>
      </c>
      <c r="P153" s="9">
        <v>-0.08</v>
      </c>
      <c r="Q153" s="9">
        <v>4.5999999999999996</v>
      </c>
      <c r="R153" s="9">
        <v>0.02</v>
      </c>
      <c r="S153" s="9">
        <v>0.01</v>
      </c>
    </row>
    <row r="154" spans="1:22">
      <c r="A154">
        <v>4.84</v>
      </c>
      <c r="B154">
        <v>0.2</v>
      </c>
      <c r="C154">
        <v>0.27</v>
      </c>
      <c r="D154">
        <v>4.6399999999999997</v>
      </c>
      <c r="E154">
        <v>0.05</v>
      </c>
      <c r="F154">
        <v>0.01</v>
      </c>
      <c r="G154" s="18">
        <v>10.010725566565196</v>
      </c>
      <c r="H154">
        <v>10.01</v>
      </c>
      <c r="I154" s="18">
        <v>-7.2556656519573437E-4</v>
      </c>
      <c r="K154" s="9">
        <v>6</v>
      </c>
      <c r="L154" s="9" t="s">
        <v>47</v>
      </c>
      <c r="M154" s="9">
        <v>9.7799999999999994</v>
      </c>
      <c r="N154" s="9">
        <v>5.03</v>
      </c>
      <c r="O154" s="9">
        <v>-0.01</v>
      </c>
      <c r="P154" s="9">
        <v>0.13</v>
      </c>
      <c r="Q154" s="9">
        <v>4.5999999999999996</v>
      </c>
      <c r="R154" s="9">
        <v>0.01</v>
      </c>
      <c r="S154" s="9">
        <v>0.01</v>
      </c>
    </row>
    <row r="155" spans="1:22">
      <c r="A155">
        <v>5.15</v>
      </c>
      <c r="B155">
        <v>0.01</v>
      </c>
      <c r="C155">
        <v>0.01</v>
      </c>
      <c r="D155">
        <v>4.6399999999999997</v>
      </c>
      <c r="E155">
        <v>-0.02</v>
      </c>
      <c r="F155">
        <v>0.01</v>
      </c>
      <c r="G155" s="18">
        <v>9.8007001875067523</v>
      </c>
      <c r="H155">
        <v>9.81</v>
      </c>
      <c r="I155" s="18">
        <v>9.2998124932481829E-3</v>
      </c>
      <c r="K155" s="9">
        <v>6</v>
      </c>
      <c r="L155" s="9" t="s">
        <v>49</v>
      </c>
      <c r="M155" s="9">
        <v>9.77</v>
      </c>
      <c r="N155" s="9">
        <v>5.12</v>
      </c>
      <c r="O155" s="9">
        <v>-0.08</v>
      </c>
      <c r="P155" s="9">
        <v>0.12</v>
      </c>
      <c r="Q155" s="9">
        <v>4.5999999999999996</v>
      </c>
      <c r="R155" s="9">
        <v>0</v>
      </c>
      <c r="S155" s="9">
        <v>0.01</v>
      </c>
    </row>
    <row r="156" spans="1:22">
      <c r="A156">
        <v>5.22</v>
      </c>
      <c r="B156">
        <v>7.0000000000000007E-2</v>
      </c>
      <c r="C156">
        <v>-0.15</v>
      </c>
      <c r="D156">
        <v>4.6399999999999997</v>
      </c>
      <c r="E156">
        <v>-0.06</v>
      </c>
      <c r="F156">
        <v>0.01</v>
      </c>
      <c r="G156" s="18">
        <v>9.7300492053780925</v>
      </c>
      <c r="H156">
        <v>9.73</v>
      </c>
      <c r="I156" s="18">
        <v>-4.9205378092054275E-5</v>
      </c>
      <c r="K156" s="9">
        <v>6</v>
      </c>
      <c r="L156" s="9" t="s">
        <v>51</v>
      </c>
      <c r="M156" s="9">
        <v>9.98</v>
      </c>
      <c r="N156" s="9">
        <v>4.4800000000000004</v>
      </c>
      <c r="O156" s="9">
        <v>0.16</v>
      </c>
      <c r="P156" s="9">
        <v>0.66</v>
      </c>
      <c r="Q156" s="9">
        <v>4.5999999999999996</v>
      </c>
      <c r="R156" s="9">
        <v>7.0000000000000007E-2</v>
      </c>
      <c r="S156" s="9">
        <v>0.01</v>
      </c>
    </row>
    <row r="157" spans="1:22">
      <c r="A157">
        <v>5.36</v>
      </c>
      <c r="B157">
        <v>0.06</v>
      </c>
      <c r="C157">
        <v>0.01</v>
      </c>
      <c r="D157">
        <v>4.6399999999999997</v>
      </c>
      <c r="E157">
        <v>0.02</v>
      </c>
      <c r="F157">
        <v>-7.0000000000000001E-3</v>
      </c>
      <c r="G157" s="18">
        <v>10.082631237622049</v>
      </c>
      <c r="H157">
        <v>10.09</v>
      </c>
      <c r="I157" s="18">
        <v>7.3687623779505884E-3</v>
      </c>
      <c r="K157" s="9">
        <v>6</v>
      </c>
      <c r="L157" s="9" t="s">
        <v>53</v>
      </c>
      <c r="M157" s="9">
        <v>10.02</v>
      </c>
      <c r="N157" s="9">
        <v>5.0199999999999996</v>
      </c>
      <c r="O157" s="9">
        <v>-0.06</v>
      </c>
      <c r="P157" s="9">
        <v>0.38</v>
      </c>
      <c r="Q157" s="9">
        <v>4.5999999999999996</v>
      </c>
      <c r="R157" s="9">
        <v>0.06</v>
      </c>
      <c r="S157" s="9">
        <v>0.01</v>
      </c>
    </row>
    <row r="158" spans="1:22">
      <c r="A158">
        <v>5.33</v>
      </c>
      <c r="B158">
        <v>0.17</v>
      </c>
      <c r="C158">
        <v>0.13</v>
      </c>
      <c r="D158">
        <v>4.6399999999999997</v>
      </c>
      <c r="E158">
        <v>0.01</v>
      </c>
      <c r="F158">
        <v>0.01</v>
      </c>
      <c r="G158" s="18">
        <v>10.29284383209513</v>
      </c>
      <c r="H158">
        <v>10.29</v>
      </c>
      <c r="I158" s="18">
        <v>-2.8438320951309493E-3</v>
      </c>
      <c r="K158" s="9">
        <v>6</v>
      </c>
      <c r="L158" s="9" t="s">
        <v>55</v>
      </c>
      <c r="M158" s="9">
        <v>9.35</v>
      </c>
      <c r="N158" s="9">
        <v>5.31</v>
      </c>
      <c r="O158" s="9">
        <v>-0.14000000000000001</v>
      </c>
      <c r="P158" s="9">
        <v>-0.31</v>
      </c>
      <c r="Q158" s="9">
        <v>4.5999999999999996</v>
      </c>
      <c r="R158" s="9">
        <v>-0.08</v>
      </c>
      <c r="S158" s="9">
        <v>-0.02</v>
      </c>
    </row>
    <row r="159" spans="1:22">
      <c r="A159">
        <v>5.53</v>
      </c>
      <c r="B159">
        <v>0.03</v>
      </c>
      <c r="C159">
        <v>-0.02</v>
      </c>
      <c r="D159">
        <v>4.6399999999999997</v>
      </c>
      <c r="E159">
        <v>-0.02</v>
      </c>
      <c r="F159">
        <v>0.01</v>
      </c>
      <c r="G159" s="18">
        <v>10.172650050216264</v>
      </c>
      <c r="H159">
        <v>10.17</v>
      </c>
      <c r="I159" s="18">
        <v>-2.6500502162640771E-3</v>
      </c>
      <c r="K159" s="9">
        <v>6</v>
      </c>
      <c r="L159" s="9" t="s">
        <v>57</v>
      </c>
      <c r="M159" s="9">
        <v>9.6199999999999992</v>
      </c>
      <c r="N159" s="9">
        <v>4.9800000000000004</v>
      </c>
      <c r="O159" s="9">
        <v>-7.0000000000000007E-2</v>
      </c>
      <c r="P159" s="9">
        <v>0.12</v>
      </c>
      <c r="Q159" s="9">
        <v>4.5999999999999996</v>
      </c>
      <c r="R159" s="9">
        <v>0</v>
      </c>
      <c r="S159" s="9">
        <v>-0.01</v>
      </c>
    </row>
    <row r="160" spans="1:22">
      <c r="A160">
        <v>5.96</v>
      </c>
      <c r="B160">
        <v>-0.03</v>
      </c>
      <c r="C160">
        <v>-0.44</v>
      </c>
      <c r="D160">
        <v>4.6399999999999997</v>
      </c>
      <c r="E160">
        <v>0.09</v>
      </c>
      <c r="F160">
        <v>-7.6999999999999999E-2</v>
      </c>
      <c r="G160" s="18">
        <v>10.132575807698867</v>
      </c>
      <c r="H160">
        <v>10.14</v>
      </c>
      <c r="I160" s="18">
        <v>7.4241923011335587E-3</v>
      </c>
      <c r="K160" s="9">
        <v>6</v>
      </c>
      <c r="L160" s="9" t="s">
        <v>58</v>
      </c>
      <c r="M160" s="9">
        <v>9.94</v>
      </c>
      <c r="N160" s="9">
        <v>5.33</v>
      </c>
      <c r="O160" s="9">
        <v>-0.02</v>
      </c>
      <c r="P160" s="9">
        <v>0.03</v>
      </c>
      <c r="Q160" s="9">
        <v>4.5999999999999996</v>
      </c>
      <c r="R160" s="9">
        <v>-0.01</v>
      </c>
      <c r="S160" s="9">
        <v>0.01</v>
      </c>
    </row>
    <row r="161" spans="1:19">
      <c r="A161">
        <v>5.95</v>
      </c>
      <c r="B161">
        <v>-0.05</v>
      </c>
      <c r="C161">
        <v>-0.5</v>
      </c>
      <c r="D161">
        <v>4.6399999999999997</v>
      </c>
      <c r="E161">
        <v>-0.09</v>
      </c>
      <c r="F161">
        <v>-2E-3</v>
      </c>
      <c r="G161" s="18">
        <v>9.9474240831504019</v>
      </c>
      <c r="H161">
        <v>9.94</v>
      </c>
      <c r="I161" s="18">
        <v>-7.4240831504024385E-3</v>
      </c>
      <c r="K161" s="9">
        <v>6</v>
      </c>
      <c r="L161" s="9" t="s">
        <v>60</v>
      </c>
      <c r="M161" s="9">
        <v>10.07</v>
      </c>
      <c r="N161" s="9">
        <v>5.58</v>
      </c>
      <c r="O161" s="9">
        <v>-0.14000000000000001</v>
      </c>
      <c r="P161" s="9">
        <v>-0.03</v>
      </c>
      <c r="Q161" s="9">
        <v>4.5999999999999996</v>
      </c>
      <c r="R161" s="9">
        <v>0.05</v>
      </c>
      <c r="S161" s="9">
        <v>0.01</v>
      </c>
    </row>
    <row r="162" spans="1:19">
      <c r="A162">
        <v>6.09</v>
      </c>
      <c r="B162">
        <v>-0.16</v>
      </c>
      <c r="C162">
        <v>-0.67</v>
      </c>
      <c r="D162">
        <v>4.6399999999999997</v>
      </c>
      <c r="E162">
        <v>-7.0000000000000007E-2</v>
      </c>
      <c r="F162">
        <v>-1.7999999999999999E-2</v>
      </c>
      <c r="G162" s="18">
        <v>9.8080111645070609</v>
      </c>
      <c r="H162">
        <v>9.82</v>
      </c>
      <c r="I162" s="18">
        <v>1.1988835492939387E-2</v>
      </c>
      <c r="K162" s="9">
        <v>6</v>
      </c>
      <c r="L162" s="9" t="s">
        <v>66</v>
      </c>
      <c r="M162" s="9">
        <v>9.94</v>
      </c>
      <c r="N162" s="9">
        <v>5.54</v>
      </c>
      <c r="O162" s="9">
        <v>-0.15</v>
      </c>
      <c r="P162" s="9">
        <v>-0.14000000000000001</v>
      </c>
      <c r="Q162" s="9">
        <v>4.5999999999999996</v>
      </c>
      <c r="R162" s="9">
        <v>0.08</v>
      </c>
      <c r="S162" s="9">
        <v>0.01</v>
      </c>
    </row>
    <row r="163" spans="1:19">
      <c r="A163">
        <v>6.4</v>
      </c>
      <c r="B163">
        <v>-0.31</v>
      </c>
      <c r="C163">
        <v>-0.55000000000000004</v>
      </c>
      <c r="D163">
        <v>4.6399999999999997</v>
      </c>
      <c r="E163">
        <v>7.0000000000000007E-2</v>
      </c>
      <c r="F163">
        <v>0.01</v>
      </c>
      <c r="G163" s="18">
        <v>10.257916927142817</v>
      </c>
      <c r="H163">
        <v>10.26</v>
      </c>
      <c r="I163" s="18">
        <v>2.0830728571823443E-3</v>
      </c>
      <c r="K163" s="9">
        <v>6</v>
      </c>
      <c r="L163" s="9" t="s">
        <v>67</v>
      </c>
      <c r="M163" s="9">
        <v>9.5500000000000007</v>
      </c>
      <c r="N163" s="9">
        <v>5.27</v>
      </c>
      <c r="O163" s="9">
        <v>-0.08</v>
      </c>
      <c r="P163" s="9">
        <v>-0.17</v>
      </c>
      <c r="Q163" s="9">
        <v>4.5999999999999996</v>
      </c>
      <c r="R163" s="9">
        <v>-0.04</v>
      </c>
      <c r="S163" s="9">
        <v>-2.8000000000000001E-2</v>
      </c>
    </row>
    <row r="164" spans="1:19">
      <c r="A164">
        <v>5.61</v>
      </c>
      <c r="B164">
        <v>7.0000000000000007E-2</v>
      </c>
      <c r="C164">
        <v>-0.18</v>
      </c>
      <c r="D164">
        <v>4.6399999999999997</v>
      </c>
      <c r="E164">
        <v>-0.08</v>
      </c>
      <c r="F164">
        <v>0.01</v>
      </c>
      <c r="G164" s="18">
        <v>10.072572049912369</v>
      </c>
      <c r="H164">
        <v>10.07</v>
      </c>
      <c r="I164" s="18">
        <v>-2.5720499123682572E-3</v>
      </c>
      <c r="K164" s="9">
        <v>6</v>
      </c>
      <c r="L164" s="9" t="s">
        <v>69</v>
      </c>
      <c r="M164" s="9">
        <v>9.91</v>
      </c>
      <c r="N164" s="9">
        <v>5.38</v>
      </c>
      <c r="O164" s="9">
        <v>0</v>
      </c>
      <c r="P164" s="9">
        <v>-0.09</v>
      </c>
      <c r="Q164" s="9">
        <v>4.5999999999999996</v>
      </c>
      <c r="R164" s="9">
        <v>0.03</v>
      </c>
      <c r="S164" s="9">
        <v>-1.6E-2</v>
      </c>
    </row>
    <row r="165" spans="1:19">
      <c r="A165">
        <v>5.43</v>
      </c>
      <c r="B165">
        <v>0.04</v>
      </c>
      <c r="C165">
        <v>-0.14000000000000001</v>
      </c>
      <c r="D165">
        <v>4.6399999999999997</v>
      </c>
      <c r="E165">
        <v>-0.06</v>
      </c>
      <c r="F165">
        <v>0.01</v>
      </c>
      <c r="G165" s="18">
        <v>9.92145005187996</v>
      </c>
      <c r="H165">
        <v>9.92</v>
      </c>
      <c r="I165" s="18">
        <v>-1.450051879960057E-3</v>
      </c>
      <c r="K165" s="9">
        <v>6</v>
      </c>
      <c r="L165" s="9" t="s">
        <v>71</v>
      </c>
      <c r="M165" s="9">
        <v>9.85</v>
      </c>
      <c r="N165" s="9">
        <v>5.13</v>
      </c>
      <c r="O165" s="9">
        <v>-0.04</v>
      </c>
      <c r="P165" s="9">
        <v>0.1</v>
      </c>
      <c r="Q165" s="9">
        <v>4.5999999999999996</v>
      </c>
      <c r="R165" s="9">
        <v>0.05</v>
      </c>
      <c r="S165" s="9">
        <v>0.01</v>
      </c>
    </row>
    <row r="166" spans="1:19">
      <c r="A166">
        <v>5.73</v>
      </c>
      <c r="B166">
        <v>-0.19</v>
      </c>
      <c r="C166">
        <v>-0.1</v>
      </c>
      <c r="D166">
        <v>4.6399999999999997</v>
      </c>
      <c r="E166">
        <v>-0.13</v>
      </c>
      <c r="F166">
        <v>0.01</v>
      </c>
      <c r="G166" s="18">
        <v>9.965469908752782</v>
      </c>
      <c r="H166">
        <v>9.9600000000000009</v>
      </c>
      <c r="I166" s="18">
        <v>-5.469908752781194E-3</v>
      </c>
      <c r="K166" s="9">
        <v>6</v>
      </c>
      <c r="L166" s="9" t="s">
        <v>72</v>
      </c>
      <c r="M166" s="9">
        <v>10.02</v>
      </c>
      <c r="N166" s="9">
        <v>4.92</v>
      </c>
      <c r="O166" s="9">
        <v>0.19</v>
      </c>
      <c r="P166" s="9">
        <v>0.25</v>
      </c>
      <c r="Q166" s="9">
        <v>4.5999999999999996</v>
      </c>
      <c r="R166" s="9">
        <v>0.05</v>
      </c>
      <c r="S166" s="9">
        <v>0.01</v>
      </c>
    </row>
    <row r="167" spans="1:19">
      <c r="A167">
        <v>6.11</v>
      </c>
      <c r="B167">
        <v>-0.12</v>
      </c>
      <c r="C167">
        <v>-0.35</v>
      </c>
      <c r="D167">
        <v>4.6399999999999997</v>
      </c>
      <c r="E167">
        <v>-0.04</v>
      </c>
      <c r="F167">
        <v>0.01</v>
      </c>
      <c r="G167" s="18">
        <v>10.252032131478614</v>
      </c>
      <c r="H167">
        <v>10.25</v>
      </c>
      <c r="I167" s="18">
        <v>-2.032131478614474E-3</v>
      </c>
      <c r="K167" s="9">
        <v>6</v>
      </c>
      <c r="L167" s="9" t="s">
        <v>74</v>
      </c>
      <c r="M167" s="9">
        <v>9.94</v>
      </c>
      <c r="N167" s="9">
        <v>5.26</v>
      </c>
      <c r="O167" s="9">
        <v>0.02</v>
      </c>
      <c r="P167" s="9">
        <v>0.01</v>
      </c>
      <c r="Q167" s="9">
        <v>4.5999999999999996</v>
      </c>
      <c r="R167" s="9">
        <v>0.04</v>
      </c>
      <c r="S167" s="9">
        <v>0.01</v>
      </c>
    </row>
    <row r="168" spans="1:19">
      <c r="A168">
        <v>6.05</v>
      </c>
      <c r="B168">
        <v>-7.0000000000000007E-2</v>
      </c>
      <c r="C168">
        <v>-0.33</v>
      </c>
      <c r="D168">
        <v>4.6399999999999997</v>
      </c>
      <c r="E168">
        <v>-0.04</v>
      </c>
      <c r="F168">
        <v>-2.1000000000000001E-2</v>
      </c>
      <c r="G168" s="18">
        <v>10.228527334026376</v>
      </c>
      <c r="H168">
        <v>10.23</v>
      </c>
      <c r="I168" s="18">
        <v>1.4726659736243874E-3</v>
      </c>
      <c r="K168" s="9">
        <v>6</v>
      </c>
      <c r="L168" s="9" t="s">
        <v>75</v>
      </c>
      <c r="M168" s="9">
        <v>9.89</v>
      </c>
      <c r="N168" s="9">
        <v>5.32</v>
      </c>
      <c r="O168" s="9">
        <v>7.0000000000000007E-2</v>
      </c>
      <c r="P168" s="9">
        <v>-0.14000000000000001</v>
      </c>
      <c r="Q168" s="9">
        <v>4.5999999999999996</v>
      </c>
      <c r="R168" s="9">
        <v>0.02</v>
      </c>
      <c r="S168" s="9">
        <v>0.01</v>
      </c>
    </row>
    <row r="169" spans="1:19">
      <c r="A169">
        <v>5.87</v>
      </c>
      <c r="B169">
        <v>0.02</v>
      </c>
      <c r="C169">
        <v>-0.45</v>
      </c>
      <c r="D169">
        <v>4.6399999999999997</v>
      </c>
      <c r="E169">
        <v>-0.08</v>
      </c>
      <c r="F169">
        <v>0.01</v>
      </c>
      <c r="G169" s="18">
        <v>10.010386104924562</v>
      </c>
      <c r="H169">
        <v>10.01</v>
      </c>
      <c r="I169" s="18">
        <v>-3.8610492456214729E-4</v>
      </c>
      <c r="K169" s="9">
        <v>6</v>
      </c>
      <c r="L169" s="9" t="s">
        <v>79</v>
      </c>
      <c r="M169" s="9">
        <v>10.130000000000001</v>
      </c>
      <c r="N169" s="9">
        <v>5.36</v>
      </c>
      <c r="O169" s="9">
        <v>0.06</v>
      </c>
      <c r="P169" s="9">
        <v>0.03</v>
      </c>
      <c r="Q169" s="9">
        <v>4.5999999999999996</v>
      </c>
      <c r="R169" s="9">
        <v>0.06</v>
      </c>
      <c r="S169" s="9">
        <v>0.01</v>
      </c>
    </row>
    <row r="170" spans="1:19">
      <c r="A170">
        <v>6.05</v>
      </c>
      <c r="B170">
        <v>-0.16</v>
      </c>
      <c r="C170">
        <v>-0.38</v>
      </c>
      <c r="D170">
        <v>4.6399999999999997</v>
      </c>
      <c r="E170">
        <v>-0.06</v>
      </c>
      <c r="F170">
        <v>0.01</v>
      </c>
      <c r="G170" s="18">
        <v>10.101736815939633</v>
      </c>
      <c r="H170">
        <v>10.1</v>
      </c>
      <c r="I170" s="18">
        <v>-1.7368159396333738E-3</v>
      </c>
      <c r="K170" s="9">
        <v>6</v>
      </c>
      <c r="L170" s="9" t="s">
        <v>80</v>
      </c>
      <c r="M170" s="9">
        <v>10.34</v>
      </c>
      <c r="N170" s="9">
        <v>5.39</v>
      </c>
      <c r="O170" s="9">
        <v>0.17</v>
      </c>
      <c r="P170" s="9">
        <v>0.13</v>
      </c>
      <c r="Q170" s="9">
        <v>4.5999999999999996</v>
      </c>
      <c r="R170" s="9">
        <v>0.05</v>
      </c>
      <c r="S170" s="9">
        <v>0.01</v>
      </c>
    </row>
    <row r="171" spans="1:19">
      <c r="A171">
        <v>5.91</v>
      </c>
      <c r="B171">
        <v>0.05</v>
      </c>
      <c r="C171">
        <v>-0.28999999999999998</v>
      </c>
      <c r="D171">
        <v>4.6399999999999997</v>
      </c>
      <c r="E171">
        <v>0.04</v>
      </c>
      <c r="F171">
        <v>0.01</v>
      </c>
      <c r="G171" s="18">
        <v>10.359680941406896</v>
      </c>
      <c r="H171">
        <v>10.36</v>
      </c>
      <c r="I171" s="18">
        <v>3.1905859310299434E-4</v>
      </c>
      <c r="K171" s="9">
        <v>6</v>
      </c>
      <c r="L171" s="9" t="s">
        <v>81</v>
      </c>
      <c r="M171" s="9">
        <v>10.18</v>
      </c>
      <c r="N171" s="9">
        <v>5.56</v>
      </c>
      <c r="O171" s="9">
        <v>0.02</v>
      </c>
      <c r="P171" s="9">
        <v>-0.03</v>
      </c>
      <c r="Q171" s="9">
        <v>4.5999999999999996</v>
      </c>
      <c r="R171" s="9">
        <v>0.01</v>
      </c>
      <c r="S171" s="9">
        <v>0.01</v>
      </c>
    </row>
    <row r="172" spans="1:19">
      <c r="A172">
        <v>6.92</v>
      </c>
      <c r="B172">
        <v>-0.2</v>
      </c>
      <c r="C172">
        <v>-0.71</v>
      </c>
      <c r="D172">
        <v>4.6399999999999997</v>
      </c>
      <c r="E172">
        <v>-0.11</v>
      </c>
      <c r="F172">
        <v>-2.3E-2</v>
      </c>
      <c r="G172" s="18">
        <v>10.518200921102354</v>
      </c>
      <c r="H172">
        <v>10.51</v>
      </c>
      <c r="I172" s="18">
        <v>-8.2009211023539308E-3</v>
      </c>
      <c r="K172" s="9">
        <v>6</v>
      </c>
      <c r="L172" s="9" t="s">
        <v>82</v>
      </c>
      <c r="M172" s="9">
        <v>10.220000000000001</v>
      </c>
      <c r="N172" s="9">
        <v>6</v>
      </c>
      <c r="O172" s="9">
        <v>-0.02</v>
      </c>
      <c r="P172" s="9">
        <v>-0.43</v>
      </c>
      <c r="Q172" s="9">
        <v>4.5999999999999996</v>
      </c>
      <c r="R172" s="9">
        <v>0.09</v>
      </c>
      <c r="S172" s="9">
        <v>-2.3E-2</v>
      </c>
    </row>
    <row r="173" spans="1:19">
      <c r="A173">
        <v>6.6</v>
      </c>
      <c r="B173">
        <v>-0.23</v>
      </c>
      <c r="C173">
        <v>-0.77</v>
      </c>
      <c r="D173">
        <v>4.6399999999999997</v>
      </c>
      <c r="E173">
        <v>-0.04</v>
      </c>
      <c r="F173">
        <v>2E-3</v>
      </c>
      <c r="G173" s="18">
        <v>10.200488222882074</v>
      </c>
      <c r="H173">
        <v>10.210000000000001</v>
      </c>
      <c r="I173" s="18">
        <v>9.5117771179271671E-3</v>
      </c>
      <c r="K173" s="9">
        <v>6</v>
      </c>
      <c r="L173" s="9" t="s">
        <v>83</v>
      </c>
      <c r="M173" s="9">
        <v>10</v>
      </c>
      <c r="N173" s="9">
        <v>6.03</v>
      </c>
      <c r="O173" s="9">
        <v>-0.06</v>
      </c>
      <c r="P173" s="9">
        <v>-0.5</v>
      </c>
      <c r="Q173" s="9">
        <v>4.5999999999999996</v>
      </c>
      <c r="R173" s="9">
        <v>-0.08</v>
      </c>
      <c r="S173" s="9">
        <v>0.01</v>
      </c>
    </row>
    <row r="174" spans="1:19">
      <c r="A174">
        <v>6.4</v>
      </c>
      <c r="B174">
        <v>-0.08</v>
      </c>
      <c r="C174">
        <v>-0.62</v>
      </c>
      <c r="D174">
        <v>4.6399999999999997</v>
      </c>
      <c r="E174">
        <v>0.03</v>
      </c>
      <c r="F174">
        <v>-4.7E-2</v>
      </c>
      <c r="G174" s="18">
        <v>10.316729743146244</v>
      </c>
      <c r="H174">
        <v>10.32</v>
      </c>
      <c r="I174" s="18">
        <v>3.2702568537565924E-3</v>
      </c>
      <c r="K174" s="9">
        <v>6</v>
      </c>
      <c r="L174" s="9" t="s">
        <v>84</v>
      </c>
      <c r="M174" s="9">
        <v>9.68</v>
      </c>
      <c r="N174" s="9">
        <v>6.04</v>
      </c>
      <c r="O174" s="9">
        <v>-0.16</v>
      </c>
      <c r="P174" s="9">
        <v>-0.67</v>
      </c>
      <c r="Q174" s="9">
        <v>4.5999999999999996</v>
      </c>
      <c r="R174" s="9">
        <v>-0.14000000000000001</v>
      </c>
      <c r="S174" s="9">
        <v>0.01</v>
      </c>
    </row>
    <row r="175" spans="1:19">
      <c r="A175">
        <v>6.43</v>
      </c>
      <c r="B175">
        <v>-0.22</v>
      </c>
      <c r="C175">
        <v>-0.6</v>
      </c>
      <c r="D175">
        <v>4.6399999999999997</v>
      </c>
      <c r="E175">
        <v>-0.03</v>
      </c>
      <c r="F175">
        <v>-1.9E-2</v>
      </c>
      <c r="G175" s="18">
        <v>10.198865805941059</v>
      </c>
      <c r="H175">
        <v>10.199999999999999</v>
      </c>
      <c r="I175" s="18">
        <v>1.1341940589399968E-3</v>
      </c>
      <c r="K175" s="9">
        <v>6</v>
      </c>
      <c r="L175" s="9" t="s">
        <v>85</v>
      </c>
      <c r="M175" s="9">
        <v>9.92</v>
      </c>
      <c r="N175" s="9">
        <v>6.36</v>
      </c>
      <c r="O175" s="9">
        <v>-0.28999999999999998</v>
      </c>
      <c r="P175" s="9">
        <v>-0.55000000000000004</v>
      </c>
      <c r="Q175" s="9">
        <v>4.5999999999999996</v>
      </c>
      <c r="R175" s="9">
        <v>-0.13</v>
      </c>
      <c r="S175" s="9">
        <v>-0.08</v>
      </c>
    </row>
    <row r="176" spans="1:19">
      <c r="A176">
        <v>6.05</v>
      </c>
      <c r="B176">
        <v>-0.1</v>
      </c>
      <c r="C176">
        <v>-0.75</v>
      </c>
      <c r="D176">
        <v>4.6399999999999997</v>
      </c>
      <c r="E176">
        <v>-0.08</v>
      </c>
      <c r="F176">
        <v>-3.0000000000000001E-3</v>
      </c>
      <c r="G176" s="18">
        <v>9.7531821764518796</v>
      </c>
      <c r="H176">
        <v>9.76</v>
      </c>
      <c r="I176" s="18">
        <v>6.8178235481202165E-3</v>
      </c>
      <c r="K176" s="9">
        <v>6</v>
      </c>
      <c r="L176" s="9" t="s">
        <v>86</v>
      </c>
      <c r="M176" s="9">
        <v>10.02</v>
      </c>
      <c r="N176" s="9">
        <v>5.65</v>
      </c>
      <c r="O176" s="9">
        <v>0.06</v>
      </c>
      <c r="P176" s="9">
        <v>-0.2</v>
      </c>
      <c r="Q176" s="9">
        <v>4.5999999999999996</v>
      </c>
      <c r="R176" s="9">
        <v>-0.11</v>
      </c>
      <c r="S176" s="9">
        <v>0.01</v>
      </c>
    </row>
    <row r="177" spans="1:19">
      <c r="A177">
        <v>6.59</v>
      </c>
      <c r="B177">
        <v>-0.06</v>
      </c>
      <c r="C177">
        <v>-0.88</v>
      </c>
      <c r="D177">
        <v>4.6399999999999997</v>
      </c>
      <c r="E177">
        <v>0.02</v>
      </c>
      <c r="F177">
        <v>-5.6000000000000001E-2</v>
      </c>
      <c r="G177" s="18">
        <v>10.244876856571173</v>
      </c>
      <c r="H177">
        <v>10.26</v>
      </c>
      <c r="I177" s="18">
        <v>1.5123143428827035E-2</v>
      </c>
      <c r="K177" s="9">
        <v>6</v>
      </c>
      <c r="L177" s="9" t="s">
        <v>88</v>
      </c>
      <c r="M177" s="9">
        <v>9.9499999999999993</v>
      </c>
      <c r="N177" s="9">
        <v>5.5</v>
      </c>
      <c r="O177" s="9">
        <v>0.04</v>
      </c>
      <c r="P177" s="9">
        <v>-0.15</v>
      </c>
      <c r="Q177" s="9">
        <v>4.5999999999999996</v>
      </c>
      <c r="R177" s="9">
        <v>-0.06</v>
      </c>
      <c r="S177" s="9">
        <v>0.01</v>
      </c>
    </row>
    <row r="178" spans="1:19">
      <c r="A178">
        <v>6.64</v>
      </c>
      <c r="B178">
        <v>0.25</v>
      </c>
      <c r="C178">
        <v>-1.59</v>
      </c>
      <c r="D178">
        <v>4.6399999999999997</v>
      </c>
      <c r="E178">
        <v>-0.04</v>
      </c>
      <c r="F178">
        <v>-1.0999999999999999E-2</v>
      </c>
      <c r="G178" s="18">
        <v>9.8758762871097101</v>
      </c>
      <c r="H178">
        <v>9.89</v>
      </c>
      <c r="I178" s="18">
        <v>1.4123712890290463E-2</v>
      </c>
      <c r="K178" s="9">
        <v>6</v>
      </c>
      <c r="L178" s="9" t="s">
        <v>89</v>
      </c>
      <c r="M178" s="9">
        <v>10.199999999999999</v>
      </c>
      <c r="N178" s="9">
        <v>5.87</v>
      </c>
      <c r="O178" s="9">
        <v>-0.17</v>
      </c>
      <c r="P178" s="9">
        <v>-0.11</v>
      </c>
      <c r="Q178" s="9">
        <v>4.5999999999999996</v>
      </c>
      <c r="R178" s="9">
        <v>0</v>
      </c>
      <c r="S178" s="9">
        <v>0.01</v>
      </c>
    </row>
    <row r="179" spans="1:19">
      <c r="A179">
        <v>6.26</v>
      </c>
      <c r="B179">
        <v>-0.31</v>
      </c>
      <c r="C179">
        <v>-0.25</v>
      </c>
      <c r="D179">
        <v>4.5999999999999996</v>
      </c>
      <c r="E179">
        <v>-0.1</v>
      </c>
      <c r="F179">
        <v>0.01</v>
      </c>
      <c r="G179" s="18">
        <v>10.213524578560769</v>
      </c>
      <c r="H179">
        <v>10.210000000000001</v>
      </c>
      <c r="I179" s="18">
        <v>-3.5245785607678215E-3</v>
      </c>
      <c r="K179" s="9">
        <v>6</v>
      </c>
      <c r="L179" s="9" t="s">
        <v>90</v>
      </c>
      <c r="M179" s="9">
        <v>10.19</v>
      </c>
      <c r="N179" s="9">
        <v>6.16</v>
      </c>
      <c r="O179" s="9">
        <v>-0.11</v>
      </c>
      <c r="P179" s="9">
        <v>-0.36</v>
      </c>
      <c r="Q179" s="9">
        <v>4.5999999999999996</v>
      </c>
      <c r="R179" s="9">
        <v>-0.11</v>
      </c>
      <c r="S179" s="9">
        <v>0.01</v>
      </c>
    </row>
    <row r="180" spans="1:19">
      <c r="A180">
        <v>6.26</v>
      </c>
      <c r="B180">
        <v>-0.32</v>
      </c>
      <c r="C180">
        <v>-0.81</v>
      </c>
      <c r="D180">
        <v>4.5999999999999996</v>
      </c>
      <c r="E180">
        <v>-0.25</v>
      </c>
      <c r="F180">
        <v>0.01</v>
      </c>
      <c r="G180" s="18">
        <v>9.4897639037107009</v>
      </c>
      <c r="H180">
        <v>9.49</v>
      </c>
      <c r="I180" s="18">
        <v>2.3609628929932569E-4</v>
      </c>
      <c r="K180" s="9">
        <v>6</v>
      </c>
      <c r="L180" s="9" t="s">
        <v>91</v>
      </c>
      <c r="M180" s="9">
        <v>10.33</v>
      </c>
      <c r="N180" s="9">
        <v>6.16</v>
      </c>
      <c r="O180" s="9">
        <v>-0.06</v>
      </c>
      <c r="P180" s="9">
        <v>-0.36</v>
      </c>
      <c r="Q180" s="9">
        <v>4.5999999999999996</v>
      </c>
      <c r="R180" s="9">
        <v>-0.02</v>
      </c>
      <c r="S180" s="9">
        <v>0.01</v>
      </c>
    </row>
    <row r="181" spans="1:19">
      <c r="A181">
        <v>6.04</v>
      </c>
      <c r="B181">
        <v>-0.32</v>
      </c>
      <c r="C181">
        <v>-0.6</v>
      </c>
      <c r="D181">
        <v>4.5999999999999996</v>
      </c>
      <c r="E181">
        <v>-0.1</v>
      </c>
      <c r="F181">
        <v>0.01</v>
      </c>
      <c r="G181" s="18">
        <v>9.6273152915585953</v>
      </c>
      <c r="H181">
        <v>9.6300000000000008</v>
      </c>
      <c r="I181" s="18">
        <v>2.6847084414054478E-3</v>
      </c>
      <c r="K181" s="9">
        <v>6</v>
      </c>
      <c r="L181" s="9" t="s">
        <v>92</v>
      </c>
      <c r="M181" s="9">
        <v>10.029999999999999</v>
      </c>
      <c r="N181" s="9">
        <v>5.97</v>
      </c>
      <c r="O181" s="9">
        <v>0</v>
      </c>
      <c r="P181" s="9">
        <v>-0.47</v>
      </c>
      <c r="Q181" s="9">
        <v>4.5999999999999996</v>
      </c>
      <c r="R181" s="9">
        <v>-0.08</v>
      </c>
      <c r="S181" s="9">
        <v>0.01</v>
      </c>
    </row>
    <row r="182" spans="1:19">
      <c r="A182">
        <v>5.98</v>
      </c>
      <c r="B182">
        <v>-0.17</v>
      </c>
      <c r="C182">
        <v>-0.34</v>
      </c>
      <c r="D182">
        <v>4.5999999999999996</v>
      </c>
      <c r="E182">
        <v>-7.0000000000000007E-2</v>
      </c>
      <c r="F182">
        <v>0.01</v>
      </c>
      <c r="G182" s="18">
        <v>10.009904916291028</v>
      </c>
      <c r="H182">
        <v>10.01</v>
      </c>
      <c r="I182" s="18">
        <v>9.5083708972154568E-5</v>
      </c>
      <c r="K182" s="9">
        <v>6</v>
      </c>
      <c r="L182" s="9" t="s">
        <v>93</v>
      </c>
      <c r="M182" s="9">
        <v>9.89</v>
      </c>
      <c r="N182" s="9">
        <v>6.04</v>
      </c>
      <c r="O182" s="9">
        <v>-0.16</v>
      </c>
      <c r="P182" s="9">
        <v>-0.4</v>
      </c>
      <c r="Q182" s="9">
        <v>4.5999999999999996</v>
      </c>
      <c r="R182" s="9">
        <v>-0.2</v>
      </c>
      <c r="S182" s="9">
        <v>0.01</v>
      </c>
    </row>
    <row r="183" spans="1:19">
      <c r="A183">
        <v>6.83</v>
      </c>
      <c r="B183">
        <v>-0.62</v>
      </c>
      <c r="C183">
        <v>-0.75</v>
      </c>
      <c r="D183">
        <v>4.5999999999999996</v>
      </c>
      <c r="E183">
        <v>-0.21</v>
      </c>
      <c r="F183">
        <v>-5.0000000000000001E-3</v>
      </c>
      <c r="G183" s="18">
        <v>9.8465254452875861</v>
      </c>
      <c r="H183">
        <v>9.85</v>
      </c>
      <c r="I183" s="18">
        <v>3.4745547124135356E-3</v>
      </c>
      <c r="K183" s="9">
        <v>6</v>
      </c>
      <c r="L183" s="9" t="s">
        <v>94</v>
      </c>
      <c r="M183" s="9">
        <v>10.35</v>
      </c>
      <c r="N183" s="9">
        <v>5.99</v>
      </c>
      <c r="O183" s="9">
        <v>0.04</v>
      </c>
      <c r="P183" s="9">
        <v>-0.3</v>
      </c>
      <c r="Q183" s="9">
        <v>4.5999999999999996</v>
      </c>
      <c r="R183" s="9">
        <v>0.06</v>
      </c>
      <c r="S183" s="9">
        <v>-4.4999999999999998E-2</v>
      </c>
    </row>
    <row r="184" spans="1:19">
      <c r="A184">
        <v>6.2</v>
      </c>
      <c r="B184">
        <v>-0.28999999999999998</v>
      </c>
      <c r="C184">
        <v>-0.49</v>
      </c>
      <c r="D184">
        <v>4.5999999999999996</v>
      </c>
      <c r="E184">
        <v>-0.02</v>
      </c>
      <c r="F184">
        <v>-0.152</v>
      </c>
      <c r="G184" s="18">
        <v>9.8328397438203829</v>
      </c>
      <c r="H184">
        <v>9.84</v>
      </c>
      <c r="I184" s="18">
        <v>7.1602561796169084E-3</v>
      </c>
      <c r="K184" s="9">
        <v>6</v>
      </c>
      <c r="L184" s="9" t="s">
        <v>95</v>
      </c>
      <c r="M184" s="9">
        <v>10.42</v>
      </c>
      <c r="N184" s="9">
        <v>7.07</v>
      </c>
      <c r="O184" s="9">
        <v>-0.2</v>
      </c>
      <c r="P184" s="9">
        <v>-0.71</v>
      </c>
      <c r="Q184" s="9">
        <v>4.5999999999999996</v>
      </c>
      <c r="R184" s="9">
        <v>-0.16</v>
      </c>
      <c r="S184" s="9">
        <v>-0.187</v>
      </c>
    </row>
    <row r="185" spans="1:19">
      <c r="A185">
        <v>5.49</v>
      </c>
      <c r="B185">
        <v>-0.19</v>
      </c>
      <c r="C185">
        <v>-0.28000000000000003</v>
      </c>
      <c r="D185">
        <v>4.5999999999999996</v>
      </c>
      <c r="E185">
        <v>-0.04</v>
      </c>
      <c r="F185">
        <v>0.01</v>
      </c>
      <c r="G185" s="18">
        <v>9.5868923394414232</v>
      </c>
      <c r="H185">
        <v>9.59</v>
      </c>
      <c r="I185" s="18">
        <v>3.107660558576697E-3</v>
      </c>
      <c r="K185" s="9">
        <v>6</v>
      </c>
      <c r="L185" s="9" t="s">
        <v>96</v>
      </c>
      <c r="M185" s="9">
        <v>10.17</v>
      </c>
      <c r="N185" s="9">
        <v>6.71</v>
      </c>
      <c r="O185" s="9">
        <v>-0.24</v>
      </c>
      <c r="P185" s="9">
        <v>-0.79</v>
      </c>
      <c r="Q185" s="9">
        <v>4.5999999999999996</v>
      </c>
      <c r="R185" s="9">
        <v>-0.1</v>
      </c>
      <c r="S185" s="9">
        <v>0</v>
      </c>
    </row>
    <row r="186" spans="1:19">
      <c r="A186">
        <v>5.13</v>
      </c>
      <c r="B186">
        <v>-0.04</v>
      </c>
      <c r="C186">
        <v>0.03</v>
      </c>
      <c r="D186">
        <v>4.5999999999999996</v>
      </c>
      <c r="E186">
        <v>-0.06</v>
      </c>
      <c r="F186">
        <v>0.01</v>
      </c>
      <c r="G186" s="18">
        <v>9.6696560936172222</v>
      </c>
      <c r="H186">
        <v>9.66</v>
      </c>
      <c r="I186" s="18">
        <v>-9.6560936172220835E-3</v>
      </c>
      <c r="K186" s="9">
        <v>6</v>
      </c>
      <c r="L186" s="9" t="s">
        <v>97</v>
      </c>
      <c r="M186" s="9">
        <v>10.3</v>
      </c>
      <c r="N186" s="9">
        <v>6.46</v>
      </c>
      <c r="O186" s="9">
        <v>-0.1</v>
      </c>
      <c r="P186" s="9">
        <v>-0.61</v>
      </c>
      <c r="Q186" s="9">
        <v>4.5999999999999996</v>
      </c>
      <c r="R186" s="9">
        <v>-0.05</v>
      </c>
      <c r="S186" s="9">
        <v>2E-3</v>
      </c>
    </row>
    <row r="187" spans="1:19">
      <c r="A187">
        <v>5.4</v>
      </c>
      <c r="B187">
        <v>-7.0000000000000007E-2</v>
      </c>
      <c r="C187">
        <v>-0.06</v>
      </c>
      <c r="D187">
        <v>4.5999999999999996</v>
      </c>
      <c r="E187">
        <v>-0.03</v>
      </c>
      <c r="F187">
        <v>-4.8000000000000001E-2</v>
      </c>
      <c r="G187" s="18">
        <v>9.7866311280260803</v>
      </c>
      <c r="H187">
        <v>9.7899999999999991</v>
      </c>
      <c r="I187" s="18">
        <v>3.3688719739188855E-3</v>
      </c>
      <c r="K187" s="9">
        <v>6</v>
      </c>
      <c r="L187" s="9" t="s">
        <v>98</v>
      </c>
      <c r="M187" s="9">
        <v>10.25</v>
      </c>
      <c r="N187" s="9">
        <v>6.54</v>
      </c>
      <c r="O187" s="9">
        <v>-0.22</v>
      </c>
      <c r="P187" s="9">
        <v>-0.6</v>
      </c>
      <c r="Q187" s="9">
        <v>4.5999999999999996</v>
      </c>
      <c r="R187" s="9">
        <v>-0.08</v>
      </c>
      <c r="S187" s="9">
        <v>0.01</v>
      </c>
    </row>
    <row r="188" spans="1:19">
      <c r="A188">
        <v>5.28</v>
      </c>
      <c r="B188">
        <v>-0.02</v>
      </c>
      <c r="C188">
        <v>-0.08</v>
      </c>
      <c r="D188">
        <v>4.5999999999999996</v>
      </c>
      <c r="E188">
        <v>0.02</v>
      </c>
      <c r="F188">
        <v>0.01</v>
      </c>
      <c r="G188" s="18">
        <v>9.8069491742722761</v>
      </c>
      <c r="H188">
        <v>9.81</v>
      </c>
      <c r="I188" s="18">
        <v>3.0508257277244155E-3</v>
      </c>
      <c r="K188" s="9">
        <v>6</v>
      </c>
      <c r="L188" s="9" t="s">
        <v>99</v>
      </c>
      <c r="M188" s="9">
        <v>9.85</v>
      </c>
      <c r="N188" s="9">
        <v>6.24</v>
      </c>
      <c r="O188" s="9">
        <v>-0.12</v>
      </c>
      <c r="P188" s="9">
        <v>-0.76</v>
      </c>
      <c r="Q188" s="9">
        <v>4.5999999999999996</v>
      </c>
      <c r="R188" s="9">
        <v>-0.08</v>
      </c>
      <c r="S188" s="9">
        <v>-2.8000000000000001E-2</v>
      </c>
    </row>
    <row r="189" spans="1:19">
      <c r="A189">
        <v>5.03</v>
      </c>
      <c r="B189">
        <v>-0.01</v>
      </c>
      <c r="C189">
        <v>0.13</v>
      </c>
      <c r="D189">
        <v>4.5999999999999996</v>
      </c>
      <c r="E189">
        <v>0.01</v>
      </c>
      <c r="F189">
        <v>0.01</v>
      </c>
      <c r="G189" s="18">
        <v>9.7685899648797889</v>
      </c>
      <c r="H189">
        <v>9.7799999999999994</v>
      </c>
      <c r="I189" s="18">
        <v>1.1410035120210438E-2</v>
      </c>
      <c r="K189" s="9">
        <v>6</v>
      </c>
      <c r="L189" s="9" t="s">
        <v>100</v>
      </c>
      <c r="M189" s="9">
        <v>10.130000000000001</v>
      </c>
      <c r="N189" s="9">
        <v>6.7</v>
      </c>
      <c r="O189" s="9">
        <v>-0.09</v>
      </c>
      <c r="P189" s="9">
        <v>-0.9</v>
      </c>
      <c r="Q189" s="9">
        <v>4.5999999999999996</v>
      </c>
      <c r="R189" s="9">
        <v>-0.13</v>
      </c>
      <c r="S189" s="9">
        <v>-5.1999999999999998E-2</v>
      </c>
    </row>
    <row r="190" spans="1:19">
      <c r="A190">
        <v>5.12</v>
      </c>
      <c r="B190">
        <v>-0.08</v>
      </c>
      <c r="C190">
        <v>0.12</v>
      </c>
      <c r="D190">
        <v>4.5999999999999996</v>
      </c>
      <c r="E190">
        <v>0</v>
      </c>
      <c r="F190">
        <v>0.01</v>
      </c>
      <c r="G190" s="18">
        <v>9.7691973741123395</v>
      </c>
      <c r="H190">
        <v>9.77</v>
      </c>
      <c r="I190" s="18">
        <v>8.0262588766011334E-4</v>
      </c>
      <c r="K190" s="9">
        <v>6</v>
      </c>
      <c r="L190" s="9" t="s">
        <v>101</v>
      </c>
      <c r="M190" s="9">
        <v>9.52</v>
      </c>
      <c r="N190" s="9">
        <v>6.59</v>
      </c>
      <c r="O190" s="9">
        <v>0.17</v>
      </c>
      <c r="P190" s="9">
        <v>-1.58</v>
      </c>
      <c r="Q190" s="9">
        <v>4.5999999999999996</v>
      </c>
      <c r="R190" s="9">
        <v>-0.27</v>
      </c>
      <c r="S190" s="9">
        <v>0.01</v>
      </c>
    </row>
    <row r="191" spans="1:19">
      <c r="A191">
        <v>4.4800000000000004</v>
      </c>
      <c r="B191">
        <v>0.16</v>
      </c>
      <c r="C191">
        <v>0.66</v>
      </c>
      <c r="D191">
        <v>4.5999999999999996</v>
      </c>
      <c r="E191">
        <v>7.0000000000000007E-2</v>
      </c>
      <c r="F191">
        <v>0.01</v>
      </c>
      <c r="G191" s="18">
        <v>9.9811153858019104</v>
      </c>
      <c r="H191">
        <v>9.98</v>
      </c>
      <c r="I191" s="18">
        <v>-1.1153858019099516E-3</v>
      </c>
      <c r="K191" s="9">
        <v>7</v>
      </c>
      <c r="L191" s="9" t="s">
        <v>33</v>
      </c>
      <c r="M191" s="9">
        <v>10.31</v>
      </c>
      <c r="N191" s="9">
        <v>6.21</v>
      </c>
      <c r="O191" s="9">
        <v>-0.33</v>
      </c>
      <c r="P191" s="9">
        <v>-0.22</v>
      </c>
      <c r="Q191" s="9">
        <v>4.6500000000000004</v>
      </c>
      <c r="R191" s="9">
        <v>-0.02</v>
      </c>
      <c r="S191" s="9">
        <v>0.01</v>
      </c>
    </row>
    <row r="192" spans="1:19">
      <c r="A192">
        <v>5.0199999999999996</v>
      </c>
      <c r="B192">
        <v>-0.06</v>
      </c>
      <c r="C192">
        <v>0.38</v>
      </c>
      <c r="D192">
        <v>4.5999999999999996</v>
      </c>
      <c r="E192">
        <v>0.06</v>
      </c>
      <c r="F192">
        <v>0.01</v>
      </c>
      <c r="G192" s="18">
        <v>10.010600323177258</v>
      </c>
      <c r="H192">
        <v>10.02</v>
      </c>
      <c r="I192" s="18">
        <v>9.3996768227420091E-3</v>
      </c>
      <c r="K192" s="9">
        <v>7</v>
      </c>
      <c r="L192" s="9" t="s">
        <v>36</v>
      </c>
      <c r="M192" s="9">
        <v>9.85</v>
      </c>
      <c r="N192" s="9">
        <v>6.35</v>
      </c>
      <c r="O192" s="9">
        <v>-0.37</v>
      </c>
      <c r="P192" s="9">
        <v>-0.79</v>
      </c>
      <c r="Q192" s="9">
        <v>4.6500000000000004</v>
      </c>
      <c r="R192" s="9">
        <v>-0.01</v>
      </c>
      <c r="S192" s="9">
        <v>7.0000000000000001E-3</v>
      </c>
    </row>
    <row r="193" spans="1:19">
      <c r="A193">
        <v>5.31</v>
      </c>
      <c r="B193">
        <v>-0.14000000000000001</v>
      </c>
      <c r="C193">
        <v>-0.31</v>
      </c>
      <c r="D193">
        <v>4.5999999999999996</v>
      </c>
      <c r="E193">
        <v>-0.08</v>
      </c>
      <c r="F193">
        <v>-0.02</v>
      </c>
      <c r="G193" s="18">
        <v>9.3541013048420005</v>
      </c>
      <c r="H193">
        <v>9.35</v>
      </c>
      <c r="I193" s="18">
        <v>-4.1013048420008857E-3</v>
      </c>
      <c r="K193" s="9">
        <v>7</v>
      </c>
      <c r="L193" s="9" t="s">
        <v>37</v>
      </c>
      <c r="M193" s="9">
        <v>9.6199999999999992</v>
      </c>
      <c r="N193" s="9">
        <v>5.99</v>
      </c>
      <c r="O193" s="9">
        <v>-0.35</v>
      </c>
      <c r="P193" s="9">
        <v>-0.62</v>
      </c>
      <c r="Q193" s="9">
        <v>4.6500000000000004</v>
      </c>
      <c r="R193" s="9">
        <v>-7.0000000000000007E-2</v>
      </c>
      <c r="S193" s="9">
        <v>0.01</v>
      </c>
    </row>
    <row r="194" spans="1:19">
      <c r="A194">
        <v>4.9800000000000004</v>
      </c>
      <c r="B194">
        <v>-7.0000000000000007E-2</v>
      </c>
      <c r="C194">
        <v>0.12</v>
      </c>
      <c r="D194">
        <v>4.5999999999999996</v>
      </c>
      <c r="E194">
        <v>0</v>
      </c>
      <c r="F194">
        <v>-0.01</v>
      </c>
      <c r="G194" s="18">
        <v>9.6167542008023918</v>
      </c>
      <c r="H194">
        <v>9.6199999999999992</v>
      </c>
      <c r="I194" s="18">
        <v>3.2457991976073686E-3</v>
      </c>
      <c r="K194" s="9">
        <v>7</v>
      </c>
      <c r="L194" s="9" t="s">
        <v>39</v>
      </c>
      <c r="M194" s="9">
        <v>10.11</v>
      </c>
      <c r="N194" s="9">
        <v>5.91</v>
      </c>
      <c r="O194" s="9">
        <v>-0.16</v>
      </c>
      <c r="P194" s="9">
        <v>-0.33</v>
      </c>
      <c r="Q194" s="9">
        <v>4.6500000000000004</v>
      </c>
      <c r="R194" s="9">
        <v>0.03</v>
      </c>
      <c r="S194" s="9">
        <v>0.01</v>
      </c>
    </row>
    <row r="195" spans="1:19">
      <c r="A195">
        <v>5.33</v>
      </c>
      <c r="B195">
        <v>-0.02</v>
      </c>
      <c r="C195">
        <v>0.03</v>
      </c>
      <c r="D195">
        <v>4.5999999999999996</v>
      </c>
      <c r="E195">
        <v>-0.01</v>
      </c>
      <c r="F195">
        <v>0.01</v>
      </c>
      <c r="G195" s="18">
        <v>9.9395786435167039</v>
      </c>
      <c r="H195">
        <v>9.94</v>
      </c>
      <c r="I195" s="18">
        <v>4.2135648329555409E-4</v>
      </c>
      <c r="K195" s="9">
        <v>7</v>
      </c>
      <c r="L195" s="9" t="s">
        <v>40</v>
      </c>
      <c r="M195" s="9">
        <v>10.01</v>
      </c>
      <c r="N195" s="9">
        <v>6.72</v>
      </c>
      <c r="O195" s="9">
        <v>-0.63</v>
      </c>
      <c r="P195" s="9">
        <v>-0.72</v>
      </c>
      <c r="Q195" s="9">
        <v>4.6500000000000004</v>
      </c>
      <c r="R195" s="9">
        <v>-0.01</v>
      </c>
      <c r="S195" s="9">
        <v>0</v>
      </c>
    </row>
    <row r="196" spans="1:19">
      <c r="A196">
        <v>5.58</v>
      </c>
      <c r="B196">
        <v>-0.14000000000000001</v>
      </c>
      <c r="C196">
        <v>-0.03</v>
      </c>
      <c r="D196">
        <v>4.5999999999999996</v>
      </c>
      <c r="E196">
        <v>0.05</v>
      </c>
      <c r="F196">
        <v>0.01</v>
      </c>
      <c r="G196" s="18">
        <v>10.06856159800979</v>
      </c>
      <c r="H196">
        <v>10.07</v>
      </c>
      <c r="I196" s="18">
        <v>1.4384019902102807E-3</v>
      </c>
      <c r="K196" s="9">
        <v>7</v>
      </c>
      <c r="L196" s="9" t="s">
        <v>41</v>
      </c>
      <c r="M196" s="9">
        <v>9.75</v>
      </c>
      <c r="N196" s="9">
        <v>6.12</v>
      </c>
      <c r="O196" s="9">
        <v>-0.31</v>
      </c>
      <c r="P196" s="9">
        <v>-0.49</v>
      </c>
      <c r="Q196" s="9">
        <v>4.6500000000000004</v>
      </c>
      <c r="R196" s="9">
        <v>-0.06</v>
      </c>
      <c r="S196" s="9">
        <v>-0.14799999999999999</v>
      </c>
    </row>
    <row r="197" spans="1:19">
      <c r="A197">
        <v>5.54</v>
      </c>
      <c r="B197">
        <v>-0.15</v>
      </c>
      <c r="C197">
        <v>-0.14000000000000001</v>
      </c>
      <c r="D197">
        <v>4.5999999999999996</v>
      </c>
      <c r="E197">
        <v>0.08</v>
      </c>
      <c r="F197">
        <v>0.01</v>
      </c>
      <c r="G197" s="18">
        <v>9.9359829780861624</v>
      </c>
      <c r="H197">
        <v>9.94</v>
      </c>
      <c r="I197" s="18">
        <v>4.0170219138371266E-3</v>
      </c>
      <c r="K197" s="9">
        <v>7</v>
      </c>
      <c r="L197" s="9" t="s">
        <v>42</v>
      </c>
      <c r="M197" s="9">
        <v>9.6199999999999992</v>
      </c>
      <c r="N197" s="9">
        <v>5.43</v>
      </c>
      <c r="O197" s="9">
        <v>-0.2</v>
      </c>
      <c r="P197" s="9">
        <v>-0.28000000000000003</v>
      </c>
      <c r="Q197" s="9">
        <v>4.6500000000000004</v>
      </c>
      <c r="R197" s="9">
        <v>0.01</v>
      </c>
      <c r="S197" s="9">
        <v>0.01</v>
      </c>
    </row>
    <row r="198" spans="1:19">
      <c r="A198">
        <v>5.27</v>
      </c>
      <c r="B198">
        <v>-0.08</v>
      </c>
      <c r="C198">
        <v>-0.17</v>
      </c>
      <c r="D198">
        <v>4.5999999999999996</v>
      </c>
      <c r="E198">
        <v>-0.04</v>
      </c>
      <c r="F198">
        <v>-2.8000000000000001E-2</v>
      </c>
      <c r="G198" s="18">
        <v>9.5461541097410159</v>
      </c>
      <c r="H198">
        <v>9.5500000000000007</v>
      </c>
      <c r="I198" s="18">
        <v>3.845890258984852E-3</v>
      </c>
      <c r="K198" s="9">
        <v>7</v>
      </c>
      <c r="L198" s="9" t="s">
        <v>43</v>
      </c>
      <c r="M198" s="9">
        <v>9.67</v>
      </c>
      <c r="N198" s="9">
        <v>5.07</v>
      </c>
      <c r="O198" s="9">
        <v>-0.04</v>
      </c>
      <c r="P198" s="9">
        <v>0.02</v>
      </c>
      <c r="Q198" s="9">
        <v>4.6500000000000004</v>
      </c>
      <c r="R198" s="9">
        <v>-0.04</v>
      </c>
      <c r="S198" s="9">
        <v>0.01</v>
      </c>
    </row>
    <row r="199" spans="1:19">
      <c r="A199">
        <v>5.38</v>
      </c>
      <c r="B199">
        <v>0</v>
      </c>
      <c r="C199">
        <v>-0.09</v>
      </c>
      <c r="D199">
        <v>4.5999999999999996</v>
      </c>
      <c r="E199">
        <v>0.03</v>
      </c>
      <c r="F199">
        <v>-1.6E-2</v>
      </c>
      <c r="G199" s="18">
        <v>9.899114744136984</v>
      </c>
      <c r="H199">
        <v>9.91</v>
      </c>
      <c r="I199" s="18">
        <v>1.0885255863016141E-2</v>
      </c>
      <c r="K199" s="9">
        <v>7</v>
      </c>
      <c r="L199" s="9" t="s">
        <v>44</v>
      </c>
      <c r="M199" s="9">
        <v>9.82</v>
      </c>
      <c r="N199" s="9">
        <v>5.38</v>
      </c>
      <c r="O199" s="9">
        <v>-0.08</v>
      </c>
      <c r="P199" s="9">
        <v>-0.09</v>
      </c>
      <c r="Q199" s="9">
        <v>4.6500000000000004</v>
      </c>
      <c r="R199" s="9">
        <v>-0.06</v>
      </c>
      <c r="S199" s="9">
        <v>0.01</v>
      </c>
    </row>
    <row r="200" spans="1:19">
      <c r="A200">
        <v>5.13</v>
      </c>
      <c r="B200">
        <v>-0.04</v>
      </c>
      <c r="C200">
        <v>0.1</v>
      </c>
      <c r="D200">
        <v>4.5999999999999996</v>
      </c>
      <c r="E200">
        <v>0.05</v>
      </c>
      <c r="F200">
        <v>0.01</v>
      </c>
      <c r="G200" s="18">
        <v>9.8476932525723502</v>
      </c>
      <c r="H200">
        <v>9.85</v>
      </c>
      <c r="I200" s="18">
        <v>2.3067474276494693E-3</v>
      </c>
      <c r="K200" s="9">
        <v>7</v>
      </c>
      <c r="L200" s="9" t="s">
        <v>45</v>
      </c>
      <c r="M200" s="9">
        <v>9.77</v>
      </c>
      <c r="N200" s="9">
        <v>5.2</v>
      </c>
      <c r="O200" s="9">
        <v>-0.02</v>
      </c>
      <c r="P200" s="9">
        <v>-0.08</v>
      </c>
      <c r="Q200" s="9">
        <v>4.6500000000000004</v>
      </c>
      <c r="R200" s="9">
        <v>0.01</v>
      </c>
      <c r="S200" s="9">
        <v>0.01</v>
      </c>
    </row>
    <row r="201" spans="1:19">
      <c r="A201">
        <v>4.92</v>
      </c>
      <c r="B201">
        <v>0.19</v>
      </c>
      <c r="C201">
        <v>0.25</v>
      </c>
      <c r="D201">
        <v>4.5999999999999996</v>
      </c>
      <c r="E201">
        <v>0.05</v>
      </c>
      <c r="F201">
        <v>0.01</v>
      </c>
      <c r="G201" s="18">
        <v>10.018722127479313</v>
      </c>
      <c r="H201">
        <v>10.02</v>
      </c>
      <c r="I201" s="18">
        <v>1.2778725206867847E-3</v>
      </c>
      <c r="K201" s="9">
        <v>7</v>
      </c>
      <c r="L201" s="9" t="s">
        <v>47</v>
      </c>
      <c r="M201" s="9">
        <v>9.76</v>
      </c>
      <c r="N201" s="9">
        <v>5.0199999999999996</v>
      </c>
      <c r="O201" s="9">
        <v>-0.01</v>
      </c>
      <c r="P201" s="9">
        <v>0.11</v>
      </c>
      <c r="Q201" s="9">
        <v>4.6500000000000004</v>
      </c>
      <c r="R201" s="9">
        <v>-0.02</v>
      </c>
      <c r="S201" s="9">
        <v>0.01</v>
      </c>
    </row>
    <row r="202" spans="1:19">
      <c r="A202">
        <v>5.26</v>
      </c>
      <c r="B202">
        <v>0.02</v>
      </c>
      <c r="C202">
        <v>0.01</v>
      </c>
      <c r="D202">
        <v>4.5999999999999996</v>
      </c>
      <c r="E202">
        <v>0.04</v>
      </c>
      <c r="F202">
        <v>0.01</v>
      </c>
      <c r="G202" s="18">
        <v>9.9375812064899467</v>
      </c>
      <c r="H202">
        <v>9.94</v>
      </c>
      <c r="I202" s="18">
        <v>2.418793510052808E-3</v>
      </c>
      <c r="K202" s="9">
        <v>7</v>
      </c>
      <c r="L202" s="9" t="s">
        <v>49</v>
      </c>
      <c r="M202" s="9">
        <v>9.7899999999999991</v>
      </c>
      <c r="N202" s="9">
        <v>5.0999999999999996</v>
      </c>
      <c r="O202" s="9">
        <v>-0.06</v>
      </c>
      <c r="P202" s="9">
        <v>0.11</v>
      </c>
      <c r="Q202" s="9">
        <v>4.6500000000000004</v>
      </c>
      <c r="R202" s="9">
        <v>-0.02</v>
      </c>
      <c r="S202" s="9">
        <v>0.01</v>
      </c>
    </row>
    <row r="203" spans="1:19">
      <c r="A203">
        <v>5.32</v>
      </c>
      <c r="B203">
        <v>7.0000000000000007E-2</v>
      </c>
      <c r="C203">
        <v>-0.14000000000000001</v>
      </c>
      <c r="D203">
        <v>4.5999999999999996</v>
      </c>
      <c r="E203">
        <v>0.02</v>
      </c>
      <c r="F203">
        <v>0.01</v>
      </c>
      <c r="G203" s="18">
        <v>9.8764631358856221</v>
      </c>
      <c r="H203">
        <v>9.89</v>
      </c>
      <c r="I203" s="18">
        <v>1.3536864114378488E-2</v>
      </c>
      <c r="K203" s="9">
        <v>7</v>
      </c>
      <c r="L203" s="9" t="s">
        <v>51</v>
      </c>
      <c r="M203" s="9">
        <v>9.91</v>
      </c>
      <c r="N203" s="9">
        <v>4.46</v>
      </c>
      <c r="O203" s="9">
        <v>0.17</v>
      </c>
      <c r="P203" s="9">
        <v>0.63</v>
      </c>
      <c r="Q203" s="9">
        <v>4.6500000000000004</v>
      </c>
      <c r="R203" s="9">
        <v>-0.01</v>
      </c>
      <c r="S203" s="9">
        <v>0.01</v>
      </c>
    </row>
    <row r="204" spans="1:19">
      <c r="A204">
        <v>5.36</v>
      </c>
      <c r="B204">
        <v>0.06</v>
      </c>
      <c r="C204">
        <v>0.03</v>
      </c>
      <c r="D204">
        <v>4.5999999999999996</v>
      </c>
      <c r="E204">
        <v>0.06</v>
      </c>
      <c r="F204">
        <v>0.01</v>
      </c>
      <c r="G204" s="18">
        <v>10.117984841078068</v>
      </c>
      <c r="H204">
        <v>10.130000000000001</v>
      </c>
      <c r="I204" s="18">
        <v>1.2015158921933278E-2</v>
      </c>
      <c r="K204" s="9">
        <v>7</v>
      </c>
      <c r="L204" s="9" t="s">
        <v>53</v>
      </c>
      <c r="M204" s="9">
        <v>9.92</v>
      </c>
      <c r="N204" s="9">
        <v>5</v>
      </c>
      <c r="O204" s="9">
        <v>-0.06</v>
      </c>
      <c r="P204" s="9">
        <v>0.36</v>
      </c>
      <c r="Q204" s="9">
        <v>4.6500000000000004</v>
      </c>
      <c r="R204" s="9">
        <v>-0.04</v>
      </c>
      <c r="S204" s="9">
        <v>0.01</v>
      </c>
    </row>
    <row r="205" spans="1:19">
      <c r="A205">
        <v>5.39</v>
      </c>
      <c r="B205">
        <v>0.17</v>
      </c>
      <c r="C205">
        <v>0.13</v>
      </c>
      <c r="D205">
        <v>4.5999999999999996</v>
      </c>
      <c r="E205">
        <v>0.05</v>
      </c>
      <c r="F205">
        <v>0.01</v>
      </c>
      <c r="G205" s="18">
        <v>10.34993866140306</v>
      </c>
      <c r="H205">
        <v>10.34</v>
      </c>
      <c r="I205" s="18">
        <v>-9.9386614030603226E-3</v>
      </c>
      <c r="K205" s="9">
        <v>7</v>
      </c>
      <c r="L205" s="9" t="s">
        <v>55</v>
      </c>
      <c r="M205" s="9">
        <v>9.5500000000000007</v>
      </c>
      <c r="N205" s="9">
        <v>5.32</v>
      </c>
      <c r="O205" s="9">
        <v>-0.15</v>
      </c>
      <c r="P205" s="9">
        <v>-0.31</v>
      </c>
      <c r="Q205" s="9">
        <v>4.6500000000000004</v>
      </c>
      <c r="R205" s="9">
        <v>0.08</v>
      </c>
      <c r="S205" s="9">
        <v>-0.04</v>
      </c>
    </row>
    <row r="206" spans="1:19">
      <c r="A206">
        <v>5.56</v>
      </c>
      <c r="B206">
        <v>0.02</v>
      </c>
      <c r="C206">
        <v>-0.03</v>
      </c>
      <c r="D206">
        <v>4.5999999999999996</v>
      </c>
      <c r="E206">
        <v>0.01</v>
      </c>
      <c r="F206">
        <v>0.01</v>
      </c>
      <c r="G206" s="18">
        <v>10.169677206216875</v>
      </c>
      <c r="H206">
        <v>10.18</v>
      </c>
      <c r="I206" s="18">
        <v>1.0322793783124951E-2</v>
      </c>
      <c r="K206" s="9">
        <v>7</v>
      </c>
      <c r="L206" s="9" t="s">
        <v>57</v>
      </c>
      <c r="M206" s="9">
        <v>9.65</v>
      </c>
      <c r="N206" s="9">
        <v>4.95</v>
      </c>
      <c r="O206" s="9">
        <v>-7.0000000000000007E-2</v>
      </c>
      <c r="P206" s="9">
        <v>0.11</v>
      </c>
      <c r="Q206" s="9">
        <v>4.6500000000000004</v>
      </c>
      <c r="R206" s="9">
        <v>0.04</v>
      </c>
      <c r="S206" s="9">
        <v>-2.7E-2</v>
      </c>
    </row>
    <row r="207" spans="1:19">
      <c r="A207">
        <v>6</v>
      </c>
      <c r="B207">
        <v>-0.02</v>
      </c>
      <c r="C207">
        <v>-0.43</v>
      </c>
      <c r="D207">
        <v>4.5999999999999996</v>
      </c>
      <c r="E207">
        <v>0.09</v>
      </c>
      <c r="F207">
        <v>-2.3E-2</v>
      </c>
      <c r="G207" s="18">
        <v>10.209057210254926</v>
      </c>
      <c r="H207">
        <v>10.220000000000001</v>
      </c>
      <c r="I207" s="18">
        <v>1.0942789745074677E-2</v>
      </c>
      <c r="K207" s="9">
        <v>7</v>
      </c>
      <c r="L207" s="9" t="s">
        <v>58</v>
      </c>
      <c r="M207" s="9">
        <v>9.8800000000000008</v>
      </c>
      <c r="N207" s="9">
        <v>5.19</v>
      </c>
      <c r="O207" s="9">
        <v>-0.01</v>
      </c>
      <c r="P207" s="9">
        <v>0.04</v>
      </c>
      <c r="Q207" s="9">
        <v>4.6500000000000004</v>
      </c>
      <c r="R207" s="9">
        <v>0.01</v>
      </c>
      <c r="S207" s="9">
        <v>0.01</v>
      </c>
    </row>
    <row r="208" spans="1:19">
      <c r="A208">
        <v>6.03</v>
      </c>
      <c r="B208">
        <v>-0.06</v>
      </c>
      <c r="C208">
        <v>-0.5</v>
      </c>
      <c r="D208">
        <v>4.5999999999999996</v>
      </c>
      <c r="E208">
        <v>-0.08</v>
      </c>
      <c r="F208">
        <v>0.01</v>
      </c>
      <c r="G208" s="18">
        <v>9.9983852594373861</v>
      </c>
      <c r="H208">
        <v>10</v>
      </c>
      <c r="I208" s="18">
        <v>1.6147405626139033E-3</v>
      </c>
      <c r="K208" s="9">
        <v>7</v>
      </c>
      <c r="L208" s="9" t="s">
        <v>60</v>
      </c>
      <c r="M208" s="9">
        <v>9.94</v>
      </c>
      <c r="N208" s="9">
        <v>5.47</v>
      </c>
      <c r="O208" s="9">
        <v>-0.14000000000000001</v>
      </c>
      <c r="P208" s="9">
        <v>-0.04</v>
      </c>
      <c r="Q208" s="9">
        <v>4.6500000000000004</v>
      </c>
      <c r="R208" s="9">
        <v>-0.01</v>
      </c>
      <c r="S208" s="9">
        <v>0.01</v>
      </c>
    </row>
    <row r="209" spans="1:19">
      <c r="A209">
        <v>6.04</v>
      </c>
      <c r="B209">
        <v>-0.16</v>
      </c>
      <c r="C209">
        <v>-0.67</v>
      </c>
      <c r="D209">
        <v>4.5999999999999996</v>
      </c>
      <c r="E209">
        <v>-0.14000000000000001</v>
      </c>
      <c r="F209">
        <v>0.01</v>
      </c>
      <c r="G209" s="18">
        <v>9.6775858577776699</v>
      </c>
      <c r="H209">
        <v>9.68</v>
      </c>
      <c r="I209" s="18">
        <v>2.4141422223298292E-3</v>
      </c>
      <c r="K209" s="9">
        <v>7</v>
      </c>
      <c r="L209" s="9" t="s">
        <v>66</v>
      </c>
      <c r="M209" s="9">
        <v>9.89</v>
      </c>
      <c r="N209" s="9">
        <v>5.46</v>
      </c>
      <c r="O209" s="9">
        <v>-0.16</v>
      </c>
      <c r="P209" s="9">
        <v>-0.14000000000000001</v>
      </c>
      <c r="Q209" s="9">
        <v>4.6500000000000004</v>
      </c>
      <c r="R209" s="9">
        <v>0.06</v>
      </c>
      <c r="S209" s="9">
        <v>0.01</v>
      </c>
    </row>
    <row r="210" spans="1:19">
      <c r="A210">
        <v>6.36</v>
      </c>
      <c r="B210">
        <v>-0.28999999999999998</v>
      </c>
      <c r="C210">
        <v>-0.55000000000000004</v>
      </c>
      <c r="D210">
        <v>4.5999999999999996</v>
      </c>
      <c r="E210">
        <v>-0.13</v>
      </c>
      <c r="F210">
        <v>-0.08</v>
      </c>
      <c r="G210" s="18">
        <v>9.9036540252963743</v>
      </c>
      <c r="H210">
        <v>9.92</v>
      </c>
      <c r="I210" s="18">
        <v>1.6345974703625643E-2</v>
      </c>
      <c r="K210" s="9">
        <v>7</v>
      </c>
      <c r="L210" s="9" t="s">
        <v>67</v>
      </c>
      <c r="M210" s="9">
        <v>9.69</v>
      </c>
      <c r="N210" s="9">
        <v>5.27</v>
      </c>
      <c r="O210" s="9">
        <v>-0.08</v>
      </c>
      <c r="P210" s="9">
        <v>-0.17</v>
      </c>
      <c r="Q210" s="9">
        <v>4.6500000000000004</v>
      </c>
      <c r="R210" s="9">
        <v>0.08</v>
      </c>
      <c r="S210" s="9">
        <v>-6.7000000000000004E-2</v>
      </c>
    </row>
    <row r="211" spans="1:19">
      <c r="A211">
        <v>5.65</v>
      </c>
      <c r="B211">
        <v>0.06</v>
      </c>
      <c r="C211">
        <v>-0.2</v>
      </c>
      <c r="D211">
        <v>4.5999999999999996</v>
      </c>
      <c r="E211">
        <v>-0.11</v>
      </c>
      <c r="F211">
        <v>0.01</v>
      </c>
      <c r="G211" s="18">
        <v>10.011121374511623</v>
      </c>
      <c r="H211">
        <v>10.02</v>
      </c>
      <c r="I211" s="18">
        <v>8.8786254883768123E-3</v>
      </c>
      <c r="K211" s="9">
        <v>7</v>
      </c>
      <c r="L211" s="9" t="s">
        <v>69</v>
      </c>
      <c r="M211" s="9">
        <v>9.93</v>
      </c>
      <c r="N211" s="9">
        <v>5.39</v>
      </c>
      <c r="O211" s="9">
        <v>0</v>
      </c>
      <c r="P211" s="9">
        <v>-0.1</v>
      </c>
      <c r="Q211" s="9">
        <v>4.6500000000000004</v>
      </c>
      <c r="R211" s="9">
        <v>7.0000000000000007E-2</v>
      </c>
      <c r="S211" s="9">
        <v>-7.9000000000000001E-2</v>
      </c>
    </row>
    <row r="212" spans="1:19">
      <c r="A212">
        <v>5.5</v>
      </c>
      <c r="B212">
        <v>0.04</v>
      </c>
      <c r="C212">
        <v>-0.15</v>
      </c>
      <c r="D212">
        <v>4.5999999999999996</v>
      </c>
      <c r="E212">
        <v>-0.06</v>
      </c>
      <c r="F212">
        <v>0.01</v>
      </c>
      <c r="G212" s="18">
        <v>9.939534102167519</v>
      </c>
      <c r="H212">
        <v>9.9499999999999993</v>
      </c>
      <c r="I212" s="18">
        <v>1.0465897832480309E-2</v>
      </c>
      <c r="K212" s="9">
        <v>7</v>
      </c>
      <c r="L212" s="9" t="s">
        <v>71</v>
      </c>
      <c r="M212" s="9">
        <v>9.8000000000000007</v>
      </c>
      <c r="N212" s="9">
        <v>5.07</v>
      </c>
      <c r="O212" s="9">
        <v>-0.04</v>
      </c>
      <c r="P212" s="9">
        <v>0.08</v>
      </c>
      <c r="Q212" s="9">
        <v>4.6500000000000004</v>
      </c>
      <c r="R212" s="9">
        <v>0.03</v>
      </c>
      <c r="S212" s="9">
        <v>0.01</v>
      </c>
    </row>
    <row r="213" spans="1:19">
      <c r="A213">
        <v>5.87</v>
      </c>
      <c r="B213">
        <v>-0.17</v>
      </c>
      <c r="C213">
        <v>-0.11</v>
      </c>
      <c r="D213">
        <v>4.5999999999999996</v>
      </c>
      <c r="E213">
        <v>0</v>
      </c>
      <c r="F213">
        <v>0.01</v>
      </c>
      <c r="G213" s="18">
        <v>10.20054308079777</v>
      </c>
      <c r="H213">
        <v>10.199999999999999</v>
      </c>
      <c r="I213" s="18">
        <v>-5.4308079777065643E-4</v>
      </c>
      <c r="K213" s="9">
        <v>7</v>
      </c>
      <c r="L213" s="9" t="s">
        <v>72</v>
      </c>
      <c r="M213" s="9">
        <v>10.029999999999999</v>
      </c>
      <c r="N213" s="9">
        <v>4.92</v>
      </c>
      <c r="O213" s="9">
        <v>0.19</v>
      </c>
      <c r="P213" s="9">
        <v>0.23</v>
      </c>
      <c r="Q213" s="9">
        <v>4.6500000000000004</v>
      </c>
      <c r="R213" s="9">
        <v>0.04</v>
      </c>
      <c r="S213" s="9">
        <v>0.01</v>
      </c>
    </row>
    <row r="214" spans="1:19">
      <c r="A214">
        <v>6.16</v>
      </c>
      <c r="B214">
        <v>-0.11</v>
      </c>
      <c r="C214">
        <v>-0.36</v>
      </c>
      <c r="D214">
        <v>4.5999999999999996</v>
      </c>
      <c r="E214">
        <v>-0.11</v>
      </c>
      <c r="F214">
        <v>0.01</v>
      </c>
      <c r="G214" s="18">
        <v>10.191868984676077</v>
      </c>
      <c r="H214">
        <v>10.19</v>
      </c>
      <c r="I214" s="18">
        <v>-1.8689846760775453E-3</v>
      </c>
      <c r="K214" s="9">
        <v>7</v>
      </c>
      <c r="L214" s="9" t="s">
        <v>74</v>
      </c>
      <c r="M214" s="9">
        <v>9.99</v>
      </c>
      <c r="N214" s="9">
        <v>5.22</v>
      </c>
      <c r="O214" s="9">
        <v>0.02</v>
      </c>
      <c r="P214" s="9">
        <v>0.01</v>
      </c>
      <c r="Q214" s="9">
        <v>4.6500000000000004</v>
      </c>
      <c r="R214" s="9">
        <v>0.08</v>
      </c>
      <c r="S214" s="9">
        <v>0.01</v>
      </c>
    </row>
    <row r="215" spans="1:19">
      <c r="A215">
        <v>6.16</v>
      </c>
      <c r="B215">
        <v>-0.06</v>
      </c>
      <c r="C215">
        <v>-0.36</v>
      </c>
      <c r="D215">
        <v>4.5999999999999996</v>
      </c>
      <c r="E215">
        <v>-0.02</v>
      </c>
      <c r="F215">
        <v>0.01</v>
      </c>
      <c r="G215" s="18">
        <v>10.329524795965749</v>
      </c>
      <c r="H215">
        <v>10.33</v>
      </c>
      <c r="I215" s="18">
        <v>4.752040342506092E-4</v>
      </c>
      <c r="K215" s="9">
        <v>7</v>
      </c>
      <c r="L215" s="9" t="s">
        <v>75</v>
      </c>
      <c r="M215" s="9">
        <v>9.9700000000000006</v>
      </c>
      <c r="N215" s="9">
        <v>5.28</v>
      </c>
      <c r="O215" s="9">
        <v>0.08</v>
      </c>
      <c r="P215" s="9">
        <v>-0.14000000000000001</v>
      </c>
      <c r="Q215" s="9">
        <v>4.6500000000000004</v>
      </c>
      <c r="R215" s="9">
        <v>0.08</v>
      </c>
      <c r="S215" s="9">
        <v>0.01</v>
      </c>
    </row>
    <row r="216" spans="1:19">
      <c r="A216">
        <v>5.97</v>
      </c>
      <c r="B216">
        <v>0</v>
      </c>
      <c r="C216">
        <v>-0.47</v>
      </c>
      <c r="D216">
        <v>4.5999999999999996</v>
      </c>
      <c r="E216">
        <v>-0.08</v>
      </c>
      <c r="F216">
        <v>0.01</v>
      </c>
      <c r="G216" s="18">
        <v>10.028495179595323</v>
      </c>
      <c r="H216">
        <v>10.029999999999999</v>
      </c>
      <c r="I216" s="18">
        <v>1.5048204046763658E-3</v>
      </c>
      <c r="K216" s="9">
        <v>7</v>
      </c>
      <c r="L216" s="9" t="s">
        <v>79</v>
      </c>
      <c r="M216" s="9">
        <v>10.029999999999999</v>
      </c>
      <c r="N216" s="9">
        <v>5.28</v>
      </c>
      <c r="O216" s="9">
        <v>7.0000000000000007E-2</v>
      </c>
      <c r="P216" s="9">
        <v>0.04</v>
      </c>
      <c r="Q216" s="9">
        <v>4.6500000000000004</v>
      </c>
      <c r="R216" s="9">
        <v>-0.03</v>
      </c>
      <c r="S216" s="9">
        <v>0.01</v>
      </c>
    </row>
    <row r="217" spans="1:19">
      <c r="A217">
        <v>6.04</v>
      </c>
      <c r="B217">
        <v>-0.16</v>
      </c>
      <c r="C217">
        <v>-0.4</v>
      </c>
      <c r="D217">
        <v>4.5999999999999996</v>
      </c>
      <c r="E217">
        <v>-0.2</v>
      </c>
      <c r="F217">
        <v>0.01</v>
      </c>
      <c r="G217" s="18">
        <v>9.8929198453792804</v>
      </c>
      <c r="H217">
        <v>9.89</v>
      </c>
      <c r="I217" s="18">
        <v>-2.9198453792798063E-3</v>
      </c>
      <c r="K217" s="9">
        <v>7</v>
      </c>
      <c r="L217" s="9" t="s">
        <v>80</v>
      </c>
      <c r="M217" s="9">
        <v>10.24</v>
      </c>
      <c r="N217" s="9">
        <v>5.32</v>
      </c>
      <c r="O217" s="9">
        <v>0.16</v>
      </c>
      <c r="P217" s="9">
        <v>0.12</v>
      </c>
      <c r="Q217" s="9">
        <v>4.6500000000000004</v>
      </c>
      <c r="R217" s="9">
        <v>-0.02</v>
      </c>
      <c r="S217" s="9">
        <v>0.01</v>
      </c>
    </row>
    <row r="218" spans="1:19">
      <c r="A218">
        <v>5.99</v>
      </c>
      <c r="B218">
        <v>0.04</v>
      </c>
      <c r="C218">
        <v>-0.3</v>
      </c>
      <c r="D218">
        <v>4.5999999999999996</v>
      </c>
      <c r="E218">
        <v>0.06</v>
      </c>
      <c r="F218">
        <v>-4.4999999999999998E-2</v>
      </c>
      <c r="G218" s="18">
        <v>10.337908506007581</v>
      </c>
      <c r="H218">
        <v>10.35</v>
      </c>
      <c r="I218" s="18">
        <v>1.2091493992418378E-2</v>
      </c>
      <c r="K218" s="9">
        <v>7</v>
      </c>
      <c r="L218" s="9" t="s">
        <v>81</v>
      </c>
      <c r="M218" s="9">
        <v>10.16</v>
      </c>
      <c r="N218" s="9">
        <v>5.52</v>
      </c>
      <c r="O218" s="9">
        <v>0.02</v>
      </c>
      <c r="P218" s="9">
        <v>-0.03</v>
      </c>
      <c r="Q218" s="9">
        <v>4.6500000000000004</v>
      </c>
      <c r="R218" s="9">
        <v>-0.02</v>
      </c>
      <c r="S218" s="9">
        <v>0.01</v>
      </c>
    </row>
    <row r="219" spans="1:19">
      <c r="A219">
        <v>7.07</v>
      </c>
      <c r="B219">
        <v>-0.2</v>
      </c>
      <c r="C219">
        <v>-0.71</v>
      </c>
      <c r="D219">
        <v>4.5999999999999996</v>
      </c>
      <c r="E219">
        <v>-0.16</v>
      </c>
      <c r="F219">
        <v>-0.187</v>
      </c>
      <c r="G219" s="18">
        <v>10.401205366768638</v>
      </c>
      <c r="H219">
        <v>10.42</v>
      </c>
      <c r="I219" s="18">
        <v>1.8794633231362212E-2</v>
      </c>
      <c r="K219" s="9">
        <v>7</v>
      </c>
      <c r="L219" s="9" t="s">
        <v>82</v>
      </c>
      <c r="M219" s="9">
        <v>10.02</v>
      </c>
      <c r="N219" s="9">
        <v>5.88</v>
      </c>
      <c r="O219" s="9">
        <v>-0.02</v>
      </c>
      <c r="P219" s="9">
        <v>-0.43</v>
      </c>
      <c r="Q219" s="9">
        <v>4.6500000000000004</v>
      </c>
      <c r="R219" s="9">
        <v>-0.06</v>
      </c>
      <c r="S219" s="9">
        <v>1E-3</v>
      </c>
    </row>
    <row r="220" spans="1:19">
      <c r="A220">
        <v>6.71</v>
      </c>
      <c r="B220">
        <v>-0.24</v>
      </c>
      <c r="C220">
        <v>-0.79</v>
      </c>
      <c r="D220">
        <v>4.5999999999999996</v>
      </c>
      <c r="E220">
        <v>-0.1</v>
      </c>
      <c r="F220">
        <v>0</v>
      </c>
      <c r="G220" s="18">
        <v>10.178109551328452</v>
      </c>
      <c r="H220">
        <v>10.17</v>
      </c>
      <c r="I220" s="18">
        <v>-8.109551328452369E-3</v>
      </c>
      <c r="K220" s="9">
        <v>7</v>
      </c>
      <c r="L220" s="9" t="s">
        <v>83</v>
      </c>
      <c r="M220" s="9">
        <v>10.19</v>
      </c>
      <c r="N220" s="9">
        <v>6.06</v>
      </c>
      <c r="O220" s="9">
        <v>-0.08</v>
      </c>
      <c r="P220" s="9">
        <v>-0.52</v>
      </c>
      <c r="Q220" s="9">
        <v>4.6500000000000004</v>
      </c>
      <c r="R220" s="9">
        <v>0.08</v>
      </c>
      <c r="S220" s="9">
        <v>-1E-3</v>
      </c>
    </row>
    <row r="221" spans="1:19">
      <c r="A221">
        <v>6.46</v>
      </c>
      <c r="B221">
        <v>-0.1</v>
      </c>
      <c r="C221">
        <v>-0.61</v>
      </c>
      <c r="D221">
        <v>4.5999999999999996</v>
      </c>
      <c r="E221">
        <v>-0.05</v>
      </c>
      <c r="F221">
        <v>2E-3</v>
      </c>
      <c r="G221" s="18">
        <v>10.30003614812412</v>
      </c>
      <c r="H221">
        <v>10.3</v>
      </c>
      <c r="I221" s="18">
        <v>-3.6148124118895453E-5</v>
      </c>
      <c r="K221" s="9">
        <v>7</v>
      </c>
      <c r="L221" s="9" t="s">
        <v>84</v>
      </c>
      <c r="M221" s="9">
        <v>9.93</v>
      </c>
      <c r="N221" s="9">
        <v>6.09</v>
      </c>
      <c r="O221" s="9">
        <v>-0.16</v>
      </c>
      <c r="P221" s="9">
        <v>-0.67</v>
      </c>
      <c r="Q221" s="9">
        <v>4.6500000000000004</v>
      </c>
      <c r="R221" s="9">
        <v>0</v>
      </c>
      <c r="S221" s="9">
        <v>0.01</v>
      </c>
    </row>
    <row r="222" spans="1:19">
      <c r="A222">
        <v>6.54</v>
      </c>
      <c r="B222">
        <v>-0.22</v>
      </c>
      <c r="C222">
        <v>-0.6</v>
      </c>
      <c r="D222">
        <v>4.5999999999999996</v>
      </c>
      <c r="E222">
        <v>-0.08</v>
      </c>
      <c r="F222">
        <v>0.01</v>
      </c>
      <c r="G222" s="18">
        <v>10.24997371688235</v>
      </c>
      <c r="H222">
        <v>10.25</v>
      </c>
      <c r="I222" s="18">
        <v>2.628311765029423E-5</v>
      </c>
      <c r="K222" s="9">
        <v>7</v>
      </c>
      <c r="L222" s="9" t="s">
        <v>85</v>
      </c>
      <c r="M222" s="9">
        <v>9.94</v>
      </c>
      <c r="N222" s="9">
        <v>6.24</v>
      </c>
      <c r="O222" s="9">
        <v>-0.27</v>
      </c>
      <c r="P222" s="9">
        <v>-0.52</v>
      </c>
      <c r="Q222" s="9">
        <v>4.6500000000000004</v>
      </c>
      <c r="R222" s="9">
        <v>-0.06</v>
      </c>
      <c r="S222" s="9">
        <v>-0.106</v>
      </c>
    </row>
    <row r="223" spans="1:19">
      <c r="A223">
        <v>6.24</v>
      </c>
      <c r="B223">
        <v>-0.12</v>
      </c>
      <c r="C223">
        <v>-0.76</v>
      </c>
      <c r="D223">
        <v>4.5999999999999996</v>
      </c>
      <c r="E223">
        <v>-0.08</v>
      </c>
      <c r="F223">
        <v>-2.8000000000000001E-2</v>
      </c>
      <c r="G223" s="18">
        <v>9.8449962118355643</v>
      </c>
      <c r="H223">
        <v>9.85</v>
      </c>
      <c r="I223" s="18">
        <v>5.0037881644353632E-3</v>
      </c>
      <c r="K223" s="9">
        <v>7</v>
      </c>
      <c r="L223" s="9" t="s">
        <v>86</v>
      </c>
      <c r="M223" s="9">
        <v>10.17</v>
      </c>
      <c r="N223" s="9">
        <v>5.66</v>
      </c>
      <c r="O223" s="9">
        <v>0.06</v>
      </c>
      <c r="P223" s="9">
        <v>-0.23</v>
      </c>
      <c r="Q223" s="9">
        <v>4.6500000000000004</v>
      </c>
      <c r="R223" s="9">
        <v>0.01</v>
      </c>
      <c r="S223" s="9">
        <v>0.01</v>
      </c>
    </row>
    <row r="224" spans="1:19">
      <c r="A224">
        <v>6.7</v>
      </c>
      <c r="B224">
        <v>-0.09</v>
      </c>
      <c r="C224">
        <v>-0.9</v>
      </c>
      <c r="D224">
        <v>4.5999999999999996</v>
      </c>
      <c r="E224">
        <v>-0.13</v>
      </c>
      <c r="F224">
        <v>-5.1999999999999998E-2</v>
      </c>
      <c r="G224" s="18">
        <v>10.121352024969966</v>
      </c>
      <c r="H224">
        <v>10.130000000000001</v>
      </c>
      <c r="I224" s="18">
        <v>8.6479750300352265E-3</v>
      </c>
      <c r="K224" s="9">
        <v>7</v>
      </c>
      <c r="L224" s="9" t="s">
        <v>88</v>
      </c>
      <c r="M224" s="9">
        <v>9.9700000000000006</v>
      </c>
      <c r="N224" s="9">
        <v>5.41</v>
      </c>
      <c r="O224" s="9">
        <v>0.04</v>
      </c>
      <c r="P224" s="9">
        <v>-0.14000000000000001</v>
      </c>
      <c r="Q224" s="9">
        <v>4.6500000000000004</v>
      </c>
      <c r="R224" s="9">
        <v>0</v>
      </c>
      <c r="S224" s="9">
        <v>0.01</v>
      </c>
    </row>
    <row r="225" spans="1:19">
      <c r="A225">
        <v>6.59</v>
      </c>
      <c r="B225">
        <v>0.17</v>
      </c>
      <c r="C225">
        <v>-1.58</v>
      </c>
      <c r="D225">
        <v>4.5999999999999996</v>
      </c>
      <c r="E225">
        <v>-0.27</v>
      </c>
      <c r="F225">
        <v>0.01</v>
      </c>
      <c r="G225" s="18">
        <v>9.5122096388931947</v>
      </c>
      <c r="H225">
        <v>9.52</v>
      </c>
      <c r="I225" s="18">
        <v>7.7903611068048662E-3</v>
      </c>
      <c r="K225" s="9">
        <v>7</v>
      </c>
      <c r="L225" s="9" t="s">
        <v>89</v>
      </c>
      <c r="M225" s="9">
        <v>10.36</v>
      </c>
      <c r="N225" s="9">
        <v>5.83</v>
      </c>
      <c r="O225" s="9">
        <v>-0.17</v>
      </c>
      <c r="P225" s="9">
        <v>-0.1</v>
      </c>
      <c r="Q225" s="9">
        <v>4.6500000000000004</v>
      </c>
      <c r="R225" s="9">
        <v>0.14000000000000001</v>
      </c>
      <c r="S225" s="9">
        <v>0.01</v>
      </c>
    </row>
    <row r="226" spans="1:19">
      <c r="A226">
        <v>6.21</v>
      </c>
      <c r="B226">
        <v>-0.33</v>
      </c>
      <c r="C226">
        <v>-0.22</v>
      </c>
      <c r="D226">
        <v>4.6500000000000004</v>
      </c>
      <c r="E226">
        <v>-0.02</v>
      </c>
      <c r="F226">
        <v>0.01</v>
      </c>
      <c r="G226" s="18">
        <v>10.304239429344518</v>
      </c>
      <c r="H226">
        <v>10.31</v>
      </c>
      <c r="I226" s="18">
        <v>5.760570655482411E-3</v>
      </c>
      <c r="K226" s="9">
        <v>7</v>
      </c>
      <c r="L226" s="9" t="s">
        <v>90</v>
      </c>
      <c r="M226" s="9">
        <v>10.47</v>
      </c>
      <c r="N226" s="9">
        <v>6.2</v>
      </c>
      <c r="O226" s="9">
        <v>-0.11</v>
      </c>
      <c r="P226" s="9">
        <v>-0.36</v>
      </c>
      <c r="Q226" s="9">
        <v>4.6500000000000004</v>
      </c>
      <c r="R226" s="9">
        <v>0.11</v>
      </c>
      <c r="S226" s="9">
        <v>-2.5000000000000001E-2</v>
      </c>
    </row>
    <row r="227" spans="1:19">
      <c r="A227">
        <v>6.35</v>
      </c>
      <c r="B227">
        <v>-0.37</v>
      </c>
      <c r="C227">
        <v>-0.79</v>
      </c>
      <c r="D227">
        <v>4.6500000000000004</v>
      </c>
      <c r="E227">
        <v>-0.01</v>
      </c>
      <c r="F227">
        <v>7.0000000000000001E-3</v>
      </c>
      <c r="G227" s="18">
        <v>9.8336690886563289</v>
      </c>
      <c r="H227">
        <v>9.85</v>
      </c>
      <c r="I227" s="18">
        <v>1.6330911343670707E-2</v>
      </c>
      <c r="K227" s="9">
        <v>7</v>
      </c>
      <c r="L227" s="9" t="s">
        <v>91</v>
      </c>
      <c r="M227" s="9">
        <v>10.210000000000001</v>
      </c>
      <c r="N227" s="9">
        <v>5.99</v>
      </c>
      <c r="O227" s="9">
        <v>-0.05</v>
      </c>
      <c r="P227" s="9">
        <v>-0.35</v>
      </c>
      <c r="Q227" s="9">
        <v>4.6500000000000004</v>
      </c>
      <c r="R227" s="9">
        <v>-0.04</v>
      </c>
      <c r="S227" s="9">
        <v>0.01</v>
      </c>
    </row>
    <row r="228" spans="1:19">
      <c r="A228">
        <v>5.99</v>
      </c>
      <c r="B228">
        <v>-0.35</v>
      </c>
      <c r="C228">
        <v>-0.62</v>
      </c>
      <c r="D228">
        <v>4.6500000000000004</v>
      </c>
      <c r="E228">
        <v>-7.0000000000000007E-2</v>
      </c>
      <c r="F228">
        <v>0.01</v>
      </c>
      <c r="G228" s="18">
        <v>9.6086600028036173</v>
      </c>
      <c r="H228">
        <v>9.6199999999999992</v>
      </c>
      <c r="I228" s="18">
        <v>1.1339997196381901E-2</v>
      </c>
      <c r="K228" s="9">
        <v>7</v>
      </c>
      <c r="L228" s="9" t="s">
        <v>92</v>
      </c>
      <c r="M228" s="9">
        <v>10.18</v>
      </c>
      <c r="N228" s="9">
        <v>5.95</v>
      </c>
      <c r="O228" s="9">
        <v>-0.01</v>
      </c>
      <c r="P228" s="9">
        <v>-0.47</v>
      </c>
      <c r="Q228" s="9">
        <v>4.6500000000000004</v>
      </c>
      <c r="R228" s="9">
        <v>0.05</v>
      </c>
      <c r="S228" s="9">
        <v>0.01</v>
      </c>
    </row>
    <row r="229" spans="1:19">
      <c r="A229">
        <v>5.91</v>
      </c>
      <c r="B229">
        <v>-0.16</v>
      </c>
      <c r="C229">
        <v>-0.33</v>
      </c>
      <c r="D229">
        <v>4.6500000000000004</v>
      </c>
      <c r="E229">
        <v>0.03</v>
      </c>
      <c r="F229">
        <v>0.01</v>
      </c>
      <c r="G229" s="18">
        <v>10.109719258540727</v>
      </c>
      <c r="H229">
        <v>10.11</v>
      </c>
      <c r="I229" s="18">
        <v>2.8074145927270422E-4</v>
      </c>
      <c r="K229" s="9">
        <v>7</v>
      </c>
      <c r="L229" s="9" t="s">
        <v>93</v>
      </c>
      <c r="M229" s="9">
        <v>10.130000000000001</v>
      </c>
      <c r="N229" s="9">
        <v>6.03</v>
      </c>
      <c r="O229" s="9">
        <v>-0.17</v>
      </c>
      <c r="P229" s="9">
        <v>-0.39</v>
      </c>
      <c r="Q229" s="9">
        <v>4.6500000000000004</v>
      </c>
      <c r="R229" s="9">
        <v>-0.01</v>
      </c>
      <c r="S229" s="9">
        <v>0.01</v>
      </c>
    </row>
    <row r="230" spans="1:19">
      <c r="A230">
        <v>6.72</v>
      </c>
      <c r="B230">
        <v>-0.63</v>
      </c>
      <c r="C230">
        <v>-0.72</v>
      </c>
      <c r="D230">
        <v>4.6500000000000004</v>
      </c>
      <c r="E230">
        <v>-0.01</v>
      </c>
      <c r="F230">
        <v>0</v>
      </c>
      <c r="G230" s="18">
        <v>10.009081110438014</v>
      </c>
      <c r="H230">
        <v>10.01</v>
      </c>
      <c r="I230" s="18">
        <v>9.1888956198538096E-4</v>
      </c>
      <c r="K230" s="9">
        <v>7</v>
      </c>
      <c r="L230" s="9" t="s">
        <v>94</v>
      </c>
      <c r="M230" s="9">
        <v>10.31</v>
      </c>
      <c r="N230" s="9">
        <v>5.9</v>
      </c>
      <c r="O230" s="9">
        <v>0.04</v>
      </c>
      <c r="P230" s="9">
        <v>-0.28999999999999998</v>
      </c>
      <c r="Q230" s="9">
        <v>4.6500000000000004</v>
      </c>
      <c r="R230" s="9">
        <v>0</v>
      </c>
      <c r="S230" s="9">
        <v>0.01</v>
      </c>
    </row>
    <row r="231" spans="1:19">
      <c r="A231">
        <v>6.12</v>
      </c>
      <c r="B231">
        <v>-0.31</v>
      </c>
      <c r="C231">
        <v>-0.49</v>
      </c>
      <c r="D231">
        <v>4.6500000000000004</v>
      </c>
      <c r="E231">
        <v>-0.06</v>
      </c>
      <c r="F231">
        <v>-0.14799999999999999</v>
      </c>
      <c r="G231" s="18">
        <v>9.7504704081925766</v>
      </c>
      <c r="H231">
        <v>9.75</v>
      </c>
      <c r="I231" s="18">
        <v>-4.7040819257659905E-4</v>
      </c>
      <c r="K231" s="9">
        <v>7</v>
      </c>
      <c r="L231" s="9" t="s">
        <v>95</v>
      </c>
      <c r="M231" s="9">
        <v>10.78</v>
      </c>
      <c r="N231" s="9">
        <v>6.93</v>
      </c>
      <c r="O231" s="9">
        <v>-0.19</v>
      </c>
      <c r="P231" s="9">
        <v>-0.68</v>
      </c>
      <c r="Q231" s="9">
        <v>4.6500000000000004</v>
      </c>
      <c r="R231" s="9">
        <v>0.06</v>
      </c>
      <c r="S231" s="9">
        <v>0.01</v>
      </c>
    </row>
    <row r="232" spans="1:19">
      <c r="A232">
        <v>5.43</v>
      </c>
      <c r="B232">
        <v>-0.2</v>
      </c>
      <c r="C232">
        <v>-0.28000000000000003</v>
      </c>
      <c r="D232">
        <v>4.6500000000000004</v>
      </c>
      <c r="E232">
        <v>0.01</v>
      </c>
      <c r="F232">
        <v>0.01</v>
      </c>
      <c r="G232" s="18">
        <v>9.6179407462501629</v>
      </c>
      <c r="H232">
        <v>9.6199999999999992</v>
      </c>
      <c r="I232" s="18">
        <v>2.0592537498362873E-3</v>
      </c>
      <c r="K232" s="9">
        <v>7</v>
      </c>
      <c r="L232" s="9" t="s">
        <v>96</v>
      </c>
      <c r="M232" s="9">
        <v>10.41</v>
      </c>
      <c r="N232" s="9">
        <v>6.7</v>
      </c>
      <c r="O232" s="9">
        <v>-0.27</v>
      </c>
      <c r="P232" s="9">
        <v>-0.76</v>
      </c>
      <c r="Q232" s="9">
        <v>4.6500000000000004</v>
      </c>
      <c r="R232" s="9">
        <v>7.0000000000000007E-2</v>
      </c>
      <c r="S232" s="9">
        <v>0.01</v>
      </c>
    </row>
    <row r="233" spans="1:19">
      <c r="A233">
        <v>5.07</v>
      </c>
      <c r="B233">
        <v>-0.04</v>
      </c>
      <c r="C233">
        <v>0.02</v>
      </c>
      <c r="D233">
        <v>4.6500000000000004</v>
      </c>
      <c r="E233">
        <v>-0.04</v>
      </c>
      <c r="F233">
        <v>0.01</v>
      </c>
      <c r="G233" s="18">
        <v>9.6713763982752887</v>
      </c>
      <c r="H233">
        <v>9.67</v>
      </c>
      <c r="I233" s="18">
        <v>-1.3763982752887927E-3</v>
      </c>
      <c r="K233" s="9">
        <v>7</v>
      </c>
      <c r="L233" s="9" t="s">
        <v>97</v>
      </c>
      <c r="M233" s="9">
        <v>10.119999999999999</v>
      </c>
      <c r="N233" s="9">
        <v>6.34</v>
      </c>
      <c r="O233" s="9">
        <v>-0.1</v>
      </c>
      <c r="P233" s="9">
        <v>-0.6</v>
      </c>
      <c r="Q233" s="9">
        <v>4.6500000000000004</v>
      </c>
      <c r="R233" s="9">
        <v>-0.03</v>
      </c>
      <c r="S233" s="9">
        <v>-0.13700000000000001</v>
      </c>
    </row>
    <row r="234" spans="1:19">
      <c r="A234">
        <v>5.38</v>
      </c>
      <c r="B234">
        <v>-0.08</v>
      </c>
      <c r="C234">
        <v>-0.09</v>
      </c>
      <c r="D234">
        <v>4.6500000000000004</v>
      </c>
      <c r="E234">
        <v>-0.06</v>
      </c>
      <c r="F234">
        <v>0.01</v>
      </c>
      <c r="G234" s="18">
        <v>9.812255957308663</v>
      </c>
      <c r="H234">
        <v>9.82</v>
      </c>
      <c r="I234" s="18">
        <v>7.7440426913373273E-3</v>
      </c>
      <c r="K234" s="9">
        <v>7</v>
      </c>
      <c r="L234" s="9" t="s">
        <v>98</v>
      </c>
      <c r="M234" s="9">
        <v>10.25</v>
      </c>
      <c r="N234" s="9">
        <v>6.41</v>
      </c>
      <c r="O234" s="9">
        <v>-0.22</v>
      </c>
      <c r="P234" s="9">
        <v>-0.56999999999999995</v>
      </c>
      <c r="Q234" s="9">
        <v>4.6500000000000004</v>
      </c>
      <c r="R234" s="9">
        <v>0.02</v>
      </c>
      <c r="S234" s="9">
        <v>-4.8000000000000001E-2</v>
      </c>
    </row>
    <row r="235" spans="1:19">
      <c r="A235">
        <v>5.2</v>
      </c>
      <c r="B235">
        <v>-0.02</v>
      </c>
      <c r="C235">
        <v>-0.08</v>
      </c>
      <c r="D235">
        <v>4.6500000000000004</v>
      </c>
      <c r="E235">
        <v>0.01</v>
      </c>
      <c r="F235">
        <v>0.01</v>
      </c>
      <c r="G235" s="18">
        <v>9.7694839101814139</v>
      </c>
      <c r="H235">
        <v>9.77</v>
      </c>
      <c r="I235" s="18">
        <v>5.1608981858564107E-4</v>
      </c>
      <c r="K235" s="9">
        <v>7</v>
      </c>
      <c r="L235" s="9" t="s">
        <v>99</v>
      </c>
      <c r="M235" s="9">
        <v>10.09</v>
      </c>
      <c r="N235" s="9">
        <v>6.21</v>
      </c>
      <c r="O235" s="9">
        <v>-0.13</v>
      </c>
      <c r="P235" s="9">
        <v>-0.75</v>
      </c>
      <c r="Q235" s="9">
        <v>4.6500000000000004</v>
      </c>
      <c r="R235" s="9">
        <v>0.15</v>
      </c>
      <c r="S235" s="9">
        <v>-4.8000000000000001E-2</v>
      </c>
    </row>
    <row r="236" spans="1:19">
      <c r="A236">
        <v>5.0199999999999996</v>
      </c>
      <c r="B236">
        <v>-0.01</v>
      </c>
      <c r="C236">
        <v>0.11</v>
      </c>
      <c r="D236">
        <v>4.6500000000000004</v>
      </c>
      <c r="E236">
        <v>-0.02</v>
      </c>
      <c r="F236">
        <v>0.01</v>
      </c>
      <c r="G236" s="18">
        <v>9.7618126220703729</v>
      </c>
      <c r="H236">
        <v>9.76</v>
      </c>
      <c r="I236" s="18">
        <v>-1.8126220703731377E-3</v>
      </c>
      <c r="K236" s="9">
        <v>7</v>
      </c>
      <c r="L236" s="9" t="s">
        <v>100</v>
      </c>
      <c r="M236" s="9">
        <v>10.31</v>
      </c>
      <c r="N236" s="9">
        <v>6.65</v>
      </c>
      <c r="O236" s="9">
        <v>-0.12</v>
      </c>
      <c r="P236" s="9">
        <v>-0.9</v>
      </c>
      <c r="Q236" s="9">
        <v>4.6500000000000004</v>
      </c>
      <c r="R236" s="9">
        <v>0.01</v>
      </c>
      <c r="S236" s="9">
        <v>0.01</v>
      </c>
    </row>
    <row r="237" spans="1:19">
      <c r="A237">
        <v>5.0999999999999996</v>
      </c>
      <c r="B237">
        <v>-0.06</v>
      </c>
      <c r="C237">
        <v>0.11</v>
      </c>
      <c r="D237">
        <v>4.6500000000000004</v>
      </c>
      <c r="E237">
        <v>-0.02</v>
      </c>
      <c r="F237">
        <v>0.01</v>
      </c>
      <c r="G237" s="18">
        <v>9.7922518619819066</v>
      </c>
      <c r="H237">
        <v>9.7899999999999991</v>
      </c>
      <c r="I237" s="18">
        <v>-2.2518619819074104E-3</v>
      </c>
      <c r="K237" s="9">
        <v>7</v>
      </c>
      <c r="L237" s="9" t="s">
        <v>101</v>
      </c>
      <c r="M237" s="9">
        <v>9.44</v>
      </c>
      <c r="N237" s="9">
        <v>6.41</v>
      </c>
      <c r="O237" s="9">
        <v>0.11</v>
      </c>
      <c r="P237" s="9">
        <v>-1.48</v>
      </c>
      <c r="Q237" s="9">
        <v>4.6500000000000004</v>
      </c>
      <c r="R237" s="9">
        <v>-0.25</v>
      </c>
      <c r="S237" s="9">
        <v>-2E-3</v>
      </c>
    </row>
    <row r="238" spans="1:19">
      <c r="A238">
        <v>4.46</v>
      </c>
      <c r="B238">
        <v>0.17</v>
      </c>
      <c r="C238">
        <v>0.63</v>
      </c>
      <c r="D238">
        <v>4.6500000000000004</v>
      </c>
      <c r="E238">
        <v>-0.01</v>
      </c>
      <c r="F238">
        <v>0.01</v>
      </c>
      <c r="G238" s="18">
        <v>9.9154812240249868</v>
      </c>
      <c r="H238">
        <v>9.91</v>
      </c>
      <c r="I238" s="18">
        <v>-5.4812240249866306E-3</v>
      </c>
      <c r="K238" s="9">
        <v>8</v>
      </c>
      <c r="L238" s="9" t="s">
        <v>33</v>
      </c>
      <c r="M238" s="9">
        <v>10.28</v>
      </c>
      <c r="N238" s="9">
        <v>6.21</v>
      </c>
      <c r="O238" s="9">
        <v>-0.33</v>
      </c>
      <c r="P238" s="9">
        <v>-0.19</v>
      </c>
      <c r="Q238" s="9">
        <v>4.55</v>
      </c>
      <c r="R238" s="9">
        <v>0.03</v>
      </c>
      <c r="S238" s="9">
        <v>0.01</v>
      </c>
    </row>
    <row r="239" spans="1:19">
      <c r="A239">
        <v>5</v>
      </c>
      <c r="B239">
        <v>-0.06</v>
      </c>
      <c r="C239">
        <v>0.36</v>
      </c>
      <c r="D239">
        <v>4.6500000000000004</v>
      </c>
      <c r="E239">
        <v>-0.04</v>
      </c>
      <c r="F239">
        <v>0.01</v>
      </c>
      <c r="G239" s="18">
        <v>9.9256266325985436</v>
      </c>
      <c r="H239">
        <v>9.92</v>
      </c>
      <c r="I239" s="18">
        <v>-5.6266325985436794E-3</v>
      </c>
      <c r="K239" s="9">
        <v>8</v>
      </c>
      <c r="L239" s="9" t="s">
        <v>36</v>
      </c>
      <c r="M239" s="9">
        <v>9.85</v>
      </c>
      <c r="N239" s="9">
        <v>6.38</v>
      </c>
      <c r="O239" s="9">
        <v>-0.41</v>
      </c>
      <c r="P239" s="9">
        <v>-0.77</v>
      </c>
      <c r="Q239" s="9">
        <v>4.55</v>
      </c>
      <c r="R239" s="9">
        <v>0.11</v>
      </c>
      <c r="S239" s="9">
        <v>0.01</v>
      </c>
    </row>
    <row r="240" spans="1:19">
      <c r="A240">
        <v>5.32</v>
      </c>
      <c r="B240">
        <v>-0.15</v>
      </c>
      <c r="C240">
        <v>-0.31</v>
      </c>
      <c r="D240">
        <v>4.6500000000000004</v>
      </c>
      <c r="E240">
        <v>0.08</v>
      </c>
      <c r="F240">
        <v>-0.04</v>
      </c>
      <c r="G240" s="18">
        <v>9.541059464473939</v>
      </c>
      <c r="H240">
        <v>9.5500000000000007</v>
      </c>
      <c r="I240" s="18">
        <v>8.9405355260616659E-3</v>
      </c>
      <c r="K240" s="9">
        <v>8</v>
      </c>
      <c r="L240" s="9" t="s">
        <v>37</v>
      </c>
      <c r="M240" s="9">
        <v>9.51</v>
      </c>
      <c r="N240" s="9">
        <v>6.02</v>
      </c>
      <c r="O240" s="9">
        <v>-0.37</v>
      </c>
      <c r="P240" s="9">
        <v>-0.64</v>
      </c>
      <c r="Q240" s="9">
        <v>4.55</v>
      </c>
      <c r="R240" s="9">
        <v>-0.06</v>
      </c>
      <c r="S240" s="9">
        <v>0</v>
      </c>
    </row>
    <row r="241" spans="1:19">
      <c r="A241">
        <v>4.95</v>
      </c>
      <c r="B241">
        <v>-7.0000000000000007E-2</v>
      </c>
      <c r="C241">
        <v>0.11</v>
      </c>
      <c r="D241">
        <v>4.6500000000000004</v>
      </c>
      <c r="E241">
        <v>0.04</v>
      </c>
      <c r="F241">
        <v>-2.7E-2</v>
      </c>
      <c r="G241" s="18">
        <v>9.6497744677743036</v>
      </c>
      <c r="H241">
        <v>9.65</v>
      </c>
      <c r="I241" s="18">
        <v>2.2553222569676734E-4</v>
      </c>
      <c r="K241" s="9">
        <v>8</v>
      </c>
      <c r="L241" s="9" t="s">
        <v>39</v>
      </c>
      <c r="M241" s="9">
        <v>10.1</v>
      </c>
      <c r="N241" s="9">
        <v>5.99</v>
      </c>
      <c r="O241" s="9">
        <v>-0.16</v>
      </c>
      <c r="P241" s="9">
        <v>-0.35</v>
      </c>
      <c r="Q241" s="9">
        <v>4.55</v>
      </c>
      <c r="R241" s="9">
        <v>0.06</v>
      </c>
      <c r="S241" s="9">
        <v>0.01</v>
      </c>
    </row>
    <row r="242" spans="1:19">
      <c r="A242">
        <v>5.19</v>
      </c>
      <c r="B242">
        <v>-0.01</v>
      </c>
      <c r="C242">
        <v>0.04</v>
      </c>
      <c r="D242">
        <v>4.6500000000000004</v>
      </c>
      <c r="E242">
        <v>0.01</v>
      </c>
      <c r="F242">
        <v>0.01</v>
      </c>
      <c r="G242" s="18">
        <v>9.8910931251915333</v>
      </c>
      <c r="H242">
        <v>9.8800000000000008</v>
      </c>
      <c r="I242" s="18">
        <v>-1.1093125191532494E-2</v>
      </c>
      <c r="K242" s="9">
        <v>8</v>
      </c>
      <c r="L242" s="9" t="s">
        <v>40</v>
      </c>
      <c r="M242" s="9">
        <v>10.01</v>
      </c>
      <c r="N242" s="9">
        <v>6.81</v>
      </c>
      <c r="O242" s="9">
        <v>-0.66</v>
      </c>
      <c r="P242" s="9">
        <v>-0.69</v>
      </c>
      <c r="Q242" s="9">
        <v>4.55</v>
      </c>
      <c r="R242" s="9">
        <v>0.04</v>
      </c>
      <c r="S242" s="9">
        <v>-0.03</v>
      </c>
    </row>
    <row r="243" spans="1:19">
      <c r="A243">
        <v>5.47</v>
      </c>
      <c r="B243">
        <v>-0.14000000000000001</v>
      </c>
      <c r="C243">
        <v>-0.04</v>
      </c>
      <c r="D243">
        <v>4.6500000000000004</v>
      </c>
      <c r="E243">
        <v>-0.01</v>
      </c>
      <c r="F243">
        <v>0.01</v>
      </c>
      <c r="G243" s="18">
        <v>9.9421053709646792</v>
      </c>
      <c r="H243">
        <v>9.94</v>
      </c>
      <c r="I243" s="18">
        <v>-2.1053709646796648E-3</v>
      </c>
      <c r="K243" s="9">
        <v>8</v>
      </c>
      <c r="L243" s="9" t="s">
        <v>41</v>
      </c>
      <c r="M243" s="9">
        <v>9.75</v>
      </c>
      <c r="N243" s="9">
        <v>6.15</v>
      </c>
      <c r="O243" s="9">
        <v>-0.33</v>
      </c>
      <c r="P243" s="9">
        <v>-0.5</v>
      </c>
      <c r="Q243" s="9">
        <v>4.55</v>
      </c>
      <c r="R243" s="9">
        <v>-0.04</v>
      </c>
      <c r="S243" s="9">
        <v>-0.04</v>
      </c>
    </row>
    <row r="244" spans="1:19">
      <c r="A244">
        <v>5.46</v>
      </c>
      <c r="B244">
        <v>-0.16</v>
      </c>
      <c r="C244">
        <v>-0.14000000000000001</v>
      </c>
      <c r="D244">
        <v>4.6500000000000004</v>
      </c>
      <c r="E244">
        <v>0.06</v>
      </c>
      <c r="F244">
        <v>0.01</v>
      </c>
      <c r="G244" s="18">
        <v>9.8787733726897589</v>
      </c>
      <c r="H244">
        <v>9.89</v>
      </c>
      <c r="I244" s="18">
        <v>1.122662731024171E-2</v>
      </c>
      <c r="K244" s="9">
        <v>8</v>
      </c>
      <c r="L244" s="9" t="s">
        <v>42</v>
      </c>
      <c r="M244" s="9">
        <v>9.5</v>
      </c>
      <c r="N244" s="9">
        <v>5.48</v>
      </c>
      <c r="O244" s="9">
        <v>-0.21</v>
      </c>
      <c r="P244" s="9">
        <v>-0.32</v>
      </c>
      <c r="Q244" s="9">
        <v>4.55</v>
      </c>
      <c r="R244" s="9">
        <v>0.02</v>
      </c>
      <c r="S244" s="9">
        <v>-0.01</v>
      </c>
    </row>
    <row r="245" spans="1:19">
      <c r="A245">
        <v>5.27</v>
      </c>
      <c r="B245">
        <v>-0.08</v>
      </c>
      <c r="C245">
        <v>-0.17</v>
      </c>
      <c r="D245">
        <v>4.6500000000000004</v>
      </c>
      <c r="E245">
        <v>0.08</v>
      </c>
      <c r="F245">
        <v>-6.7000000000000004E-2</v>
      </c>
      <c r="G245" s="18">
        <v>9.6736161632831905</v>
      </c>
      <c r="H245">
        <v>9.69</v>
      </c>
      <c r="I245" s="18">
        <v>1.6383836716808986E-2</v>
      </c>
      <c r="K245" s="9">
        <v>8</v>
      </c>
      <c r="L245" s="9" t="s">
        <v>43</v>
      </c>
      <c r="M245" s="9">
        <v>9.52</v>
      </c>
      <c r="N245" s="9">
        <v>5.0599999999999996</v>
      </c>
      <c r="O245" s="9">
        <v>-0.05</v>
      </c>
      <c r="P245" s="9">
        <v>0</v>
      </c>
      <c r="Q245" s="9">
        <v>4.55</v>
      </c>
      <c r="R245" s="9">
        <v>-0.05</v>
      </c>
      <c r="S245" s="9">
        <v>0.01</v>
      </c>
    </row>
    <row r="246" spans="1:19">
      <c r="A246">
        <v>5.39</v>
      </c>
      <c r="B246">
        <v>0</v>
      </c>
      <c r="C246">
        <v>-0.1</v>
      </c>
      <c r="D246">
        <v>4.6500000000000004</v>
      </c>
      <c r="E246">
        <v>7.0000000000000007E-2</v>
      </c>
      <c r="F246">
        <v>-7.9000000000000001E-2</v>
      </c>
      <c r="G246" s="18">
        <v>9.9227230903090362</v>
      </c>
      <c r="H246">
        <v>9.93</v>
      </c>
      <c r="I246" s="18">
        <v>7.2769096909635067E-3</v>
      </c>
      <c r="K246" s="9">
        <v>8</v>
      </c>
      <c r="L246" s="9" t="s">
        <v>44</v>
      </c>
      <c r="M246" s="9">
        <v>9.82</v>
      </c>
      <c r="N246" s="9">
        <v>5.43</v>
      </c>
      <c r="O246" s="9">
        <v>-0.09</v>
      </c>
      <c r="P246" s="9">
        <v>-0.09</v>
      </c>
      <c r="Q246" s="9">
        <v>4.55</v>
      </c>
      <c r="R246" s="9">
        <v>0.03</v>
      </c>
      <c r="S246" s="9">
        <v>0.01</v>
      </c>
    </row>
    <row r="247" spans="1:19">
      <c r="A247">
        <v>5.07</v>
      </c>
      <c r="B247">
        <v>-0.04</v>
      </c>
      <c r="C247">
        <v>0.08</v>
      </c>
      <c r="D247">
        <v>4.6500000000000004</v>
      </c>
      <c r="E247">
        <v>0.03</v>
      </c>
      <c r="F247">
        <v>0.01</v>
      </c>
      <c r="G247" s="18">
        <v>9.8003411137742003</v>
      </c>
      <c r="H247">
        <v>9.8000000000000007</v>
      </c>
      <c r="I247" s="18">
        <v>-3.4111377419954181E-4</v>
      </c>
      <c r="K247" s="9">
        <v>8</v>
      </c>
      <c r="L247" s="9" t="s">
        <v>45</v>
      </c>
      <c r="M247" s="9">
        <v>9.68</v>
      </c>
      <c r="N247" s="9">
        <v>5.24</v>
      </c>
      <c r="O247" s="9">
        <v>-0.02</v>
      </c>
      <c r="P247" s="9">
        <v>-0.09</v>
      </c>
      <c r="Q247" s="9">
        <v>4.55</v>
      </c>
      <c r="R247" s="9">
        <v>-0.01</v>
      </c>
      <c r="S247" s="9">
        <v>0.01</v>
      </c>
    </row>
    <row r="248" spans="1:19">
      <c r="A248">
        <v>4.92</v>
      </c>
      <c r="B248">
        <v>0.19</v>
      </c>
      <c r="C248">
        <v>0.23</v>
      </c>
      <c r="D248">
        <v>4.6500000000000004</v>
      </c>
      <c r="E248">
        <v>0.04</v>
      </c>
      <c r="F248">
        <v>0.01</v>
      </c>
      <c r="G248" s="18">
        <v>10.041473501486731</v>
      </c>
      <c r="H248">
        <v>10.029999999999999</v>
      </c>
      <c r="I248" s="18">
        <v>-1.1473501486731763E-2</v>
      </c>
      <c r="K248" s="9">
        <v>8</v>
      </c>
      <c r="L248" s="9" t="s">
        <v>47</v>
      </c>
      <c r="M248" s="9">
        <v>9.67</v>
      </c>
      <c r="N248" s="9">
        <v>5.03</v>
      </c>
      <c r="O248" s="9">
        <v>-0.02</v>
      </c>
      <c r="P248" s="9">
        <v>0.1</v>
      </c>
      <c r="Q248" s="9">
        <v>4.55</v>
      </c>
      <c r="R248" s="9">
        <v>0</v>
      </c>
      <c r="S248" s="9">
        <v>0.01</v>
      </c>
    </row>
    <row r="249" spans="1:19">
      <c r="A249">
        <v>5.22</v>
      </c>
      <c r="B249">
        <v>0.02</v>
      </c>
      <c r="C249">
        <v>0.01</v>
      </c>
      <c r="D249">
        <v>4.6500000000000004</v>
      </c>
      <c r="E249">
        <v>0.08</v>
      </c>
      <c r="F249">
        <v>0.01</v>
      </c>
      <c r="G249" s="18">
        <v>9.9890302310949348</v>
      </c>
      <c r="H249">
        <v>9.99</v>
      </c>
      <c r="I249" s="18">
        <v>9.6976890506539348E-4</v>
      </c>
      <c r="K249" s="9">
        <v>8</v>
      </c>
      <c r="L249" s="9" t="s">
        <v>49</v>
      </c>
      <c r="M249" s="9">
        <v>9.73</v>
      </c>
      <c r="N249" s="9">
        <v>5.0999999999999996</v>
      </c>
      <c r="O249" s="9">
        <v>-0.06</v>
      </c>
      <c r="P249" s="9">
        <v>0.1</v>
      </c>
      <c r="Q249" s="9">
        <v>4.55</v>
      </c>
      <c r="R249" s="9">
        <v>0.02</v>
      </c>
      <c r="S249" s="9">
        <v>0.01</v>
      </c>
    </row>
    <row r="250" spans="1:19">
      <c r="A250">
        <v>5.28</v>
      </c>
      <c r="B250">
        <v>0.08</v>
      </c>
      <c r="C250">
        <v>-0.14000000000000001</v>
      </c>
      <c r="D250">
        <v>4.6500000000000004</v>
      </c>
      <c r="E250">
        <v>0.08</v>
      </c>
      <c r="F250">
        <v>0.01</v>
      </c>
      <c r="G250" s="18">
        <v>9.9573900279866425</v>
      </c>
      <c r="H250">
        <v>9.9700000000000006</v>
      </c>
      <c r="I250" s="18">
        <v>1.2609972013358117E-2</v>
      </c>
      <c r="K250" s="9">
        <v>8</v>
      </c>
      <c r="L250" s="9" t="s">
        <v>51</v>
      </c>
      <c r="M250" s="9">
        <v>9.85</v>
      </c>
      <c r="N250" s="9">
        <v>4.49</v>
      </c>
      <c r="O250" s="9">
        <v>0.16</v>
      </c>
      <c r="P250" s="9">
        <v>0.62</v>
      </c>
      <c r="Q250" s="9">
        <v>4.55</v>
      </c>
      <c r="R250" s="9">
        <v>0.02</v>
      </c>
      <c r="S250" s="9">
        <v>0.01</v>
      </c>
    </row>
    <row r="251" spans="1:19">
      <c r="A251">
        <v>5.28</v>
      </c>
      <c r="B251">
        <v>7.0000000000000007E-2</v>
      </c>
      <c r="C251">
        <v>0.04</v>
      </c>
      <c r="D251">
        <v>4.6500000000000004</v>
      </c>
      <c r="E251">
        <v>-0.03</v>
      </c>
      <c r="F251">
        <v>0.01</v>
      </c>
      <c r="G251" s="18">
        <v>10.022800521272549</v>
      </c>
      <c r="H251">
        <v>10.029999999999999</v>
      </c>
      <c r="I251" s="18">
        <v>7.1994787274505256E-3</v>
      </c>
      <c r="K251" s="9">
        <v>8</v>
      </c>
      <c r="L251" s="9" t="s">
        <v>53</v>
      </c>
      <c r="M251" s="9">
        <v>9.92</v>
      </c>
      <c r="N251" s="9">
        <v>5.08</v>
      </c>
      <c r="O251" s="9">
        <v>-7.0000000000000007E-2</v>
      </c>
      <c r="P251" s="9">
        <v>0.34</v>
      </c>
      <c r="Q251" s="9">
        <v>4.55</v>
      </c>
      <c r="R251" s="9">
        <v>0.05</v>
      </c>
      <c r="S251" s="9">
        <v>0.01</v>
      </c>
    </row>
    <row r="252" spans="1:19">
      <c r="A252">
        <v>5.32</v>
      </c>
      <c r="B252">
        <v>0.16</v>
      </c>
      <c r="C252">
        <v>0.12</v>
      </c>
      <c r="D252">
        <v>4.6500000000000004</v>
      </c>
      <c r="E252">
        <v>-0.02</v>
      </c>
      <c r="F252">
        <v>0.01</v>
      </c>
      <c r="G252" s="18">
        <v>10.243984750795793</v>
      </c>
      <c r="H252">
        <v>10.24</v>
      </c>
      <c r="I252" s="18">
        <v>-3.9847507957926354E-3</v>
      </c>
      <c r="K252" s="9">
        <v>8</v>
      </c>
      <c r="L252" s="9" t="s">
        <v>55</v>
      </c>
      <c r="M252" s="9">
        <v>9.2100000000000009</v>
      </c>
      <c r="N252" s="9">
        <v>5.28</v>
      </c>
      <c r="O252" s="9">
        <v>-0.15</v>
      </c>
      <c r="P252" s="9">
        <v>-0.28000000000000003</v>
      </c>
      <c r="Q252" s="9">
        <v>4.55</v>
      </c>
      <c r="R252" s="9">
        <v>0.03</v>
      </c>
      <c r="S252" s="9">
        <v>-0.21</v>
      </c>
    </row>
    <row r="253" spans="1:19">
      <c r="A253">
        <v>5.52</v>
      </c>
      <c r="B253">
        <v>0.02</v>
      </c>
      <c r="C253">
        <v>-0.03</v>
      </c>
      <c r="D253">
        <v>4.6500000000000004</v>
      </c>
      <c r="E253">
        <v>-0.02</v>
      </c>
      <c r="F253">
        <v>0.01</v>
      </c>
      <c r="G253" s="18">
        <v>10.152991547488408</v>
      </c>
      <c r="H253">
        <v>10.16</v>
      </c>
      <c r="I253" s="18">
        <v>7.0084525115916563E-3</v>
      </c>
      <c r="K253" s="9">
        <v>8</v>
      </c>
      <c r="L253" s="9" t="s">
        <v>57</v>
      </c>
      <c r="M253" s="9">
        <v>9.59</v>
      </c>
      <c r="N253" s="9">
        <v>4.97</v>
      </c>
      <c r="O253" s="9">
        <v>-0.08</v>
      </c>
      <c r="P253" s="9">
        <v>0.11</v>
      </c>
      <c r="Q253" s="9">
        <v>4.55</v>
      </c>
      <c r="R253" s="9">
        <v>0.03</v>
      </c>
      <c r="S253" s="9">
        <v>0.01</v>
      </c>
    </row>
    <row r="254" spans="1:19">
      <c r="A254">
        <v>5.88</v>
      </c>
      <c r="B254">
        <v>-0.02</v>
      </c>
      <c r="C254">
        <v>-0.43</v>
      </c>
      <c r="D254">
        <v>4.6500000000000004</v>
      </c>
      <c r="E254">
        <v>-0.06</v>
      </c>
      <c r="F254">
        <v>1E-3</v>
      </c>
      <c r="G254" s="18">
        <v>10.020984745341554</v>
      </c>
      <c r="H254">
        <v>10.02</v>
      </c>
      <c r="I254" s="18">
        <v>-9.847453415545715E-4</v>
      </c>
      <c r="K254" s="9">
        <v>8</v>
      </c>
      <c r="L254" s="9" t="s">
        <v>58</v>
      </c>
      <c r="M254" s="9">
        <v>9.6999999999999993</v>
      </c>
      <c r="N254" s="9">
        <v>5.12</v>
      </c>
      <c r="O254" s="9">
        <v>0</v>
      </c>
      <c r="P254" s="9">
        <v>0.06</v>
      </c>
      <c r="Q254" s="9">
        <v>4.55</v>
      </c>
      <c r="R254" s="9">
        <v>0.01</v>
      </c>
      <c r="S254" s="9">
        <v>-0.04</v>
      </c>
    </row>
    <row r="255" spans="1:19">
      <c r="A255">
        <v>6.06</v>
      </c>
      <c r="B255">
        <v>-0.08</v>
      </c>
      <c r="C255">
        <v>-0.52</v>
      </c>
      <c r="D255">
        <v>4.6500000000000004</v>
      </c>
      <c r="E255">
        <v>0.08</v>
      </c>
      <c r="F255">
        <v>-1E-3</v>
      </c>
      <c r="G255" s="18">
        <v>10.1848950642829</v>
      </c>
      <c r="H255">
        <v>10.19</v>
      </c>
      <c r="I255" s="18">
        <v>5.1049357170995791E-3</v>
      </c>
      <c r="K255" s="9">
        <v>8</v>
      </c>
      <c r="L255" s="9" t="s">
        <v>60</v>
      </c>
      <c r="M255" s="9">
        <v>9.7100000000000009</v>
      </c>
      <c r="N255" s="9">
        <v>5.43</v>
      </c>
      <c r="O255" s="9">
        <v>-0.14000000000000001</v>
      </c>
      <c r="P255" s="9">
        <v>-0.05</v>
      </c>
      <c r="Q255" s="9">
        <v>4.55</v>
      </c>
      <c r="R255" s="9">
        <v>-0.1</v>
      </c>
      <c r="S255" s="9">
        <v>0.01</v>
      </c>
    </row>
    <row r="256" spans="1:19">
      <c r="A256">
        <v>6.09</v>
      </c>
      <c r="B256">
        <v>-0.16</v>
      </c>
      <c r="C256">
        <v>-0.67</v>
      </c>
      <c r="D256">
        <v>4.6500000000000004</v>
      </c>
      <c r="E256">
        <v>0</v>
      </c>
      <c r="F256">
        <v>0.01</v>
      </c>
      <c r="G256" s="18">
        <v>9.9169251242102021</v>
      </c>
      <c r="H256">
        <v>9.93</v>
      </c>
      <c r="I256" s="18">
        <v>1.3074875789797602E-2</v>
      </c>
      <c r="K256" s="9">
        <v>8</v>
      </c>
      <c r="L256" s="9" t="s">
        <v>66</v>
      </c>
      <c r="M256" s="9">
        <v>9.5500000000000007</v>
      </c>
      <c r="N256" s="9">
        <v>5.4</v>
      </c>
      <c r="O256" s="9">
        <v>-0.16</v>
      </c>
      <c r="P256" s="9">
        <v>-0.13</v>
      </c>
      <c r="Q256" s="9">
        <v>4.55</v>
      </c>
      <c r="R256" s="9">
        <v>-0.09</v>
      </c>
      <c r="S256" s="9">
        <v>-0.01</v>
      </c>
    </row>
    <row r="257" spans="1:19">
      <c r="A257">
        <v>6.24</v>
      </c>
      <c r="B257">
        <v>-0.27</v>
      </c>
      <c r="C257">
        <v>-0.52</v>
      </c>
      <c r="D257">
        <v>4.6500000000000004</v>
      </c>
      <c r="E257">
        <v>-0.06</v>
      </c>
      <c r="F257">
        <v>-0.106</v>
      </c>
      <c r="G257" s="18">
        <v>9.9261790670787988</v>
      </c>
      <c r="H257">
        <v>9.94</v>
      </c>
      <c r="I257" s="18">
        <v>1.3820932921200679E-2</v>
      </c>
      <c r="K257" s="9">
        <v>8</v>
      </c>
      <c r="L257" s="9" t="s">
        <v>67</v>
      </c>
      <c r="M257" s="9">
        <v>9.6300000000000008</v>
      </c>
      <c r="N257" s="9">
        <v>5.28</v>
      </c>
      <c r="O257" s="9">
        <v>-0.09</v>
      </c>
      <c r="P257" s="9">
        <v>-0.17</v>
      </c>
      <c r="Q257" s="9">
        <v>4.55</v>
      </c>
      <c r="R257" s="9">
        <v>0.05</v>
      </c>
      <c r="S257" s="9">
        <v>0.01</v>
      </c>
    </row>
    <row r="258" spans="1:19">
      <c r="A258">
        <v>5.66</v>
      </c>
      <c r="B258">
        <v>0.06</v>
      </c>
      <c r="C258">
        <v>-0.23</v>
      </c>
      <c r="D258">
        <v>4.6500000000000004</v>
      </c>
      <c r="E258">
        <v>0.01</v>
      </c>
      <c r="F258">
        <v>0.01</v>
      </c>
      <c r="G258" s="18">
        <v>10.160331914737053</v>
      </c>
      <c r="H258">
        <v>10.17</v>
      </c>
      <c r="I258" s="18">
        <v>9.6680852629464908E-3</v>
      </c>
      <c r="K258" s="9">
        <v>8</v>
      </c>
      <c r="L258" s="9" t="s">
        <v>69</v>
      </c>
      <c r="M258" s="9">
        <v>9.8000000000000007</v>
      </c>
      <c r="N258" s="9">
        <v>5.4</v>
      </c>
      <c r="O258" s="9">
        <v>-0.01</v>
      </c>
      <c r="P258" s="9">
        <v>-0.12</v>
      </c>
      <c r="Q258" s="9">
        <v>4.55</v>
      </c>
      <c r="R258" s="9">
        <v>0.03</v>
      </c>
      <c r="S258" s="9">
        <v>-0.05</v>
      </c>
    </row>
    <row r="259" spans="1:19">
      <c r="A259">
        <v>5.41</v>
      </c>
      <c r="B259">
        <v>0.04</v>
      </c>
      <c r="C259">
        <v>-0.14000000000000001</v>
      </c>
      <c r="D259">
        <v>4.6500000000000004</v>
      </c>
      <c r="E259">
        <v>0</v>
      </c>
      <c r="F259">
        <v>0.01</v>
      </c>
      <c r="G259" s="18">
        <v>9.9702801956685061</v>
      </c>
      <c r="H259">
        <v>9.9700000000000006</v>
      </c>
      <c r="I259" s="18">
        <v>-2.801956685054563E-4</v>
      </c>
      <c r="K259" s="9">
        <v>8</v>
      </c>
      <c r="L259" s="9" t="s">
        <v>71</v>
      </c>
      <c r="M259" s="9">
        <v>9.61</v>
      </c>
      <c r="N259" s="9">
        <v>5.0999999999999996</v>
      </c>
      <c r="O259" s="9">
        <v>-0.05</v>
      </c>
      <c r="P259" s="9">
        <v>7.0000000000000007E-2</v>
      </c>
      <c r="Q259" s="9">
        <v>4.55</v>
      </c>
      <c r="R259" s="9">
        <v>-0.02</v>
      </c>
      <c r="S259" s="9">
        <v>-0.03</v>
      </c>
    </row>
    <row r="260" spans="1:19">
      <c r="A260">
        <v>5.83</v>
      </c>
      <c r="B260">
        <v>-0.17</v>
      </c>
      <c r="C260">
        <v>-0.1</v>
      </c>
      <c r="D260">
        <v>4.6500000000000004</v>
      </c>
      <c r="E260">
        <v>0.14000000000000001</v>
      </c>
      <c r="F260">
        <v>0.01</v>
      </c>
      <c r="G260" s="18">
        <v>10.359465706001933</v>
      </c>
      <c r="H260">
        <v>10.36</v>
      </c>
      <c r="I260" s="18">
        <v>5.3429399806681488E-4</v>
      </c>
      <c r="K260" s="9">
        <v>8</v>
      </c>
      <c r="L260" s="9" t="s">
        <v>72</v>
      </c>
      <c r="M260" s="9">
        <v>9.93</v>
      </c>
      <c r="N260" s="9">
        <v>4.9400000000000004</v>
      </c>
      <c r="O260" s="9">
        <v>0.18</v>
      </c>
      <c r="P260" s="9">
        <v>0.21</v>
      </c>
      <c r="Q260" s="9">
        <v>4.55</v>
      </c>
      <c r="R260" s="9">
        <v>0.03</v>
      </c>
      <c r="S260" s="9">
        <v>0.01</v>
      </c>
    </row>
    <row r="261" spans="1:19">
      <c r="A261">
        <v>6.2</v>
      </c>
      <c r="B261">
        <v>-0.11</v>
      </c>
      <c r="C261">
        <v>-0.36</v>
      </c>
      <c r="D261">
        <v>4.6500000000000004</v>
      </c>
      <c r="E261">
        <v>0.11</v>
      </c>
      <c r="F261">
        <v>-2.5000000000000001E-2</v>
      </c>
      <c r="G261" s="18">
        <v>10.461231095131197</v>
      </c>
      <c r="H261">
        <v>10.47</v>
      </c>
      <c r="I261" s="18">
        <v>8.768904868803773E-3</v>
      </c>
      <c r="K261" s="9">
        <v>8</v>
      </c>
      <c r="L261" s="9" t="s">
        <v>74</v>
      </c>
      <c r="M261" s="9">
        <v>9.77</v>
      </c>
      <c r="N261" s="9">
        <v>5.22</v>
      </c>
      <c r="O261" s="9">
        <v>0.02</v>
      </c>
      <c r="P261" s="9">
        <v>-0.01</v>
      </c>
      <c r="Q261" s="9">
        <v>4.55</v>
      </c>
      <c r="R261" s="9">
        <v>-0.02</v>
      </c>
      <c r="S261" s="9">
        <v>0.01</v>
      </c>
    </row>
    <row r="262" spans="1:19">
      <c r="A262">
        <v>5.99</v>
      </c>
      <c r="B262">
        <v>-0.05</v>
      </c>
      <c r="C262">
        <v>-0.35</v>
      </c>
      <c r="D262">
        <v>4.6500000000000004</v>
      </c>
      <c r="E262">
        <v>-0.04</v>
      </c>
      <c r="F262">
        <v>0.01</v>
      </c>
      <c r="G262" s="18">
        <v>10.21192017957107</v>
      </c>
      <c r="H262">
        <v>10.210000000000001</v>
      </c>
      <c r="I262" s="18">
        <v>-1.9201795710692693E-3</v>
      </c>
      <c r="K262" s="9">
        <v>8</v>
      </c>
      <c r="L262" s="9" t="s">
        <v>75</v>
      </c>
      <c r="M262" s="9">
        <v>9.8800000000000008</v>
      </c>
      <c r="N262" s="9">
        <v>5.35</v>
      </c>
      <c r="O262" s="9">
        <v>0.09</v>
      </c>
      <c r="P262" s="9">
        <v>-0.17</v>
      </c>
      <c r="Q262" s="9">
        <v>4.55</v>
      </c>
      <c r="R262" s="9">
        <v>0.05</v>
      </c>
      <c r="S262" s="9">
        <v>0.01</v>
      </c>
    </row>
    <row r="263" spans="1:19">
      <c r="A263">
        <v>5.95</v>
      </c>
      <c r="B263">
        <v>-0.01</v>
      </c>
      <c r="C263">
        <v>-0.47</v>
      </c>
      <c r="D263">
        <v>4.6500000000000004</v>
      </c>
      <c r="E263">
        <v>0.05</v>
      </c>
      <c r="F263">
        <v>0.01</v>
      </c>
      <c r="G263" s="18">
        <v>10.177658453671393</v>
      </c>
      <c r="H263">
        <v>10.18</v>
      </c>
      <c r="I263" s="18">
        <v>2.3415463286067251E-3</v>
      </c>
      <c r="K263" s="9">
        <v>8</v>
      </c>
      <c r="L263" s="9" t="s">
        <v>79</v>
      </c>
      <c r="M263" s="9">
        <v>9.89</v>
      </c>
      <c r="N263" s="9">
        <v>5.25</v>
      </c>
      <c r="O263" s="9">
        <v>0.08</v>
      </c>
      <c r="P263" s="9">
        <v>0.05</v>
      </c>
      <c r="Q263" s="9">
        <v>4.55</v>
      </c>
      <c r="R263" s="9">
        <v>-0.04</v>
      </c>
      <c r="S263" s="9">
        <v>0.01</v>
      </c>
    </row>
    <row r="264" spans="1:19">
      <c r="A264">
        <v>6.03</v>
      </c>
      <c r="B264">
        <v>-0.17</v>
      </c>
      <c r="C264">
        <v>-0.39</v>
      </c>
      <c r="D264">
        <v>4.6500000000000004</v>
      </c>
      <c r="E264">
        <v>-0.01</v>
      </c>
      <c r="F264">
        <v>0.01</v>
      </c>
      <c r="G264" s="18">
        <v>10.120684279728398</v>
      </c>
      <c r="H264">
        <v>10.130000000000001</v>
      </c>
      <c r="I264" s="18">
        <v>9.3157202716032117E-3</v>
      </c>
      <c r="K264" s="9">
        <v>8</v>
      </c>
      <c r="L264" s="9" t="s">
        <v>80</v>
      </c>
      <c r="M264" s="9">
        <v>10.130000000000001</v>
      </c>
      <c r="N264" s="9">
        <v>5.34</v>
      </c>
      <c r="O264" s="9">
        <v>0.16</v>
      </c>
      <c r="P264" s="9">
        <v>0.11</v>
      </c>
      <c r="Q264" s="9">
        <v>4.55</v>
      </c>
      <c r="R264" s="9">
        <v>-0.04</v>
      </c>
      <c r="S264" s="9">
        <v>0.01</v>
      </c>
    </row>
    <row r="265" spans="1:19">
      <c r="A265">
        <v>5.9</v>
      </c>
      <c r="B265">
        <v>0.04</v>
      </c>
      <c r="C265">
        <v>-0.28999999999999998</v>
      </c>
      <c r="D265">
        <v>4.6500000000000004</v>
      </c>
      <c r="E265">
        <v>0</v>
      </c>
      <c r="F265">
        <v>0.01</v>
      </c>
      <c r="G265" s="18">
        <v>10.31122667261131</v>
      </c>
      <c r="H265">
        <v>10.31</v>
      </c>
      <c r="I265" s="18">
        <v>-1.2266726113097093E-3</v>
      </c>
      <c r="K265" s="9">
        <v>8</v>
      </c>
      <c r="L265" s="9" t="s">
        <v>81</v>
      </c>
      <c r="M265" s="9">
        <v>10.119999999999999</v>
      </c>
      <c r="N265" s="9">
        <v>5.56</v>
      </c>
      <c r="O265" s="9">
        <v>0.02</v>
      </c>
      <c r="P265" s="9">
        <v>-0.04</v>
      </c>
      <c r="Q265" s="9">
        <v>4.55</v>
      </c>
      <c r="R265" s="9">
        <v>0.02</v>
      </c>
      <c r="S265" s="9">
        <v>0.01</v>
      </c>
    </row>
    <row r="266" spans="1:19">
      <c r="A266">
        <v>6.93</v>
      </c>
      <c r="B266">
        <v>-0.19</v>
      </c>
      <c r="C266">
        <v>-0.68</v>
      </c>
      <c r="D266">
        <v>4.6500000000000004</v>
      </c>
      <c r="E266">
        <v>0.06</v>
      </c>
      <c r="F266">
        <v>0.01</v>
      </c>
      <c r="G266" s="18">
        <v>10.78033530992484</v>
      </c>
      <c r="H266">
        <v>10.78</v>
      </c>
      <c r="I266" s="18">
        <v>-3.3530992484109845E-4</v>
      </c>
      <c r="K266" s="9">
        <v>8</v>
      </c>
      <c r="L266" s="9" t="s">
        <v>82</v>
      </c>
      <c r="M266" s="9">
        <v>9.91</v>
      </c>
      <c r="N266" s="9">
        <v>5.91</v>
      </c>
      <c r="O266" s="9">
        <v>-0.02</v>
      </c>
      <c r="P266" s="9">
        <v>-0.44</v>
      </c>
      <c r="Q266" s="9">
        <v>4.55</v>
      </c>
      <c r="R266" s="9">
        <v>-0.06</v>
      </c>
      <c r="S266" s="9">
        <v>-0.02</v>
      </c>
    </row>
    <row r="267" spans="1:19">
      <c r="A267">
        <v>6.7</v>
      </c>
      <c r="B267">
        <v>-0.27</v>
      </c>
      <c r="C267">
        <v>-0.76</v>
      </c>
      <c r="D267">
        <v>4.6500000000000004</v>
      </c>
      <c r="E267">
        <v>7.0000000000000007E-2</v>
      </c>
      <c r="F267">
        <v>0.01</v>
      </c>
      <c r="G267" s="18">
        <v>10.397457323616555</v>
      </c>
      <c r="H267">
        <v>10.41</v>
      </c>
      <c r="I267" s="18">
        <v>1.2542676383445084E-2</v>
      </c>
      <c r="K267" s="9">
        <v>8</v>
      </c>
      <c r="L267" s="9" t="s">
        <v>83</v>
      </c>
      <c r="M267" s="9">
        <v>10.06</v>
      </c>
      <c r="N267" s="9">
        <v>6.11</v>
      </c>
      <c r="O267" s="9">
        <v>-0.11</v>
      </c>
      <c r="P267" s="9">
        <v>-0.52</v>
      </c>
      <c r="Q267" s="9">
        <v>4.55</v>
      </c>
      <c r="R267" s="9">
        <v>0.05</v>
      </c>
      <c r="S267" s="9">
        <v>-0.01</v>
      </c>
    </row>
    <row r="268" spans="1:19">
      <c r="A268">
        <v>6.34</v>
      </c>
      <c r="B268">
        <v>-0.1</v>
      </c>
      <c r="C268">
        <v>-0.6</v>
      </c>
      <c r="D268">
        <v>4.6500000000000004</v>
      </c>
      <c r="E268">
        <v>-0.03</v>
      </c>
      <c r="F268">
        <v>-0.13700000000000001</v>
      </c>
      <c r="G268" s="18">
        <v>10.111607873609707</v>
      </c>
      <c r="H268">
        <v>10.119999999999999</v>
      </c>
      <c r="I268" s="18">
        <v>8.3921263902926313E-3</v>
      </c>
      <c r="K268" s="9">
        <v>8</v>
      </c>
      <c r="L268" s="9" t="s">
        <v>84</v>
      </c>
      <c r="M268" s="9">
        <v>9.86</v>
      </c>
      <c r="N268" s="9">
        <v>6.04</v>
      </c>
      <c r="O268" s="9">
        <v>-0.15</v>
      </c>
      <c r="P268" s="9">
        <v>-0.66</v>
      </c>
      <c r="Q268" s="9">
        <v>4.55</v>
      </c>
      <c r="R268" s="9">
        <v>7.0000000000000007E-2</v>
      </c>
      <c r="S268" s="9">
        <v>0.01</v>
      </c>
    </row>
    <row r="269" spans="1:19">
      <c r="A269">
        <v>6.41</v>
      </c>
      <c r="B269">
        <v>-0.22</v>
      </c>
      <c r="C269">
        <v>-0.56999999999999995</v>
      </c>
      <c r="D269">
        <v>4.6500000000000004</v>
      </c>
      <c r="E269">
        <v>0.02</v>
      </c>
      <c r="F269">
        <v>-4.8000000000000001E-2</v>
      </c>
      <c r="G269" s="18">
        <v>10.237070944453277</v>
      </c>
      <c r="H269">
        <v>10.25</v>
      </c>
      <c r="I269" s="18">
        <v>1.2929055546722523E-2</v>
      </c>
      <c r="K269" s="9">
        <v>8</v>
      </c>
      <c r="L269" s="9" t="s">
        <v>85</v>
      </c>
      <c r="M269" s="9">
        <v>9.94</v>
      </c>
      <c r="N269" s="9">
        <v>6.35</v>
      </c>
      <c r="O269" s="9">
        <v>-0.26</v>
      </c>
      <c r="P269" s="9">
        <v>-0.51</v>
      </c>
      <c r="Q269" s="9">
        <v>4.55</v>
      </c>
      <c r="R269" s="9">
        <v>0.08</v>
      </c>
      <c r="S269" s="9">
        <v>-0.13</v>
      </c>
    </row>
    <row r="270" spans="1:19">
      <c r="A270">
        <v>6.21</v>
      </c>
      <c r="B270">
        <v>-0.13</v>
      </c>
      <c r="C270">
        <v>-0.75</v>
      </c>
      <c r="D270">
        <v>4.6500000000000004</v>
      </c>
      <c r="E270">
        <v>0.15</v>
      </c>
      <c r="F270">
        <v>-4.8000000000000001E-2</v>
      </c>
      <c r="G270" s="18">
        <v>10.069980735751811</v>
      </c>
      <c r="H270">
        <v>10.09</v>
      </c>
      <c r="I270" s="18">
        <v>2.0019264248189117E-2</v>
      </c>
      <c r="K270" s="9">
        <v>8</v>
      </c>
      <c r="L270" s="9" t="s">
        <v>86</v>
      </c>
      <c r="M270" s="9">
        <v>10.050000000000001</v>
      </c>
      <c r="N270" s="9">
        <v>5.65</v>
      </c>
      <c r="O270" s="9">
        <v>7.0000000000000007E-2</v>
      </c>
      <c r="P270" s="9">
        <v>-0.24</v>
      </c>
      <c r="Q270" s="9">
        <v>4.55</v>
      </c>
      <c r="R270" s="9">
        <v>0.01</v>
      </c>
      <c r="S270" s="9">
        <v>0.01</v>
      </c>
    </row>
    <row r="271" spans="1:19">
      <c r="A271">
        <v>6.65</v>
      </c>
      <c r="B271">
        <v>-0.12</v>
      </c>
      <c r="C271">
        <v>-0.9</v>
      </c>
      <c r="D271">
        <v>4.6500000000000004</v>
      </c>
      <c r="E271">
        <v>0.01</v>
      </c>
      <c r="F271">
        <v>0.01</v>
      </c>
      <c r="G271" s="18">
        <v>10.296973329300663</v>
      </c>
      <c r="H271">
        <v>10.31</v>
      </c>
      <c r="I271" s="18">
        <v>1.3026670699337828E-2</v>
      </c>
      <c r="K271" s="9">
        <v>8</v>
      </c>
      <c r="L271" s="9" t="s">
        <v>88</v>
      </c>
      <c r="M271" s="9">
        <v>9.7799999999999994</v>
      </c>
      <c r="N271" s="9">
        <v>5.38</v>
      </c>
      <c r="O271" s="9">
        <v>0.04</v>
      </c>
      <c r="P271" s="9">
        <v>-0.13</v>
      </c>
      <c r="Q271" s="9">
        <v>4.55</v>
      </c>
      <c r="R271" s="9">
        <v>-0.06</v>
      </c>
      <c r="S271" s="9">
        <v>0.01</v>
      </c>
    </row>
    <row r="272" spans="1:19">
      <c r="A272">
        <v>6.41</v>
      </c>
      <c r="B272">
        <v>0.11</v>
      </c>
      <c r="C272">
        <v>-1.48</v>
      </c>
      <c r="D272">
        <v>4.6500000000000004</v>
      </c>
      <c r="E272">
        <v>-0.25</v>
      </c>
      <c r="F272">
        <v>-2E-3</v>
      </c>
      <c r="G272" s="18">
        <v>9.4316923934736128</v>
      </c>
      <c r="H272">
        <v>9.44</v>
      </c>
      <c r="I272" s="18">
        <v>8.3076065263867349E-3</v>
      </c>
      <c r="K272" s="9">
        <v>8</v>
      </c>
      <c r="L272" s="9" t="s">
        <v>89</v>
      </c>
      <c r="M272" s="9">
        <v>10.15</v>
      </c>
      <c r="N272" s="9">
        <v>5.83</v>
      </c>
      <c r="O272" s="9">
        <v>-0.17</v>
      </c>
      <c r="P272" s="9">
        <v>-0.09</v>
      </c>
      <c r="Q272" s="9">
        <v>4.55</v>
      </c>
      <c r="R272" s="9">
        <v>0.03</v>
      </c>
      <c r="S272" s="9">
        <v>0.01</v>
      </c>
    </row>
    <row r="273" spans="1:19">
      <c r="A273">
        <v>6.21</v>
      </c>
      <c r="B273">
        <v>-0.33</v>
      </c>
      <c r="C273">
        <v>-0.19</v>
      </c>
      <c r="D273">
        <v>4.55</v>
      </c>
      <c r="E273">
        <v>0.03</v>
      </c>
      <c r="F273">
        <v>0.01</v>
      </c>
      <c r="G273" s="18">
        <v>10.277798921206921</v>
      </c>
      <c r="H273">
        <v>10.28</v>
      </c>
      <c r="I273" s="18">
        <v>2.2010787930781817E-3</v>
      </c>
      <c r="K273" s="9">
        <v>8</v>
      </c>
      <c r="L273" s="9" t="s">
        <v>90</v>
      </c>
      <c r="M273" s="9">
        <v>10.24</v>
      </c>
      <c r="N273" s="9">
        <v>6.16</v>
      </c>
      <c r="O273" s="9">
        <v>-0.11</v>
      </c>
      <c r="P273" s="9">
        <v>-0.38</v>
      </c>
      <c r="Q273" s="9">
        <v>4.55</v>
      </c>
      <c r="R273" s="9">
        <v>0.02</v>
      </c>
      <c r="S273" s="9">
        <v>0</v>
      </c>
    </row>
    <row r="274" spans="1:19">
      <c r="A274">
        <v>6.38</v>
      </c>
      <c r="B274">
        <v>-0.41</v>
      </c>
      <c r="C274">
        <v>-0.77</v>
      </c>
      <c r="D274">
        <v>4.55</v>
      </c>
      <c r="E274">
        <v>0.11</v>
      </c>
      <c r="F274">
        <v>0.01</v>
      </c>
      <c r="G274" s="18">
        <v>9.8586052609537624</v>
      </c>
      <c r="H274">
        <v>9.85</v>
      </c>
      <c r="I274" s="18">
        <v>-8.6052609537627944E-3</v>
      </c>
      <c r="K274" s="9">
        <v>8</v>
      </c>
      <c r="L274" s="9" t="s">
        <v>91</v>
      </c>
      <c r="M274" s="9">
        <v>10.02</v>
      </c>
      <c r="N274" s="9">
        <v>5.95</v>
      </c>
      <c r="O274" s="9">
        <v>-0.03</v>
      </c>
      <c r="P274" s="9">
        <v>-0.34</v>
      </c>
      <c r="Q274" s="9">
        <v>4.55</v>
      </c>
      <c r="R274" s="9">
        <v>-0.11</v>
      </c>
      <c r="S274" s="9">
        <v>0.01</v>
      </c>
    </row>
    <row r="275" spans="1:19">
      <c r="A275">
        <v>6.02</v>
      </c>
      <c r="B275">
        <v>-0.37</v>
      </c>
      <c r="C275">
        <v>-0.64</v>
      </c>
      <c r="D275">
        <v>4.55</v>
      </c>
      <c r="E275">
        <v>-0.06</v>
      </c>
      <c r="F275">
        <v>0</v>
      </c>
      <c r="G275" s="18">
        <v>9.4919617163486976</v>
      </c>
      <c r="H275">
        <v>9.51</v>
      </c>
      <c r="I275" s="18">
        <v>1.8038283651302223E-2</v>
      </c>
      <c r="K275" s="9">
        <v>8</v>
      </c>
      <c r="L275" s="9" t="s">
        <v>92</v>
      </c>
      <c r="M275" s="9">
        <v>9.98</v>
      </c>
      <c r="N275" s="9">
        <v>5.89</v>
      </c>
      <c r="O275" s="9">
        <v>-0.01</v>
      </c>
      <c r="P275" s="9">
        <v>-0.45</v>
      </c>
      <c r="Q275" s="9">
        <v>4.55</v>
      </c>
      <c r="R275" s="9">
        <v>-0.02</v>
      </c>
      <c r="S275" s="9">
        <v>0.01</v>
      </c>
    </row>
    <row r="276" spans="1:19">
      <c r="A276">
        <v>5.99</v>
      </c>
      <c r="B276">
        <v>-0.16</v>
      </c>
      <c r="C276">
        <v>-0.35</v>
      </c>
      <c r="D276">
        <v>4.55</v>
      </c>
      <c r="E276">
        <v>0.06</v>
      </c>
      <c r="F276">
        <v>0.01</v>
      </c>
      <c r="G276" s="18">
        <v>10.093613320037694</v>
      </c>
      <c r="H276">
        <v>10.1</v>
      </c>
      <c r="I276" s="18">
        <v>6.3866799623060189E-3</v>
      </c>
      <c r="K276" s="9">
        <v>8</v>
      </c>
      <c r="L276" s="9" t="s">
        <v>93</v>
      </c>
      <c r="M276" s="9">
        <v>10.050000000000001</v>
      </c>
      <c r="N276" s="9">
        <v>6.05</v>
      </c>
      <c r="O276" s="9">
        <v>-0.18</v>
      </c>
      <c r="P276" s="9">
        <v>-0.4</v>
      </c>
      <c r="Q276" s="9">
        <v>4.55</v>
      </c>
      <c r="R276" s="9">
        <v>0.03</v>
      </c>
      <c r="S276" s="9">
        <v>0.01</v>
      </c>
    </row>
    <row r="277" spans="1:19">
      <c r="A277">
        <v>6.81</v>
      </c>
      <c r="B277">
        <v>-0.66</v>
      </c>
      <c r="C277">
        <v>-0.69</v>
      </c>
      <c r="D277">
        <v>4.55</v>
      </c>
      <c r="E277">
        <v>0.04</v>
      </c>
      <c r="F277">
        <v>-0.03</v>
      </c>
      <c r="G277" s="18">
        <v>10.010777107393162</v>
      </c>
      <c r="H277">
        <v>10.01</v>
      </c>
      <c r="I277" s="18">
        <v>-7.7710739316216859E-4</v>
      </c>
      <c r="K277" s="9">
        <v>8</v>
      </c>
      <c r="L277" s="9" t="s">
        <v>94</v>
      </c>
      <c r="M277" s="9">
        <v>10.11</v>
      </c>
      <c r="N277" s="9">
        <v>5.85</v>
      </c>
      <c r="O277" s="9">
        <v>0.06</v>
      </c>
      <c r="P277" s="9">
        <v>-0.28999999999999998</v>
      </c>
      <c r="Q277" s="9">
        <v>4.55</v>
      </c>
      <c r="R277" s="9">
        <v>-7.0000000000000007E-2</v>
      </c>
      <c r="S277" s="9">
        <v>0.01</v>
      </c>
    </row>
    <row r="278" spans="1:19">
      <c r="A278">
        <v>6.15</v>
      </c>
      <c r="B278">
        <v>-0.33</v>
      </c>
      <c r="C278">
        <v>-0.5</v>
      </c>
      <c r="D278">
        <v>4.55</v>
      </c>
      <c r="E278">
        <v>-0.04</v>
      </c>
      <c r="F278">
        <v>-0.04</v>
      </c>
      <c r="G278" s="18">
        <v>9.7810290359289773</v>
      </c>
      <c r="H278">
        <v>9.75</v>
      </c>
      <c r="I278" s="18">
        <v>-3.1029035928977322E-2</v>
      </c>
      <c r="K278" s="9">
        <v>8</v>
      </c>
      <c r="L278" s="9" t="s">
        <v>95</v>
      </c>
      <c r="M278" s="9">
        <v>10.55</v>
      </c>
      <c r="N278" s="9">
        <v>6.91</v>
      </c>
      <c r="O278" s="9">
        <v>-0.18</v>
      </c>
      <c r="P278" s="9">
        <v>-0.67</v>
      </c>
      <c r="Q278" s="9">
        <v>4.55</v>
      </c>
      <c r="R278" s="9">
        <v>-0.05</v>
      </c>
      <c r="S278" s="9">
        <v>0</v>
      </c>
    </row>
    <row r="279" spans="1:19">
      <c r="A279">
        <v>5.48</v>
      </c>
      <c r="B279">
        <v>-0.21</v>
      </c>
      <c r="C279">
        <v>-0.32</v>
      </c>
      <c r="D279">
        <v>4.55</v>
      </c>
      <c r="E279">
        <v>0.02</v>
      </c>
      <c r="F279">
        <v>-0.01</v>
      </c>
      <c r="G279" s="18">
        <v>9.5003045832319213</v>
      </c>
      <c r="H279">
        <v>9.5</v>
      </c>
      <c r="I279" s="18">
        <v>-3.0458323192128489E-4</v>
      </c>
      <c r="K279" s="9">
        <v>8</v>
      </c>
      <c r="L279" s="9" t="s">
        <v>96</v>
      </c>
      <c r="M279" s="9">
        <v>10.06</v>
      </c>
      <c r="N279" s="9">
        <v>6.56</v>
      </c>
      <c r="O279" s="9">
        <v>-0.27</v>
      </c>
      <c r="P279" s="9">
        <v>-0.73</v>
      </c>
      <c r="Q279" s="9">
        <v>4.55</v>
      </c>
      <c r="R279" s="9">
        <v>-0.06</v>
      </c>
      <c r="S279" s="9">
        <v>0.01</v>
      </c>
    </row>
    <row r="280" spans="1:19">
      <c r="A280">
        <v>5.0599999999999996</v>
      </c>
      <c r="B280">
        <v>-0.05</v>
      </c>
      <c r="C280">
        <v>0</v>
      </c>
      <c r="D280">
        <v>4.55</v>
      </c>
      <c r="E280">
        <v>-0.05</v>
      </c>
      <c r="F280">
        <v>0.01</v>
      </c>
      <c r="G280" s="18">
        <v>9.515770559972621</v>
      </c>
      <c r="H280">
        <v>9.52</v>
      </c>
      <c r="I280" s="18">
        <v>4.2294400273785726E-3</v>
      </c>
      <c r="K280" s="9">
        <v>8</v>
      </c>
      <c r="L280" s="9" t="s">
        <v>97</v>
      </c>
      <c r="M280" s="9">
        <v>10.08</v>
      </c>
      <c r="N280" s="9">
        <v>6.3</v>
      </c>
      <c r="O280" s="9">
        <v>-0.1</v>
      </c>
      <c r="P280" s="9">
        <v>-0.59</v>
      </c>
      <c r="Q280" s="9">
        <v>4.55</v>
      </c>
      <c r="R280" s="9">
        <v>-0.09</v>
      </c>
      <c r="S280" s="9">
        <v>0.01</v>
      </c>
    </row>
    <row r="281" spans="1:19">
      <c r="A281">
        <v>5.43</v>
      </c>
      <c r="B281">
        <v>-0.09</v>
      </c>
      <c r="C281">
        <v>-0.09</v>
      </c>
      <c r="D281">
        <v>4.55</v>
      </c>
      <c r="E281">
        <v>0.03</v>
      </c>
      <c r="F281">
        <v>0.01</v>
      </c>
      <c r="G281" s="18">
        <v>9.8346320449144908</v>
      </c>
      <c r="H281">
        <v>9.82</v>
      </c>
      <c r="I281" s="18">
        <v>-1.463204491449055E-2</v>
      </c>
      <c r="K281" s="9">
        <v>8</v>
      </c>
      <c r="L281" s="9" t="s">
        <v>98</v>
      </c>
      <c r="M281" s="9">
        <v>10.08</v>
      </c>
      <c r="N281" s="9">
        <v>6.35</v>
      </c>
      <c r="O281" s="9">
        <v>-0.21</v>
      </c>
      <c r="P281" s="9">
        <v>-0.55000000000000004</v>
      </c>
      <c r="Q281" s="9">
        <v>4.55</v>
      </c>
      <c r="R281" s="9">
        <v>-7.0000000000000007E-2</v>
      </c>
      <c r="S281" s="9">
        <v>0.01</v>
      </c>
    </row>
    <row r="282" spans="1:19">
      <c r="A282">
        <v>5.24</v>
      </c>
      <c r="B282">
        <v>-0.02</v>
      </c>
      <c r="C282">
        <v>-0.09</v>
      </c>
      <c r="D282">
        <v>4.55</v>
      </c>
      <c r="E282">
        <v>-0.01</v>
      </c>
      <c r="F282">
        <v>0.01</v>
      </c>
      <c r="G282" s="18">
        <v>9.6746020216767743</v>
      </c>
      <c r="H282">
        <v>9.68</v>
      </c>
      <c r="I282" s="18">
        <v>5.3979783232254164E-3</v>
      </c>
      <c r="K282" s="9">
        <v>8</v>
      </c>
      <c r="L282" s="9" t="s">
        <v>99</v>
      </c>
      <c r="M282" s="9">
        <v>9.77</v>
      </c>
      <c r="N282" s="9">
        <v>6.14</v>
      </c>
      <c r="O282" s="9">
        <v>-0.13</v>
      </c>
      <c r="P282" s="9">
        <v>-0.75</v>
      </c>
      <c r="Q282" s="9">
        <v>4.55</v>
      </c>
      <c r="R282" s="9">
        <v>-0.04</v>
      </c>
      <c r="S282" s="9">
        <v>0.01</v>
      </c>
    </row>
    <row r="283" spans="1:19">
      <c r="A283">
        <v>5.03</v>
      </c>
      <c r="B283">
        <v>-0.02</v>
      </c>
      <c r="C283">
        <v>0.1</v>
      </c>
      <c r="D283">
        <v>4.55</v>
      </c>
      <c r="E283">
        <v>0</v>
      </c>
      <c r="F283">
        <v>0.01</v>
      </c>
      <c r="G283" s="18">
        <v>9.6656690299051231</v>
      </c>
      <c r="H283">
        <v>9.67</v>
      </c>
      <c r="I283" s="18">
        <v>4.3309700948768182E-3</v>
      </c>
      <c r="K283" s="9">
        <v>8</v>
      </c>
      <c r="L283" s="9" t="s">
        <v>100</v>
      </c>
      <c r="M283" s="9">
        <v>10.130000000000001</v>
      </c>
      <c r="N283" s="9">
        <v>6.64</v>
      </c>
      <c r="O283" s="9">
        <v>-0.11</v>
      </c>
      <c r="P283" s="9">
        <v>-0.91</v>
      </c>
      <c r="Q283" s="9">
        <v>4.55</v>
      </c>
      <c r="R283" s="9">
        <v>-0.04</v>
      </c>
      <c r="S283" s="9">
        <v>0.01</v>
      </c>
    </row>
    <row r="284" spans="1:19">
      <c r="A284">
        <v>5.0999999999999996</v>
      </c>
      <c r="B284">
        <v>-0.06</v>
      </c>
      <c r="C284">
        <v>0.1</v>
      </c>
      <c r="D284">
        <v>4.55</v>
      </c>
      <c r="E284">
        <v>0.02</v>
      </c>
      <c r="F284">
        <v>0.01</v>
      </c>
      <c r="G284" s="18">
        <v>9.7155244728768437</v>
      </c>
      <c r="H284">
        <v>9.73</v>
      </c>
      <c r="I284" s="18">
        <v>1.4475527123156695E-2</v>
      </c>
      <c r="K284" s="9">
        <v>8</v>
      </c>
      <c r="L284" s="9" t="s">
        <v>101</v>
      </c>
      <c r="M284" s="9">
        <v>9.44</v>
      </c>
      <c r="N284" s="9">
        <v>6.4</v>
      </c>
      <c r="O284" s="9">
        <v>0.11</v>
      </c>
      <c r="P284" s="9">
        <v>-1.41</v>
      </c>
      <c r="Q284" s="9">
        <v>4.55</v>
      </c>
      <c r="R284" s="9">
        <v>-0.01</v>
      </c>
      <c r="S284" s="9">
        <v>-0.03</v>
      </c>
    </row>
    <row r="285" spans="1:19">
      <c r="A285">
        <v>4.49</v>
      </c>
      <c r="B285">
        <v>0.16</v>
      </c>
      <c r="C285">
        <v>0.62</v>
      </c>
      <c r="D285">
        <v>4.55</v>
      </c>
      <c r="E285">
        <v>0.02</v>
      </c>
      <c r="F285">
        <v>0.01</v>
      </c>
      <c r="G285" s="18">
        <v>9.8491944869219203</v>
      </c>
      <c r="H285">
        <v>9.85</v>
      </c>
      <c r="I285" s="18">
        <v>8.0551307807930073E-4</v>
      </c>
    </row>
    <row r="286" spans="1:19">
      <c r="A286">
        <v>5.08</v>
      </c>
      <c r="B286">
        <v>-7.0000000000000007E-2</v>
      </c>
      <c r="C286">
        <v>0.34</v>
      </c>
      <c r="D286">
        <v>4.55</v>
      </c>
      <c r="E286">
        <v>0.05</v>
      </c>
      <c r="F286">
        <v>0.01</v>
      </c>
      <c r="G286" s="18">
        <v>9.9579110361234218</v>
      </c>
      <c r="H286">
        <v>9.92</v>
      </c>
      <c r="I286" s="18">
        <v>-3.7911036123421837E-2</v>
      </c>
    </row>
    <row r="287" spans="1:19">
      <c r="A287">
        <v>5.28</v>
      </c>
      <c r="B287">
        <v>-0.15</v>
      </c>
      <c r="C287">
        <v>-0.28000000000000003</v>
      </c>
      <c r="D287">
        <v>4.55</v>
      </c>
      <c r="E287">
        <v>0.03</v>
      </c>
      <c r="F287">
        <v>-0.21</v>
      </c>
      <c r="G287" s="18">
        <v>9.1935162029412556</v>
      </c>
      <c r="H287">
        <v>9.2100000000000009</v>
      </c>
      <c r="I287" s="18">
        <v>1.6483797058745253E-2</v>
      </c>
    </row>
    <row r="288" spans="1:19">
      <c r="A288">
        <v>4.97</v>
      </c>
      <c r="B288">
        <v>-0.08</v>
      </c>
      <c r="C288">
        <v>0.11</v>
      </c>
      <c r="D288">
        <v>4.55</v>
      </c>
      <c r="E288">
        <v>0.03</v>
      </c>
      <c r="F288">
        <v>0.01</v>
      </c>
      <c r="G288" s="18">
        <v>9.5845730698654901</v>
      </c>
      <c r="H288">
        <v>9.59</v>
      </c>
      <c r="I288" s="18">
        <v>5.4269301345097887E-3</v>
      </c>
    </row>
    <row r="289" spans="1:9">
      <c r="A289">
        <v>5.12</v>
      </c>
      <c r="B289">
        <v>0</v>
      </c>
      <c r="C289">
        <v>0.06</v>
      </c>
      <c r="D289">
        <v>4.55</v>
      </c>
      <c r="E289">
        <v>0.01</v>
      </c>
      <c r="F289">
        <v>-0.04</v>
      </c>
      <c r="G289" s="18">
        <v>9.6914490956634758</v>
      </c>
      <c r="H289">
        <v>9.6999999999999993</v>
      </c>
      <c r="I289" s="18">
        <v>8.5509043365235016E-3</v>
      </c>
    </row>
    <row r="290" spans="1:9">
      <c r="A290">
        <v>5.43</v>
      </c>
      <c r="B290">
        <v>-0.14000000000000001</v>
      </c>
      <c r="C290">
        <v>-0.05</v>
      </c>
      <c r="D290">
        <v>4.55</v>
      </c>
      <c r="E290">
        <v>-0.1</v>
      </c>
      <c r="F290">
        <v>0.01</v>
      </c>
      <c r="G290" s="18">
        <v>9.6985954836398189</v>
      </c>
      <c r="H290">
        <v>9.7100000000000009</v>
      </c>
      <c r="I290" s="18">
        <v>1.1404516360181916E-2</v>
      </c>
    </row>
    <row r="291" spans="1:9">
      <c r="A291">
        <v>5.4</v>
      </c>
      <c r="B291">
        <v>-0.16</v>
      </c>
      <c r="C291">
        <v>-0.13</v>
      </c>
      <c r="D291">
        <v>4.55</v>
      </c>
      <c r="E291">
        <v>-0.09</v>
      </c>
      <c r="F291">
        <v>-0.01</v>
      </c>
      <c r="G291" s="18">
        <v>9.5554249904155846</v>
      </c>
      <c r="H291">
        <v>9.5500000000000007</v>
      </c>
      <c r="I291" s="18">
        <v>-5.4249904155838635E-3</v>
      </c>
    </row>
    <row r="292" spans="1:9">
      <c r="A292">
        <v>5.28</v>
      </c>
      <c r="B292">
        <v>-0.09</v>
      </c>
      <c r="C292">
        <v>-0.17</v>
      </c>
      <c r="D292">
        <v>4.55</v>
      </c>
      <c r="E292">
        <v>0.05</v>
      </c>
      <c r="F292">
        <v>0.01</v>
      </c>
      <c r="G292" s="18">
        <v>9.6220674212038411</v>
      </c>
      <c r="H292">
        <v>9.6300000000000008</v>
      </c>
      <c r="I292" s="18">
        <v>7.9325787961597172E-3</v>
      </c>
    </row>
    <row r="293" spans="1:9">
      <c r="A293">
        <v>5.4</v>
      </c>
      <c r="B293">
        <v>-0.01</v>
      </c>
      <c r="C293">
        <v>-0.12</v>
      </c>
      <c r="D293">
        <v>4.55</v>
      </c>
      <c r="E293">
        <v>0.03</v>
      </c>
      <c r="F293">
        <v>-0.05</v>
      </c>
      <c r="G293" s="18">
        <v>9.7893464974751492</v>
      </c>
      <c r="H293">
        <v>9.8000000000000007</v>
      </c>
      <c r="I293" s="18">
        <v>1.0653502524851532E-2</v>
      </c>
    </row>
    <row r="294" spans="1:9">
      <c r="A294">
        <v>5.0999999999999996</v>
      </c>
      <c r="B294">
        <v>-0.05</v>
      </c>
      <c r="C294">
        <v>7.0000000000000007E-2</v>
      </c>
      <c r="D294">
        <v>4.55</v>
      </c>
      <c r="E294">
        <v>-0.02</v>
      </c>
      <c r="F294">
        <v>-0.03</v>
      </c>
      <c r="G294" s="18">
        <v>9.6130047945008865</v>
      </c>
      <c r="H294">
        <v>9.61</v>
      </c>
      <c r="I294" s="18">
        <v>-3.0047945008870869E-3</v>
      </c>
    </row>
    <row r="295" spans="1:9">
      <c r="A295">
        <v>4.9400000000000004</v>
      </c>
      <c r="B295">
        <v>0.18</v>
      </c>
      <c r="C295">
        <v>0.21</v>
      </c>
      <c r="D295">
        <v>4.55</v>
      </c>
      <c r="E295">
        <v>0.03</v>
      </c>
      <c r="F295">
        <v>0.01</v>
      </c>
      <c r="G295" s="18">
        <v>9.9160526564916029</v>
      </c>
      <c r="H295">
        <v>9.93</v>
      </c>
      <c r="I295" s="18">
        <v>1.394734350839677E-2</v>
      </c>
    </row>
    <row r="296" spans="1:9">
      <c r="A296">
        <v>5.22</v>
      </c>
      <c r="B296">
        <v>0.02</v>
      </c>
      <c r="C296">
        <v>-0.01</v>
      </c>
      <c r="D296">
        <v>4.55</v>
      </c>
      <c r="E296">
        <v>-0.02</v>
      </c>
      <c r="F296">
        <v>0.01</v>
      </c>
      <c r="G296" s="18">
        <v>9.7658951366287212</v>
      </c>
      <c r="H296">
        <v>9.77</v>
      </c>
      <c r="I296" s="18">
        <v>4.1048633712783555E-3</v>
      </c>
    </row>
    <row r="297" spans="1:9">
      <c r="A297">
        <v>5.35</v>
      </c>
      <c r="B297">
        <v>0.09</v>
      </c>
      <c r="C297">
        <v>-0.17</v>
      </c>
      <c r="D297">
        <v>4.55</v>
      </c>
      <c r="E297">
        <v>0.05</v>
      </c>
      <c r="F297">
        <v>0.01</v>
      </c>
      <c r="G297" s="18">
        <v>9.8726937443256073</v>
      </c>
      <c r="H297">
        <v>9.8800000000000008</v>
      </c>
      <c r="I297" s="18">
        <v>7.3062556743934692E-3</v>
      </c>
    </row>
    <row r="298" spans="1:9">
      <c r="A298">
        <v>5.25</v>
      </c>
      <c r="B298">
        <v>0.08</v>
      </c>
      <c r="C298">
        <v>0.05</v>
      </c>
      <c r="D298">
        <v>4.55</v>
      </c>
      <c r="E298">
        <v>-0.04</v>
      </c>
      <c r="F298">
        <v>0.01</v>
      </c>
      <c r="G298" s="18">
        <v>9.8975080004110136</v>
      </c>
      <c r="H298">
        <v>9.89</v>
      </c>
      <c r="I298" s="18">
        <v>-7.5080004110130716E-3</v>
      </c>
    </row>
    <row r="299" spans="1:9">
      <c r="A299">
        <v>5.34</v>
      </c>
      <c r="B299">
        <v>0.16</v>
      </c>
      <c r="C299">
        <v>0.11</v>
      </c>
      <c r="D299">
        <v>4.55</v>
      </c>
      <c r="E299">
        <v>-0.04</v>
      </c>
      <c r="F299">
        <v>0.01</v>
      </c>
      <c r="G299" s="18">
        <v>10.128979533419461</v>
      </c>
      <c r="H299">
        <v>10.130000000000001</v>
      </c>
      <c r="I299" s="18">
        <v>1.0204665805400026E-3</v>
      </c>
    </row>
    <row r="300" spans="1:9">
      <c r="A300">
        <v>5.56</v>
      </c>
      <c r="B300">
        <v>0.02</v>
      </c>
      <c r="C300">
        <v>-0.04</v>
      </c>
      <c r="D300">
        <v>4.55</v>
      </c>
      <c r="E300">
        <v>0.02</v>
      </c>
      <c r="F300">
        <v>0.01</v>
      </c>
      <c r="G300" s="18">
        <v>10.116510816126727</v>
      </c>
      <c r="H300">
        <v>10.119999999999999</v>
      </c>
      <c r="I300" s="18">
        <v>3.4891838732722391E-3</v>
      </c>
    </row>
    <row r="301" spans="1:9">
      <c r="A301">
        <v>5.91</v>
      </c>
      <c r="B301">
        <v>-0.02</v>
      </c>
      <c r="C301">
        <v>-0.44</v>
      </c>
      <c r="D301">
        <v>4.55</v>
      </c>
      <c r="E301">
        <v>-0.06</v>
      </c>
      <c r="F301">
        <v>-0.02</v>
      </c>
      <c r="G301" s="18">
        <v>9.9128380241427472</v>
      </c>
      <c r="H301">
        <v>9.91</v>
      </c>
      <c r="I301" s="18">
        <v>-2.838024142747031E-3</v>
      </c>
    </row>
    <row r="302" spans="1:9">
      <c r="A302">
        <v>6.11</v>
      </c>
      <c r="B302">
        <v>-0.11</v>
      </c>
      <c r="C302">
        <v>-0.52</v>
      </c>
      <c r="D302">
        <v>4.55</v>
      </c>
      <c r="E302">
        <v>0.05</v>
      </c>
      <c r="F302">
        <v>-0.01</v>
      </c>
      <c r="G302" s="18">
        <v>10.060731398527297</v>
      </c>
      <c r="H302">
        <v>10.06</v>
      </c>
      <c r="I302" s="18">
        <v>-7.3139852729653398E-4</v>
      </c>
    </row>
    <row r="303" spans="1:9">
      <c r="A303">
        <v>6.04</v>
      </c>
      <c r="B303">
        <v>-0.15</v>
      </c>
      <c r="C303">
        <v>-0.66</v>
      </c>
      <c r="D303">
        <v>4.55</v>
      </c>
      <c r="E303">
        <v>7.0000000000000007E-2</v>
      </c>
      <c r="F303">
        <v>0.01</v>
      </c>
      <c r="G303" s="18">
        <v>9.8493774840009216</v>
      </c>
      <c r="H303">
        <v>9.86</v>
      </c>
      <c r="I303" s="18">
        <v>1.062251599907782E-2</v>
      </c>
    </row>
    <row r="304" spans="1:9">
      <c r="A304">
        <v>6.35</v>
      </c>
      <c r="B304">
        <v>-0.26</v>
      </c>
      <c r="C304">
        <v>-0.51</v>
      </c>
      <c r="D304">
        <v>4.55</v>
      </c>
      <c r="E304">
        <v>0.08</v>
      </c>
      <c r="F304">
        <v>-0.13</v>
      </c>
      <c r="G304" s="18">
        <v>10.061843917588726</v>
      </c>
      <c r="H304">
        <v>9.94</v>
      </c>
      <c r="I304" s="18">
        <v>-0.12184391758872692</v>
      </c>
    </row>
    <row r="305" spans="1:9">
      <c r="A305">
        <v>5.65</v>
      </c>
      <c r="B305">
        <v>7.0000000000000007E-2</v>
      </c>
      <c r="C305">
        <v>-0.24</v>
      </c>
      <c r="D305">
        <v>4.55</v>
      </c>
      <c r="E305">
        <v>0.01</v>
      </c>
      <c r="F305">
        <v>0.01</v>
      </c>
      <c r="G305" s="18">
        <v>10.044619571549216</v>
      </c>
      <c r="H305">
        <v>10.050000000000001</v>
      </c>
      <c r="I305" s="18">
        <v>5.380428450784791E-3</v>
      </c>
    </row>
    <row r="306" spans="1:9">
      <c r="A306">
        <v>5.38</v>
      </c>
      <c r="B306">
        <v>0.04</v>
      </c>
      <c r="C306">
        <v>-0.13</v>
      </c>
      <c r="D306">
        <v>4.55</v>
      </c>
      <c r="E306">
        <v>-0.06</v>
      </c>
      <c r="F306">
        <v>0.01</v>
      </c>
      <c r="G306" s="18">
        <v>9.7863092287394569</v>
      </c>
      <c r="H306">
        <v>9.7799999999999994</v>
      </c>
      <c r="I306" s="18">
        <v>-6.3092287394574953E-3</v>
      </c>
    </row>
    <row r="307" spans="1:9">
      <c r="A307">
        <v>5.83</v>
      </c>
      <c r="B307">
        <v>-0.17</v>
      </c>
      <c r="C307">
        <v>-0.09</v>
      </c>
      <c r="D307">
        <v>4.55</v>
      </c>
      <c r="E307">
        <v>0.03</v>
      </c>
      <c r="F307">
        <v>0.01</v>
      </c>
      <c r="G307" s="18">
        <v>10.157012101427958</v>
      </c>
      <c r="H307">
        <v>10.15</v>
      </c>
      <c r="I307" s="18">
        <v>-7.0121014279571625E-3</v>
      </c>
    </row>
    <row r="308" spans="1:9">
      <c r="A308">
        <v>6.16</v>
      </c>
      <c r="B308">
        <v>-0.11</v>
      </c>
      <c r="C308">
        <v>-0.38</v>
      </c>
      <c r="D308">
        <v>4.55</v>
      </c>
      <c r="E308">
        <v>0.02</v>
      </c>
      <c r="F308">
        <v>0</v>
      </c>
      <c r="G308" s="18">
        <v>10.23457122701603</v>
      </c>
      <c r="H308">
        <v>10.24</v>
      </c>
      <c r="I308" s="18">
        <v>5.4287729839703758E-3</v>
      </c>
    </row>
    <row r="309" spans="1:9">
      <c r="A309">
        <v>5.95</v>
      </c>
      <c r="B309">
        <v>-0.03</v>
      </c>
      <c r="C309">
        <v>-0.34</v>
      </c>
      <c r="D309">
        <v>4.55</v>
      </c>
      <c r="E309">
        <v>-0.11</v>
      </c>
      <c r="F309">
        <v>0.01</v>
      </c>
      <c r="G309" s="18">
        <v>10.028175652245777</v>
      </c>
      <c r="H309">
        <v>10.02</v>
      </c>
      <c r="I309" s="18">
        <v>-8.1756522457769876E-3</v>
      </c>
    </row>
    <row r="310" spans="1:9">
      <c r="A310">
        <v>5.89</v>
      </c>
      <c r="B310">
        <v>-0.01</v>
      </c>
      <c r="C310">
        <v>-0.45</v>
      </c>
      <c r="D310">
        <v>4.55</v>
      </c>
      <c r="E310">
        <v>-0.02</v>
      </c>
      <c r="F310">
        <v>0.01</v>
      </c>
      <c r="G310" s="18">
        <v>9.9639073059385552</v>
      </c>
      <c r="H310">
        <v>9.98</v>
      </c>
      <c r="I310" s="18">
        <v>1.6092694061445201E-2</v>
      </c>
    </row>
    <row r="311" spans="1:9">
      <c r="A311">
        <v>6.05</v>
      </c>
      <c r="B311">
        <v>-0.18</v>
      </c>
      <c r="C311">
        <v>-0.4</v>
      </c>
      <c r="D311">
        <v>4.55</v>
      </c>
      <c r="E311">
        <v>0.03</v>
      </c>
      <c r="F311">
        <v>0.01</v>
      </c>
      <c r="G311" s="18">
        <v>10.054069404379979</v>
      </c>
      <c r="H311">
        <v>10.050000000000001</v>
      </c>
      <c r="I311" s="18">
        <v>-4.0694043799778257E-3</v>
      </c>
    </row>
    <row r="312" spans="1:9">
      <c r="A312">
        <v>5.85</v>
      </c>
      <c r="B312">
        <v>0.06</v>
      </c>
      <c r="C312">
        <v>-0.28999999999999998</v>
      </c>
      <c r="D312">
        <v>4.55</v>
      </c>
      <c r="E312">
        <v>-7.0000000000000007E-2</v>
      </c>
      <c r="F312">
        <v>0.01</v>
      </c>
      <c r="G312" s="18">
        <v>10.107282142155928</v>
      </c>
      <c r="H312">
        <v>10.11</v>
      </c>
      <c r="I312" s="18">
        <v>2.7178578440718582E-3</v>
      </c>
    </row>
    <row r="313" spans="1:9">
      <c r="A313">
        <v>6.91</v>
      </c>
      <c r="B313">
        <v>-0.18</v>
      </c>
      <c r="C313">
        <v>-0.67</v>
      </c>
      <c r="D313">
        <v>4.55</v>
      </c>
      <c r="E313">
        <v>-0.05</v>
      </c>
      <c r="F313">
        <v>0</v>
      </c>
      <c r="G313" s="18">
        <v>10.556973848432643</v>
      </c>
      <c r="H313">
        <v>10.55</v>
      </c>
      <c r="I313" s="18">
        <v>-6.973848432641816E-3</v>
      </c>
    </row>
    <row r="314" spans="1:9">
      <c r="A314">
        <v>6.56</v>
      </c>
      <c r="B314">
        <v>-0.27</v>
      </c>
      <c r="C314">
        <v>-0.73</v>
      </c>
      <c r="D314">
        <v>4.55</v>
      </c>
      <c r="E314">
        <v>-0.06</v>
      </c>
      <c r="F314">
        <v>0.01</v>
      </c>
      <c r="G314" s="18">
        <v>10.054950041948233</v>
      </c>
      <c r="H314">
        <v>10.06</v>
      </c>
      <c r="I314" s="18">
        <v>5.0499580517673337E-3</v>
      </c>
    </row>
    <row r="315" spans="1:9">
      <c r="A315">
        <v>6.3</v>
      </c>
      <c r="B315">
        <v>-0.1</v>
      </c>
      <c r="C315">
        <v>-0.59</v>
      </c>
      <c r="D315">
        <v>4.55</v>
      </c>
      <c r="E315">
        <v>-0.09</v>
      </c>
      <c r="F315">
        <v>0.01</v>
      </c>
      <c r="G315" s="18">
        <v>10.076266786719962</v>
      </c>
      <c r="H315">
        <v>10.08</v>
      </c>
      <c r="I315" s="18">
        <v>3.7332132800376172E-3</v>
      </c>
    </row>
    <row r="316" spans="1:9">
      <c r="A316">
        <v>6.35</v>
      </c>
      <c r="B316">
        <v>-0.21</v>
      </c>
      <c r="C316">
        <v>-0.55000000000000004</v>
      </c>
      <c r="D316">
        <v>4.55</v>
      </c>
      <c r="E316">
        <v>-7.0000000000000007E-2</v>
      </c>
      <c r="F316">
        <v>0.01</v>
      </c>
      <c r="G316" s="18">
        <v>10.076476549791636</v>
      </c>
      <c r="H316">
        <v>10.08</v>
      </c>
      <c r="I316" s="18">
        <v>3.5234502083643093E-3</v>
      </c>
    </row>
    <row r="317" spans="1:9">
      <c r="A317">
        <v>6.14</v>
      </c>
      <c r="B317">
        <v>-0.13</v>
      </c>
      <c r="C317">
        <v>-0.75</v>
      </c>
      <c r="D317">
        <v>4.55</v>
      </c>
      <c r="E317">
        <v>-0.04</v>
      </c>
      <c r="F317">
        <v>0.01</v>
      </c>
      <c r="G317" s="18">
        <v>9.7717019222458603</v>
      </c>
      <c r="H317">
        <v>9.77</v>
      </c>
      <c r="I317" s="18">
        <v>-1.701922245860743E-3</v>
      </c>
    </row>
    <row r="318" spans="1:9">
      <c r="A318">
        <v>6.64</v>
      </c>
      <c r="B318">
        <v>-0.11</v>
      </c>
      <c r="C318">
        <v>-0.91</v>
      </c>
      <c r="D318">
        <v>4.55</v>
      </c>
      <c r="E318">
        <v>-0.04</v>
      </c>
      <c r="F318">
        <v>0.01</v>
      </c>
      <c r="G318" s="18">
        <v>10.13259335516036</v>
      </c>
      <c r="H318">
        <v>10.130000000000001</v>
      </c>
      <c r="I318" s="18">
        <v>-2.5933551603589677E-3</v>
      </c>
    </row>
    <row r="319" spans="1:9">
      <c r="A319">
        <v>6.4</v>
      </c>
      <c r="B319">
        <v>0.11</v>
      </c>
      <c r="C319">
        <v>-1.41</v>
      </c>
      <c r="D319">
        <v>4.55</v>
      </c>
      <c r="E319">
        <v>-0.01</v>
      </c>
      <c r="F319">
        <v>-0.03</v>
      </c>
      <c r="G319" s="18">
        <v>9.5904536124441027</v>
      </c>
      <c r="H319">
        <v>9.44</v>
      </c>
      <c r="I319" s="18">
        <v>-0.15045361244410316</v>
      </c>
    </row>
  </sheetData>
  <mergeCells count="1">
    <mergeCell ref="K1:L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23"/>
  <sheetViews>
    <sheetView topLeftCell="A16" zoomScaleNormal="100" workbookViewId="0">
      <selection activeCell="B29" sqref="B29:B39"/>
    </sheetView>
  </sheetViews>
  <sheetFormatPr defaultColWidth="11.5703125" defaultRowHeight="12.75"/>
  <cols>
    <col min="1" max="1" width="14.5703125" customWidth="1"/>
    <col min="2" max="13" width="13" customWidth="1"/>
    <col min="14" max="15" width="8.5703125" customWidth="1"/>
    <col min="16" max="23" width="8.7109375" customWidth="1"/>
  </cols>
  <sheetData>
    <row r="1" spans="1:28" ht="15.6">
      <c r="P1" s="26" t="s">
        <v>24</v>
      </c>
      <c r="Q1" s="26"/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2</v>
      </c>
      <c r="Y1" s="1">
        <v>2</v>
      </c>
      <c r="Z1" s="1">
        <v>2</v>
      </c>
      <c r="AA1" s="1">
        <v>2</v>
      </c>
      <c r="AB1" s="1">
        <v>2</v>
      </c>
    </row>
    <row r="2" spans="1:28" ht="41.85" customHeight="1">
      <c r="P2" s="7" t="s">
        <v>25</v>
      </c>
      <c r="Q2" s="7" t="s">
        <v>26</v>
      </c>
      <c r="R2" s="8" t="s">
        <v>13</v>
      </c>
      <c r="S2" s="7" t="s">
        <v>102</v>
      </c>
      <c r="T2" s="7" t="s">
        <v>103</v>
      </c>
      <c r="U2" s="7" t="s">
        <v>104</v>
      </c>
      <c r="V2" s="7" t="s">
        <v>105</v>
      </c>
      <c r="W2" s="7" t="s">
        <v>106</v>
      </c>
      <c r="X2" s="28" t="s">
        <v>27</v>
      </c>
      <c r="Y2" s="28" t="s">
        <v>28</v>
      </c>
      <c r="Z2" s="28" t="s">
        <v>29</v>
      </c>
      <c r="AA2" s="28" t="s">
        <v>30</v>
      </c>
      <c r="AB2" s="28" t="s">
        <v>31</v>
      </c>
    </row>
    <row r="3" spans="1:28">
      <c r="A3" t="s">
        <v>32</v>
      </c>
      <c r="P3" s="9">
        <v>3</v>
      </c>
      <c r="Q3" s="9" t="s">
        <v>33</v>
      </c>
      <c r="R3" s="9">
        <v>10.45</v>
      </c>
      <c r="S3" s="15">
        <v>6.33</v>
      </c>
      <c r="T3" s="15">
        <v>-0.28999999999999998</v>
      </c>
      <c r="U3" s="15">
        <v>-0.32</v>
      </c>
      <c r="V3" s="15">
        <v>4.71</v>
      </c>
      <c r="W3" s="9">
        <v>0.02</v>
      </c>
      <c r="X3" s="10">
        <v>48</v>
      </c>
      <c r="Y3" s="10">
        <v>9.9</v>
      </c>
      <c r="Z3" s="10">
        <v>32.5</v>
      </c>
      <c r="AA3" s="10">
        <v>10.6</v>
      </c>
      <c r="AB3" s="10">
        <v>79.599999999999994</v>
      </c>
    </row>
    <row r="4" spans="1:28">
      <c r="A4" t="s">
        <v>34</v>
      </c>
      <c r="B4" t="s">
        <v>35</v>
      </c>
      <c r="P4" s="9">
        <v>3</v>
      </c>
      <c r="Q4" s="9" t="s">
        <v>36</v>
      </c>
      <c r="R4" s="9">
        <v>9.9600000000000009</v>
      </c>
      <c r="S4" s="15">
        <v>6.36</v>
      </c>
      <c r="T4" s="15">
        <v>-0.25</v>
      </c>
      <c r="U4" s="15">
        <v>-0.88</v>
      </c>
      <c r="V4" s="15">
        <v>4.71</v>
      </c>
      <c r="W4" s="9">
        <v>0.02</v>
      </c>
      <c r="X4" s="10">
        <v>55.1</v>
      </c>
      <c r="Y4" s="10">
        <v>17.8</v>
      </c>
      <c r="Z4" s="10">
        <v>32.299999999999997</v>
      </c>
      <c r="AA4" s="10">
        <v>10.6</v>
      </c>
      <c r="AB4" s="10">
        <v>80.3</v>
      </c>
    </row>
    <row r="5" spans="1:28">
      <c r="P5" s="9">
        <v>3</v>
      </c>
      <c r="Q5" s="9" t="s">
        <v>37</v>
      </c>
      <c r="R5" s="9">
        <v>9.74</v>
      </c>
      <c r="S5" s="15">
        <v>5.95</v>
      </c>
      <c r="T5" s="15">
        <v>-0.28999999999999998</v>
      </c>
      <c r="U5" s="15">
        <v>-0.62</v>
      </c>
      <c r="V5" s="15">
        <v>4.71</v>
      </c>
      <c r="W5" s="9">
        <v>-0.01</v>
      </c>
      <c r="X5" s="10">
        <v>57.9</v>
      </c>
      <c r="Y5" s="10">
        <v>14.6</v>
      </c>
      <c r="Z5" s="10">
        <v>32.299999999999997</v>
      </c>
      <c r="AA5" s="10">
        <v>11.8</v>
      </c>
      <c r="AB5" s="10">
        <v>83.2</v>
      </c>
    </row>
    <row r="6" spans="1:28">
      <c r="A6" t="s">
        <v>38</v>
      </c>
      <c r="F6" s="11"/>
      <c r="P6" s="9">
        <v>3</v>
      </c>
      <c r="Q6" s="9" t="s">
        <v>39</v>
      </c>
      <c r="R6" s="9">
        <v>10.01</v>
      </c>
      <c r="S6" s="15">
        <v>5.83</v>
      </c>
      <c r="T6" s="15">
        <v>-0.16</v>
      </c>
      <c r="U6" s="15">
        <v>-0.34</v>
      </c>
      <c r="V6" s="15">
        <v>4.71</v>
      </c>
      <c r="W6" s="9">
        <v>-0.02</v>
      </c>
      <c r="X6" s="10">
        <v>60</v>
      </c>
      <c r="Y6" s="10">
        <v>27.4</v>
      </c>
      <c r="Z6" s="10">
        <v>32.700000000000003</v>
      </c>
      <c r="AA6" s="10">
        <v>9.9</v>
      </c>
      <c r="AB6" s="10">
        <v>81.099999999999994</v>
      </c>
    </row>
    <row r="7" spans="1:28">
      <c r="A7" s="17">
        <f t="array" ref="A7:K11">LINEST($R$3:$R$284, $S$3:$AB$284, 1, 1)</f>
        <v>-6.1221323225668943E-5</v>
      </c>
      <c r="B7" s="17">
        <v>2.4980705670868403E-4</v>
      </c>
      <c r="C7" s="17">
        <v>-9.3923369610158011E-3</v>
      </c>
      <c r="D7" s="17">
        <v>-8.8369646507749941E-4</v>
      </c>
      <c r="E7" s="17">
        <v>-1.5185129432314958E-3</v>
      </c>
      <c r="F7" s="17">
        <v>0.96718605481453823</v>
      </c>
      <c r="G7" s="17">
        <v>0.97135384877088438</v>
      </c>
      <c r="H7" s="17">
        <v>1.0148937867800165</v>
      </c>
      <c r="I7" s="17">
        <v>1.0172443913224247</v>
      </c>
      <c r="J7" s="17">
        <v>1.0055835389340975</v>
      </c>
      <c r="K7" s="17">
        <v>0.51778630620989241</v>
      </c>
      <c r="P7" s="9">
        <v>3</v>
      </c>
      <c r="Q7" s="9" t="s">
        <v>40</v>
      </c>
      <c r="R7" s="9">
        <v>10.16</v>
      </c>
      <c r="S7" s="15">
        <v>6.92</v>
      </c>
      <c r="T7" s="15">
        <v>-0.56999999999999995</v>
      </c>
      <c r="U7" s="15">
        <v>-0.87</v>
      </c>
      <c r="V7" s="15">
        <v>4.71</v>
      </c>
      <c r="W7" s="9">
        <v>-0.02</v>
      </c>
      <c r="X7" s="10">
        <v>53.8</v>
      </c>
      <c r="Y7" s="10">
        <v>28.7</v>
      </c>
      <c r="Z7" s="10">
        <v>32.299999999999997</v>
      </c>
      <c r="AA7" s="10">
        <v>9.1999999999999993</v>
      </c>
      <c r="AB7" s="10">
        <v>79.3</v>
      </c>
    </row>
    <row r="8" spans="1:28">
      <c r="A8" s="17">
        <v>1.5658358527431747E-4</v>
      </c>
      <c r="B8" s="17">
        <v>2.8809989402842643E-4</v>
      </c>
      <c r="C8" s="17">
        <v>1.941635624960184E-3</v>
      </c>
      <c r="D8" s="17">
        <v>3.9120160228901612E-4</v>
      </c>
      <c r="E8" s="17">
        <v>3.9757408915534905E-4</v>
      </c>
      <c r="F8" s="17">
        <v>3.2662738992289289E-2</v>
      </c>
      <c r="G8" s="17">
        <v>6.2491747819796488E-2</v>
      </c>
      <c r="H8" s="17">
        <v>1.2126855600384049E-2</v>
      </c>
      <c r="I8" s="17">
        <v>1.7453659353107588E-2</v>
      </c>
      <c r="J8" s="17">
        <v>8.7641252532738509E-3</v>
      </c>
      <c r="K8" s="17">
        <v>0.3225506510122983</v>
      </c>
      <c r="P8" s="9">
        <v>3</v>
      </c>
      <c r="Q8" s="9" t="s">
        <v>41</v>
      </c>
      <c r="R8" s="9">
        <v>10.029999999999999</v>
      </c>
      <c r="S8" s="15">
        <v>6.09</v>
      </c>
      <c r="T8" s="15">
        <v>-0.25</v>
      </c>
      <c r="U8" s="15">
        <v>-0.5</v>
      </c>
      <c r="V8" s="15">
        <v>4.71</v>
      </c>
      <c r="W8" s="9">
        <v>0.04</v>
      </c>
      <c r="X8" s="10">
        <v>73.8</v>
      </c>
      <c r="Y8" s="10">
        <v>24</v>
      </c>
      <c r="Z8" s="10">
        <v>33.6</v>
      </c>
      <c r="AA8" s="10">
        <v>11.5</v>
      </c>
      <c r="AB8" s="10">
        <v>81.2</v>
      </c>
    </row>
    <row r="9" spans="1:28">
      <c r="A9" s="17">
        <v>0.98570968601067466</v>
      </c>
      <c r="B9" s="17">
        <v>3.2668858611056305E-2</v>
      </c>
      <c r="C9" s="17" t="e">
        <v>#N/A</v>
      </c>
      <c r="D9" s="17" t="e">
        <v>#N/A</v>
      </c>
      <c r="E9" s="17" t="e">
        <v>#N/A</v>
      </c>
      <c r="F9" s="17" t="e">
        <v>#N/A</v>
      </c>
      <c r="G9" s="17" t="e">
        <v>#N/A</v>
      </c>
      <c r="H9" s="17" t="e">
        <v>#N/A</v>
      </c>
      <c r="I9" s="17" t="e">
        <v>#N/A</v>
      </c>
      <c r="J9" s="17" t="e">
        <v>#N/A</v>
      </c>
      <c r="K9" s="17" t="e">
        <v>#N/A</v>
      </c>
      <c r="P9" s="9">
        <v>3</v>
      </c>
      <c r="Q9" s="9" t="s">
        <v>42</v>
      </c>
      <c r="R9" s="9">
        <v>9.64</v>
      </c>
      <c r="S9" s="15">
        <v>5.37</v>
      </c>
      <c r="T9" s="15">
        <v>-0.14000000000000001</v>
      </c>
      <c r="U9" s="15">
        <v>-0.28000000000000003</v>
      </c>
      <c r="V9" s="15">
        <v>4.71</v>
      </c>
      <c r="W9" s="9">
        <v>0</v>
      </c>
      <c r="X9" s="10">
        <v>55</v>
      </c>
      <c r="Y9" s="10">
        <v>23.9</v>
      </c>
      <c r="Z9" s="10">
        <v>33.9</v>
      </c>
      <c r="AA9" s="10">
        <v>10.6</v>
      </c>
      <c r="AB9" s="10">
        <v>79.5</v>
      </c>
    </row>
    <row r="10" spans="1:28">
      <c r="A10" s="17">
        <v>1869.2894019573841</v>
      </c>
      <c r="B10" s="17">
        <v>271</v>
      </c>
      <c r="C10" s="17" t="e">
        <v>#N/A</v>
      </c>
      <c r="D10" s="17" t="e">
        <v>#N/A</v>
      </c>
      <c r="E10" s="17" t="e">
        <v>#N/A</v>
      </c>
      <c r="F10" s="17" t="e">
        <v>#N/A</v>
      </c>
      <c r="G10" s="17" t="e">
        <v>#N/A</v>
      </c>
      <c r="H10" s="17" t="e">
        <v>#N/A</v>
      </c>
      <c r="I10" s="17" t="e">
        <v>#N/A</v>
      </c>
      <c r="J10" s="17" t="e">
        <v>#N/A</v>
      </c>
      <c r="K10" s="17" t="e">
        <v>#N/A</v>
      </c>
      <c r="P10" s="9">
        <v>3</v>
      </c>
      <c r="Q10" s="9" t="s">
        <v>43</v>
      </c>
      <c r="R10" s="9">
        <v>9.74</v>
      </c>
      <c r="S10" s="15">
        <v>5.04</v>
      </c>
      <c r="T10" s="15">
        <v>-0.02</v>
      </c>
      <c r="U10" s="15">
        <v>0.04</v>
      </c>
      <c r="V10" s="15">
        <v>4.71</v>
      </c>
      <c r="W10" s="9">
        <v>-0.03</v>
      </c>
      <c r="X10" s="10">
        <v>52.8</v>
      </c>
      <c r="Y10" s="10">
        <v>20.2</v>
      </c>
      <c r="Z10" s="10">
        <v>32.4</v>
      </c>
      <c r="AA10" s="10">
        <v>11.4</v>
      </c>
      <c r="AB10" s="10">
        <v>76.599999999999994</v>
      </c>
    </row>
    <row r="11" spans="1:28">
      <c r="A11" s="17">
        <v>19.950071950821201</v>
      </c>
      <c r="B11" s="17">
        <v>0.28922592151922988</v>
      </c>
      <c r="C11" s="17" t="e">
        <v>#N/A</v>
      </c>
      <c r="D11" s="17" t="e">
        <v>#N/A</v>
      </c>
      <c r="E11" s="17" t="e">
        <v>#N/A</v>
      </c>
      <c r="F11" s="17" t="e">
        <v>#N/A</v>
      </c>
      <c r="G11" s="17" t="e">
        <v>#N/A</v>
      </c>
      <c r="H11" s="17" t="e">
        <v>#N/A</v>
      </c>
      <c r="I11" s="17" t="e">
        <v>#N/A</v>
      </c>
      <c r="J11" s="17" t="e">
        <v>#N/A</v>
      </c>
      <c r="K11" s="17" t="e">
        <v>#N/A</v>
      </c>
      <c r="P11" s="9">
        <v>3</v>
      </c>
      <c r="Q11" s="9" t="s">
        <v>44</v>
      </c>
      <c r="R11" s="9">
        <v>9.8699999999999992</v>
      </c>
      <c r="S11" s="15">
        <v>5.25</v>
      </c>
      <c r="T11" s="15">
        <v>-0.05</v>
      </c>
      <c r="U11" s="15">
        <v>-0.03</v>
      </c>
      <c r="V11" s="15">
        <v>4.71</v>
      </c>
      <c r="W11" s="9">
        <v>-0.01</v>
      </c>
      <c r="X11" s="10">
        <v>53.3</v>
      </c>
      <c r="Y11" s="10">
        <v>22.7</v>
      </c>
      <c r="Z11" s="10">
        <v>33.9</v>
      </c>
      <c r="AA11" s="10">
        <v>10</v>
      </c>
      <c r="AB11" s="10">
        <v>76.7</v>
      </c>
    </row>
    <row r="12" spans="1:28">
      <c r="P12" s="9">
        <v>3</v>
      </c>
      <c r="Q12" s="9" t="s">
        <v>45</v>
      </c>
      <c r="R12" s="9">
        <v>9.66</v>
      </c>
      <c r="S12" s="15">
        <v>5.13</v>
      </c>
      <c r="T12" s="15">
        <v>-0.02</v>
      </c>
      <c r="U12" s="15">
        <v>-7.0000000000000007E-2</v>
      </c>
      <c r="V12" s="15">
        <v>4.71</v>
      </c>
      <c r="W12" s="9">
        <v>-0.09</v>
      </c>
      <c r="X12" s="10">
        <v>51.2</v>
      </c>
      <c r="Y12" s="10">
        <v>13.5</v>
      </c>
      <c r="Z12" s="10">
        <v>33</v>
      </c>
      <c r="AA12" s="10">
        <v>10.3</v>
      </c>
      <c r="AB12" s="10">
        <v>77.8</v>
      </c>
    </row>
    <row r="13" spans="1:28">
      <c r="A13" t="s">
        <v>46</v>
      </c>
      <c r="F13" s="11"/>
      <c r="P13" s="9">
        <v>3</v>
      </c>
      <c r="Q13" s="9" t="s">
        <v>47</v>
      </c>
      <c r="R13" s="9">
        <v>9.8000000000000007</v>
      </c>
      <c r="S13" s="15">
        <v>4.91</v>
      </c>
      <c r="T13" s="15">
        <v>-0.01</v>
      </c>
      <c r="U13" s="15">
        <v>0.17</v>
      </c>
      <c r="V13" s="15">
        <v>4.71</v>
      </c>
      <c r="W13" s="9">
        <v>0.01</v>
      </c>
      <c r="X13" s="10">
        <v>47</v>
      </c>
      <c r="Y13" s="10">
        <v>8.4</v>
      </c>
      <c r="Z13" s="10">
        <v>31.7</v>
      </c>
      <c r="AA13" s="10">
        <v>10.5</v>
      </c>
      <c r="AB13" s="10">
        <v>77.599999999999994</v>
      </c>
    </row>
    <row r="14" spans="1:28">
      <c r="A14" t="s">
        <v>48</v>
      </c>
      <c r="B14" s="27">
        <f>$A$9</f>
        <v>0.98570968601067466</v>
      </c>
      <c r="F14" s="11"/>
      <c r="P14" s="9">
        <v>3</v>
      </c>
      <c r="Q14" s="9" t="s">
        <v>49</v>
      </c>
      <c r="R14" s="9">
        <v>9.7899999999999991</v>
      </c>
      <c r="S14" s="15">
        <v>5.03</v>
      </c>
      <c r="T14" s="15">
        <v>-0.11</v>
      </c>
      <c r="U14" s="15">
        <v>0.16</v>
      </c>
      <c r="V14" s="15">
        <v>4.71</v>
      </c>
      <c r="W14" s="9">
        <v>0</v>
      </c>
      <c r="X14" s="10">
        <v>43.8</v>
      </c>
      <c r="Y14" s="10">
        <v>12.9</v>
      </c>
      <c r="Z14" s="10">
        <v>32.4</v>
      </c>
      <c r="AA14" s="10">
        <v>10.199999999999999</v>
      </c>
      <c r="AB14" s="10">
        <v>78</v>
      </c>
    </row>
    <row r="15" spans="1:28">
      <c r="A15" t="s">
        <v>50</v>
      </c>
      <c r="B15" s="12">
        <f>$B$9</f>
        <v>3.2668858611056305E-2</v>
      </c>
      <c r="P15" s="9">
        <v>3</v>
      </c>
      <c r="Q15" s="9" t="s">
        <v>51</v>
      </c>
      <c r="R15" s="9">
        <v>9.84</v>
      </c>
      <c r="S15" s="15">
        <v>4.32</v>
      </c>
      <c r="T15" s="15">
        <v>0.13</v>
      </c>
      <c r="U15" s="15">
        <v>0.69</v>
      </c>
      <c r="V15" s="15">
        <v>4.71</v>
      </c>
      <c r="W15" s="9">
        <v>-0.02</v>
      </c>
      <c r="X15" s="10">
        <v>50.5</v>
      </c>
      <c r="Y15" s="10">
        <v>7.5</v>
      </c>
      <c r="Z15" s="10">
        <v>32.9</v>
      </c>
      <c r="AA15" s="10">
        <v>9.9</v>
      </c>
      <c r="AB15" s="10">
        <v>76.3</v>
      </c>
    </row>
    <row r="16" spans="1:28" ht="15.6">
      <c r="A16" t="s">
        <v>108</v>
      </c>
      <c r="B16" s="12">
        <f>10</f>
        <v>10</v>
      </c>
      <c r="F16" s="11"/>
      <c r="P16" s="9">
        <v>3</v>
      </c>
      <c r="Q16" s="9" t="s">
        <v>53</v>
      </c>
      <c r="R16" s="9">
        <v>9.99</v>
      </c>
      <c r="S16" s="15">
        <v>4.8499999999999996</v>
      </c>
      <c r="T16" s="15">
        <v>-0.05</v>
      </c>
      <c r="U16" s="15">
        <v>0.44</v>
      </c>
      <c r="V16" s="15">
        <v>4.71</v>
      </c>
      <c r="W16" s="9">
        <v>0.04</v>
      </c>
      <c r="X16" s="10">
        <v>46.1</v>
      </c>
      <c r="Y16" s="10">
        <v>8.9</v>
      </c>
      <c r="Z16" s="10">
        <v>32.1</v>
      </c>
      <c r="AA16" s="10">
        <v>10.4</v>
      </c>
      <c r="AB16" s="10">
        <v>76.8</v>
      </c>
    </row>
    <row r="17" spans="1:28">
      <c r="A17" t="s">
        <v>54</v>
      </c>
      <c r="B17" s="12">
        <f>282</f>
        <v>282</v>
      </c>
      <c r="P17" s="9">
        <v>3</v>
      </c>
      <c r="Q17" s="9" t="s">
        <v>55</v>
      </c>
      <c r="R17" s="9">
        <v>9.5</v>
      </c>
      <c r="S17" s="15">
        <v>5.28</v>
      </c>
      <c r="T17" s="15">
        <v>-0.14000000000000001</v>
      </c>
      <c r="U17" s="15">
        <v>-0.32</v>
      </c>
      <c r="V17" s="15">
        <v>4.71</v>
      </c>
      <c r="W17" s="9">
        <v>-0.01</v>
      </c>
      <c r="X17" s="10">
        <v>66.400000000000006</v>
      </c>
      <c r="Y17" s="10">
        <v>17.7</v>
      </c>
      <c r="Z17" s="10">
        <v>33.4</v>
      </c>
      <c r="AA17" s="10">
        <v>10.6</v>
      </c>
      <c r="AB17" s="10">
        <v>79.3</v>
      </c>
    </row>
    <row r="18" spans="1:28">
      <c r="A18" t="s">
        <v>56</v>
      </c>
      <c r="B18" s="12">
        <f>1 - (1 - $A$9)*($B$17 - 1)/($B$17 - $B$16 - 1)</f>
        <v>0.98518236815129001</v>
      </c>
      <c r="F18" s="11"/>
      <c r="P18" s="9">
        <v>3</v>
      </c>
      <c r="Q18" s="9" t="s">
        <v>57</v>
      </c>
      <c r="R18" s="9">
        <v>9.59</v>
      </c>
      <c r="S18" s="15">
        <v>4.91</v>
      </c>
      <c r="T18" s="15">
        <v>-0.09</v>
      </c>
      <c r="U18" s="15">
        <v>0.13</v>
      </c>
      <c r="V18" s="15">
        <v>4.71</v>
      </c>
      <c r="W18" s="9">
        <v>0</v>
      </c>
      <c r="X18" s="10">
        <v>66.3</v>
      </c>
      <c r="Y18" s="10">
        <v>29.3</v>
      </c>
      <c r="Z18" s="10">
        <v>31.4</v>
      </c>
      <c r="AA18" s="10">
        <v>14.4</v>
      </c>
      <c r="AB18" s="10">
        <v>78.8</v>
      </c>
    </row>
    <row r="19" spans="1:28">
      <c r="P19" s="9">
        <v>3</v>
      </c>
      <c r="Q19" s="9" t="s">
        <v>58</v>
      </c>
      <c r="R19" s="9">
        <v>10.11</v>
      </c>
      <c r="S19" s="15">
        <v>5.36</v>
      </c>
      <c r="T19" s="15">
        <v>-0.03</v>
      </c>
      <c r="U19" s="15">
        <v>0.02</v>
      </c>
      <c r="V19" s="15">
        <v>4.71</v>
      </c>
      <c r="W19" s="9">
        <v>0.04</v>
      </c>
      <c r="X19" s="10">
        <v>63.7</v>
      </c>
      <c r="Y19" s="10">
        <v>21.1</v>
      </c>
      <c r="Z19" s="10">
        <v>31.5</v>
      </c>
      <c r="AA19" s="10">
        <v>12.1</v>
      </c>
      <c r="AB19" s="10">
        <v>77.8</v>
      </c>
    </row>
    <row r="20" spans="1:28" ht="15.6">
      <c r="A20" t="s">
        <v>109</v>
      </c>
      <c r="P20" s="9">
        <v>3</v>
      </c>
      <c r="Q20" s="9" t="s">
        <v>60</v>
      </c>
      <c r="R20" s="9">
        <v>9.98</v>
      </c>
      <c r="S20" s="15">
        <v>5.42</v>
      </c>
      <c r="T20" s="15">
        <v>-0.12</v>
      </c>
      <c r="U20" s="15">
        <v>-0.04</v>
      </c>
      <c r="V20" s="15">
        <v>4.71</v>
      </c>
      <c r="W20" s="9">
        <v>0.06</v>
      </c>
      <c r="X20" s="10">
        <v>61.2</v>
      </c>
      <c r="Y20" s="10">
        <v>19.600000000000001</v>
      </c>
      <c r="Z20" s="10">
        <v>33.700000000000003</v>
      </c>
      <c r="AA20" s="10">
        <v>17.3</v>
      </c>
      <c r="AB20" s="10">
        <v>77.5</v>
      </c>
    </row>
    <row r="21" spans="1:28">
      <c r="B21" t="s">
        <v>61</v>
      </c>
      <c r="C21" t="s">
        <v>62</v>
      </c>
      <c r="D21" t="s">
        <v>63</v>
      </c>
      <c r="E21" t="s">
        <v>64</v>
      </c>
      <c r="F21" t="s">
        <v>65</v>
      </c>
      <c r="J21" s="11"/>
      <c r="K21" s="11"/>
      <c r="P21" s="9">
        <v>3</v>
      </c>
      <c r="Q21" s="9" t="s">
        <v>66</v>
      </c>
      <c r="R21" s="9">
        <v>9.7899999999999991</v>
      </c>
      <c r="S21" s="15">
        <v>5.45</v>
      </c>
      <c r="T21" s="15">
        <v>-0.14000000000000001</v>
      </c>
      <c r="U21" s="15">
        <v>-0.17</v>
      </c>
      <c r="V21" s="15">
        <v>4.71</v>
      </c>
      <c r="W21" s="9">
        <v>-7.0000000000000007E-2</v>
      </c>
      <c r="X21" s="10">
        <v>65.099999999999994</v>
      </c>
      <c r="Y21" s="10">
        <v>18.899999999999999</v>
      </c>
      <c r="Z21" s="10">
        <v>31.7</v>
      </c>
      <c r="AA21" s="10">
        <v>9.1999999999999993</v>
      </c>
      <c r="AB21" s="10">
        <v>74.8</v>
      </c>
    </row>
    <row r="22" spans="1:28">
      <c r="A22" t="s">
        <v>32</v>
      </c>
      <c r="B22" s="12">
        <f>$B$16</f>
        <v>10</v>
      </c>
      <c r="C22" s="12">
        <f>$A$11</f>
        <v>19.950071950821201</v>
      </c>
      <c r="D22" s="12">
        <f>$A$11 / $B$22</f>
        <v>1.99500719508212</v>
      </c>
      <c r="E22" s="13">
        <f>$A$10</f>
        <v>1869.2894019573841</v>
      </c>
      <c r="F22" s="12">
        <f>FDIST($A$10, $B$22, $B$10)</f>
        <v>1.4540813960626076E-243</v>
      </c>
      <c r="P22" s="9">
        <v>3</v>
      </c>
      <c r="Q22" s="9" t="s">
        <v>67</v>
      </c>
      <c r="R22" s="9">
        <v>9.7100000000000009</v>
      </c>
      <c r="S22" s="15">
        <v>5.24</v>
      </c>
      <c r="T22" s="15">
        <v>-7.0000000000000007E-2</v>
      </c>
      <c r="U22" s="15">
        <v>-0.21</v>
      </c>
      <c r="V22" s="15">
        <v>4.71</v>
      </c>
      <c r="W22" s="9">
        <v>0.04</v>
      </c>
      <c r="X22" s="10">
        <v>58.7</v>
      </c>
      <c r="Y22" s="10">
        <v>22.5</v>
      </c>
      <c r="Z22" s="10">
        <v>33.1</v>
      </c>
      <c r="AA22" s="10">
        <v>9.9</v>
      </c>
      <c r="AB22" s="10">
        <v>79.099999999999994</v>
      </c>
    </row>
    <row r="23" spans="1:28">
      <c r="A23" t="s">
        <v>68</v>
      </c>
      <c r="B23" s="12">
        <f>$B$10</f>
        <v>271</v>
      </c>
      <c r="C23" s="12">
        <f>$B$11</f>
        <v>0.28922592151922988</v>
      </c>
      <c r="D23" s="12">
        <f>$B$11 / $B$10</f>
        <v>1.0672543229491877E-3</v>
      </c>
      <c r="E23" s="12"/>
      <c r="F23" s="12"/>
      <c r="P23" s="9">
        <v>3</v>
      </c>
      <c r="Q23" s="9" t="s">
        <v>69</v>
      </c>
      <c r="R23" s="9">
        <v>9.83</v>
      </c>
      <c r="S23" s="15">
        <v>5.19</v>
      </c>
      <c r="T23" s="15">
        <v>0.01</v>
      </c>
      <c r="U23" s="15">
        <v>-0.06</v>
      </c>
      <c r="V23" s="15">
        <v>4.71</v>
      </c>
      <c r="W23" s="9">
        <v>-0.03</v>
      </c>
      <c r="X23" s="10">
        <v>57</v>
      </c>
      <c r="Y23" s="10">
        <v>27.4</v>
      </c>
      <c r="Z23" s="10">
        <v>33.6</v>
      </c>
      <c r="AA23" s="10">
        <v>9.6</v>
      </c>
      <c r="AB23" s="10">
        <v>75.5</v>
      </c>
    </row>
    <row r="24" spans="1:28">
      <c r="A24" t="s">
        <v>70</v>
      </c>
      <c r="B24" s="12">
        <f>$B$22 + $B$10</f>
        <v>281</v>
      </c>
      <c r="C24" s="12">
        <f>$A$11 + $B$11</f>
        <v>20.23929787234043</v>
      </c>
      <c r="D24" s="12"/>
      <c r="E24" s="12"/>
      <c r="F24" s="12"/>
      <c r="P24" s="9">
        <v>3</v>
      </c>
      <c r="Q24" s="9" t="s">
        <v>71</v>
      </c>
      <c r="R24" s="9">
        <v>9.7200000000000006</v>
      </c>
      <c r="S24" s="15">
        <v>4.9400000000000004</v>
      </c>
      <c r="T24" s="15">
        <v>-0.06</v>
      </c>
      <c r="U24" s="15">
        <v>0.12</v>
      </c>
      <c r="V24" s="15">
        <v>4.71</v>
      </c>
      <c r="W24" s="9">
        <v>0.02</v>
      </c>
      <c r="X24" s="10">
        <v>55.1</v>
      </c>
      <c r="Y24" s="10">
        <v>14.7</v>
      </c>
      <c r="Z24" s="10">
        <v>33.700000000000003</v>
      </c>
      <c r="AA24" s="10">
        <v>10.3</v>
      </c>
      <c r="AB24" s="10">
        <v>78.2</v>
      </c>
    </row>
    <row r="25" spans="1:28">
      <c r="P25" s="9">
        <v>3</v>
      </c>
      <c r="Q25" s="9" t="s">
        <v>72</v>
      </c>
      <c r="R25" s="9">
        <v>9.91</v>
      </c>
      <c r="S25" s="15">
        <v>4.68</v>
      </c>
      <c r="T25" s="15">
        <v>0.19</v>
      </c>
      <c r="U25" s="15">
        <v>0.31</v>
      </c>
      <c r="V25" s="15">
        <v>4.71</v>
      </c>
      <c r="W25" s="9">
        <v>0.01</v>
      </c>
      <c r="X25" s="10">
        <v>50.3</v>
      </c>
      <c r="Y25" s="10">
        <v>11.8</v>
      </c>
      <c r="Z25" s="10">
        <v>33.299999999999997</v>
      </c>
      <c r="AA25" s="10">
        <v>10.199999999999999</v>
      </c>
      <c r="AB25" s="10">
        <v>76.2</v>
      </c>
    </row>
    <row r="26" spans="1:28">
      <c r="A26" t="s">
        <v>73</v>
      </c>
      <c r="B26">
        <v>0.95</v>
      </c>
      <c r="P26" s="9">
        <v>3</v>
      </c>
      <c r="Q26" s="9" t="s">
        <v>74</v>
      </c>
      <c r="R26" s="9">
        <v>9.81</v>
      </c>
      <c r="S26" s="15">
        <v>5.04</v>
      </c>
      <c r="T26" s="15">
        <v>0.04</v>
      </c>
      <c r="U26" s="15">
        <v>0.04</v>
      </c>
      <c r="V26" s="15">
        <v>4.71</v>
      </c>
      <c r="W26" s="9">
        <v>-0.02</v>
      </c>
      <c r="X26" s="10">
        <v>58.1</v>
      </c>
      <c r="Y26" s="10">
        <v>15.2</v>
      </c>
      <c r="Z26" s="10">
        <v>32.799999999999997</v>
      </c>
      <c r="AA26" s="10">
        <v>12.7</v>
      </c>
      <c r="AB26" s="10">
        <v>76.400000000000006</v>
      </c>
    </row>
    <row r="27" spans="1:28">
      <c r="P27" s="9">
        <v>3</v>
      </c>
      <c r="Q27" s="9" t="s">
        <v>75</v>
      </c>
      <c r="R27" s="9">
        <v>9.7799999999999994</v>
      </c>
      <c r="S27" s="15">
        <v>5.22</v>
      </c>
      <c r="T27" s="15">
        <v>0.05</v>
      </c>
      <c r="U27" s="15">
        <v>-0.15</v>
      </c>
      <c r="V27" s="15">
        <v>4.71</v>
      </c>
      <c r="W27" s="9">
        <v>-0.02</v>
      </c>
      <c r="X27" s="10">
        <v>57.8</v>
      </c>
      <c r="Y27" s="10">
        <v>23.5</v>
      </c>
      <c r="Z27" s="10">
        <v>35.5</v>
      </c>
      <c r="AA27" s="10">
        <v>10.7</v>
      </c>
      <c r="AB27" s="10">
        <v>78.3</v>
      </c>
    </row>
    <row r="28" spans="1:28" ht="15.6">
      <c r="B28" t="s">
        <v>76</v>
      </c>
      <c r="C28" t="s">
        <v>50</v>
      </c>
      <c r="D28" t="s">
        <v>110</v>
      </c>
      <c r="E28" t="s">
        <v>111</v>
      </c>
      <c r="F28" t="str">
        <f>_xlfn.CONCAT("Lower ", INT($B$26 * 100), "%")</f>
        <v>Lower 95%</v>
      </c>
      <c r="G28" t="str">
        <f>_xlfn.CONCAT("Upper ", INT($B$26 * 100), "%")</f>
        <v>Upper 95%</v>
      </c>
      <c r="I28" s="11"/>
      <c r="J28" s="11"/>
      <c r="P28" s="9">
        <v>3</v>
      </c>
      <c r="Q28" s="9" t="s">
        <v>79</v>
      </c>
      <c r="R28" s="9">
        <v>10.06</v>
      </c>
      <c r="S28" s="15">
        <v>5.23</v>
      </c>
      <c r="T28" s="15">
        <v>0.06</v>
      </c>
      <c r="U28" s="15">
        <v>0.05</v>
      </c>
      <c r="V28" s="15">
        <v>4.71</v>
      </c>
      <c r="W28" s="9">
        <v>0.01</v>
      </c>
      <c r="X28" s="10">
        <v>55.6</v>
      </c>
      <c r="Y28" s="10">
        <v>15.6</v>
      </c>
      <c r="Z28" s="10">
        <v>34.299999999999997</v>
      </c>
      <c r="AA28" s="10">
        <v>10.7</v>
      </c>
      <c r="AB28" s="10">
        <v>74</v>
      </c>
    </row>
    <row r="29" spans="1:28">
      <c r="A29" t="str">
        <f>"切片"</f>
        <v>切片</v>
      </c>
      <c r="B29" s="12">
        <f t="array" ref="B29:B39">INDEX($A$7:$K$7, 1, ROW($B$39)+1 - ROW())</f>
        <v>0.51778630620989241</v>
      </c>
      <c r="C29" s="12">
        <f t="array" ref="C29:C39">INDEX($A$8:$K$8, 1, ROW($C$39)+1 - ROW())</f>
        <v>0.3225506510122983</v>
      </c>
      <c r="D29" s="12">
        <f t="array" ref="D29:D39">$B$29:$B$39 / $C$29:$C$39</f>
        <v>1.6052868118072721</v>
      </c>
      <c r="E29" s="12">
        <f t="array" ref="E29:E39">TDIST(ABS($D$29:$D$39), $B$10, 2 )</f>
        <v>0.10959533871864216</v>
      </c>
      <c r="F29" s="12">
        <f t="array" ref="F29:F39">$B$29:$B$39 - $C$29:$C$39 * TINV(1 - $B$26, $B$10)</f>
        <v>-0.11723732449836777</v>
      </c>
      <c r="G29" s="12">
        <f t="array" ref="G29:G39">$B$29:$B$39 + $C$29:$C$39 * TINV(1 - $B$26, $B$10)</f>
        <v>1.1528099369181526</v>
      </c>
      <c r="P29" s="9">
        <v>3</v>
      </c>
      <c r="Q29" s="9" t="s">
        <v>80</v>
      </c>
      <c r="R29" s="9">
        <v>10.29</v>
      </c>
      <c r="S29" s="15">
        <v>5.22</v>
      </c>
      <c r="T29" s="15">
        <v>0.17</v>
      </c>
      <c r="U29" s="15">
        <v>0.16</v>
      </c>
      <c r="V29" s="15">
        <v>4.71</v>
      </c>
      <c r="W29" s="9">
        <v>0.02</v>
      </c>
      <c r="X29" s="10">
        <v>45.2</v>
      </c>
      <c r="Y29" s="10">
        <v>12.5</v>
      </c>
      <c r="Z29" s="10">
        <v>33.5</v>
      </c>
      <c r="AA29" s="10">
        <v>10.9</v>
      </c>
      <c r="AB29" s="10">
        <v>74.3</v>
      </c>
    </row>
    <row r="30" spans="1:28">
      <c r="A30" t="str">
        <f>"X1"</f>
        <v>X1</v>
      </c>
      <c r="B30" s="12">
        <v>1.0055835389340975</v>
      </c>
      <c r="C30" s="12">
        <v>8.7641252532738509E-3</v>
      </c>
      <c r="D30" s="12">
        <v>114.73860880279642</v>
      </c>
      <c r="E30" s="12">
        <v>9.471688421976281E-232</v>
      </c>
      <c r="F30" s="12">
        <v>0.9883291120065768</v>
      </c>
      <c r="G30" s="12">
        <v>1.022837965861618</v>
      </c>
      <c r="P30" s="9">
        <v>3</v>
      </c>
      <c r="Q30" s="9" t="s">
        <v>81</v>
      </c>
      <c r="R30" s="9">
        <v>10.24</v>
      </c>
      <c r="S30" s="15">
        <v>5.47</v>
      </c>
      <c r="T30" s="15">
        <v>0.03</v>
      </c>
      <c r="U30" s="15">
        <v>-0.01</v>
      </c>
      <c r="V30" s="15">
        <v>4.71</v>
      </c>
      <c r="W30" s="9">
        <v>0.04</v>
      </c>
      <c r="X30" s="10">
        <v>50.9</v>
      </c>
      <c r="Y30" s="10">
        <v>14.3</v>
      </c>
      <c r="Z30" s="10">
        <v>33.200000000000003</v>
      </c>
      <c r="AA30" s="10">
        <v>10.9</v>
      </c>
      <c r="AB30" s="10">
        <v>76.900000000000006</v>
      </c>
    </row>
    <row r="31" spans="1:28">
      <c r="A31" t="str">
        <f>"X2"</f>
        <v>X2</v>
      </c>
      <c r="B31" s="12">
        <v>1.0172443913224247</v>
      </c>
      <c r="C31" s="12">
        <v>1.7453659353107588E-2</v>
      </c>
      <c r="D31" s="12">
        <v>58.282585373210374</v>
      </c>
      <c r="E31" s="12">
        <v>2.4604276818515767E-155</v>
      </c>
      <c r="F31" s="12">
        <v>0.98288238927167404</v>
      </c>
      <c r="G31" s="12">
        <v>1.0516063933731754</v>
      </c>
      <c r="P31" s="9">
        <v>3</v>
      </c>
      <c r="Q31" s="9" t="s">
        <v>82</v>
      </c>
      <c r="R31" s="9">
        <v>10</v>
      </c>
      <c r="S31" s="15">
        <v>5.81</v>
      </c>
      <c r="T31" s="15">
        <v>-0.03</v>
      </c>
      <c r="U31" s="15">
        <v>-0.44</v>
      </c>
      <c r="V31" s="15">
        <v>4.71</v>
      </c>
      <c r="W31" s="9">
        <v>-0.03</v>
      </c>
      <c r="X31" s="10">
        <v>49.6</v>
      </c>
      <c r="Y31" s="10">
        <v>23.5</v>
      </c>
      <c r="Z31" s="10">
        <v>35.4</v>
      </c>
      <c r="AA31" s="10">
        <v>10.8</v>
      </c>
      <c r="AB31" s="10">
        <v>71.7</v>
      </c>
    </row>
    <row r="32" spans="1:28">
      <c r="A32" t="str">
        <f>"X3"</f>
        <v>X3</v>
      </c>
      <c r="B32" s="12">
        <v>1.0148937867800165</v>
      </c>
      <c r="C32" s="12">
        <v>1.2126855600384049E-2</v>
      </c>
      <c r="D32" s="12">
        <v>83.689772536573756</v>
      </c>
      <c r="E32" s="12">
        <v>1.2088771480231001E-195</v>
      </c>
      <c r="F32" s="12">
        <v>0.99101896324993766</v>
      </c>
      <c r="G32" s="12">
        <v>1.0387686103100955</v>
      </c>
      <c r="P32" s="9">
        <v>3</v>
      </c>
      <c r="Q32" s="9" t="s">
        <v>83</v>
      </c>
      <c r="R32" s="9">
        <v>10.11</v>
      </c>
      <c r="S32" s="15">
        <v>5.96</v>
      </c>
      <c r="T32" s="15">
        <v>-0.01</v>
      </c>
      <c r="U32" s="15">
        <v>-0.52</v>
      </c>
      <c r="V32" s="15">
        <v>4.71</v>
      </c>
      <c r="W32" s="9">
        <v>-0.01</v>
      </c>
      <c r="X32" s="10">
        <v>49.4</v>
      </c>
      <c r="Y32" s="10">
        <v>19.600000000000001</v>
      </c>
      <c r="Z32" s="10">
        <v>34</v>
      </c>
      <c r="AA32" s="10">
        <v>12.5</v>
      </c>
      <c r="AB32" s="10">
        <v>72.7</v>
      </c>
    </row>
    <row r="33" spans="1:28">
      <c r="A33" t="str">
        <f>"X4"</f>
        <v>X4</v>
      </c>
      <c r="B33" s="12">
        <v>0.97135384877088438</v>
      </c>
      <c r="C33" s="12">
        <v>6.2491747819796488E-2</v>
      </c>
      <c r="D33" s="12">
        <v>15.543713892783352</v>
      </c>
      <c r="E33" s="12">
        <v>2.178490729315999E-39</v>
      </c>
      <c r="F33" s="12">
        <v>0.84832282568881001</v>
      </c>
      <c r="G33" s="12">
        <v>1.0943848718529587</v>
      </c>
      <c r="P33" s="9">
        <v>3</v>
      </c>
      <c r="Q33" s="9" t="s">
        <v>84</v>
      </c>
      <c r="R33" s="9">
        <v>9.9700000000000006</v>
      </c>
      <c r="S33" s="15">
        <v>6.14</v>
      </c>
      <c r="T33" s="15">
        <v>-0.16</v>
      </c>
      <c r="U33" s="15">
        <v>-0.72</v>
      </c>
      <c r="V33" s="15">
        <v>4.71</v>
      </c>
      <c r="W33" s="9">
        <v>-0.01</v>
      </c>
      <c r="X33" s="10">
        <v>53.1</v>
      </c>
      <c r="Y33" s="10">
        <v>16.100000000000001</v>
      </c>
      <c r="Z33" s="10">
        <v>32.799999999999997</v>
      </c>
      <c r="AA33" s="10">
        <v>10.4</v>
      </c>
      <c r="AB33" s="10">
        <v>79.099999999999994</v>
      </c>
    </row>
    <row r="34" spans="1:28">
      <c r="A34" t="str">
        <f>"X5"</f>
        <v>X5</v>
      </c>
      <c r="B34" s="12">
        <v>0.96718605481453823</v>
      </c>
      <c r="C34" s="12">
        <v>3.2662738992289289E-2</v>
      </c>
      <c r="D34" s="12">
        <v>29.611296684055258</v>
      </c>
      <c r="E34" s="12">
        <v>6.2665780759517979E-87</v>
      </c>
      <c r="F34" s="12">
        <v>0.90288108119670807</v>
      </c>
      <c r="G34" s="12">
        <v>1.0314910284323684</v>
      </c>
      <c r="P34" s="9">
        <v>3</v>
      </c>
      <c r="Q34" s="9" t="s">
        <v>85</v>
      </c>
      <c r="R34" s="9">
        <v>10.029999999999999</v>
      </c>
      <c r="S34" s="15">
        <v>6.3</v>
      </c>
      <c r="T34" s="15">
        <v>-0.28999999999999998</v>
      </c>
      <c r="U34" s="15">
        <v>-0.6</v>
      </c>
      <c r="V34" s="15">
        <v>4.71</v>
      </c>
      <c r="W34" s="9">
        <v>-0.02</v>
      </c>
      <c r="X34" s="10">
        <v>65.3</v>
      </c>
      <c r="Y34" s="10">
        <v>25.8</v>
      </c>
      <c r="Z34" s="10">
        <v>34.200000000000003</v>
      </c>
      <c r="AA34" s="10">
        <v>11.2</v>
      </c>
      <c r="AB34" s="10">
        <v>80.599999999999994</v>
      </c>
    </row>
    <row r="35" spans="1:28">
      <c r="A35" t="str">
        <f>"X6"</f>
        <v>X6</v>
      </c>
      <c r="B35" s="12">
        <v>-1.5185129432314958E-3</v>
      </c>
      <c r="C35" s="12">
        <v>3.9757408915534905E-4</v>
      </c>
      <c r="D35" s="12">
        <v>-3.8194464494846607</v>
      </c>
      <c r="E35" s="12">
        <v>1.6586294952661726E-4</v>
      </c>
      <c r="F35" s="12">
        <v>-2.3012394414686148E-3</v>
      </c>
      <c r="G35" s="12">
        <v>-7.3578644499437684E-4</v>
      </c>
      <c r="P35" s="9">
        <v>3</v>
      </c>
      <c r="Q35" s="9" t="s">
        <v>86</v>
      </c>
      <c r="R35" s="9">
        <v>10.18</v>
      </c>
      <c r="S35" s="15">
        <v>5.64</v>
      </c>
      <c r="T35" s="15">
        <v>0.06</v>
      </c>
      <c r="U35" s="15">
        <v>-0.2</v>
      </c>
      <c r="V35" s="15">
        <v>4.71</v>
      </c>
      <c r="W35" s="9">
        <v>-0.02</v>
      </c>
      <c r="X35" s="10">
        <v>56.8</v>
      </c>
      <c r="Y35" s="10">
        <v>31.6</v>
      </c>
      <c r="Z35" s="10">
        <v>32.4</v>
      </c>
      <c r="AA35" s="10">
        <v>11.7</v>
      </c>
      <c r="AB35" s="10">
        <v>76.2</v>
      </c>
    </row>
    <row r="36" spans="1:28">
      <c r="A36" t="str">
        <f>"X7"</f>
        <v>X7</v>
      </c>
      <c r="B36" s="12">
        <v>-8.8369646507749941E-4</v>
      </c>
      <c r="C36" s="12">
        <v>3.9120160228901612E-4</v>
      </c>
      <c r="D36" s="12">
        <v>-2.2589285419762484</v>
      </c>
      <c r="E36" s="12">
        <v>2.4682743343731783E-2</v>
      </c>
      <c r="F36" s="12">
        <v>-1.6538770895617697E-3</v>
      </c>
      <c r="G36" s="12">
        <v>-1.1351584059322915E-4</v>
      </c>
      <c r="P36" s="9">
        <v>3</v>
      </c>
      <c r="Q36" s="9" t="s">
        <v>88</v>
      </c>
      <c r="R36" s="9">
        <v>10.039999999999999</v>
      </c>
      <c r="S36" s="15">
        <v>5.41</v>
      </c>
      <c r="T36" s="15">
        <v>0.03</v>
      </c>
      <c r="U36" s="15">
        <v>-0.12</v>
      </c>
      <c r="V36" s="15">
        <v>4.71</v>
      </c>
      <c r="W36" s="9">
        <v>0</v>
      </c>
      <c r="X36" s="10">
        <v>54.7</v>
      </c>
      <c r="Y36" s="10">
        <v>19.7</v>
      </c>
      <c r="Z36" s="10">
        <v>32.9</v>
      </c>
      <c r="AA36" s="10">
        <v>10.9</v>
      </c>
      <c r="AB36" s="10">
        <v>75.7</v>
      </c>
    </row>
    <row r="37" spans="1:28">
      <c r="A37" t="str">
        <f>"X8"</f>
        <v>X8</v>
      </c>
      <c r="B37" s="12">
        <v>-9.3923369610158011E-3</v>
      </c>
      <c r="C37" s="12">
        <v>1.941635624960184E-3</v>
      </c>
      <c r="D37" s="12">
        <v>-4.8373324223531409</v>
      </c>
      <c r="E37" s="12">
        <v>2.2101818891956082E-6</v>
      </c>
      <c r="F37" s="12">
        <v>-1.3214944356800304E-2</v>
      </c>
      <c r="G37" s="12">
        <v>-5.5697295652312982E-3</v>
      </c>
      <c r="L37" s="11"/>
      <c r="P37" s="9">
        <v>3</v>
      </c>
      <c r="Q37" s="9" t="s">
        <v>89</v>
      </c>
      <c r="R37" s="9">
        <v>10.220000000000001</v>
      </c>
      <c r="S37" s="15">
        <v>5.87</v>
      </c>
      <c r="T37" s="15">
        <v>-0.2</v>
      </c>
      <c r="U37" s="15">
        <v>-0.15</v>
      </c>
      <c r="V37" s="15">
        <v>4.71</v>
      </c>
      <c r="W37" s="9">
        <v>-0.01</v>
      </c>
      <c r="X37" s="10">
        <v>51.2</v>
      </c>
      <c r="Y37" s="10">
        <v>18.8</v>
      </c>
      <c r="Z37" s="10">
        <v>33.1</v>
      </c>
      <c r="AA37" s="10">
        <v>10.4</v>
      </c>
      <c r="AB37" s="10">
        <v>78.2</v>
      </c>
    </row>
    <row r="38" spans="1:28">
      <c r="A38" t="str">
        <f>"X9"</f>
        <v>X9</v>
      </c>
      <c r="B38" s="12">
        <v>2.4980705670868403E-4</v>
      </c>
      <c r="C38" s="12">
        <v>2.8809989402842643E-4</v>
      </c>
      <c r="D38" s="12">
        <v>0.86708486148917463</v>
      </c>
      <c r="E38" s="12">
        <v>0.38666260455883428</v>
      </c>
      <c r="F38" s="12">
        <v>-3.1739142867158817E-4</v>
      </c>
      <c r="G38" s="12">
        <v>8.1700554208895618E-4</v>
      </c>
      <c r="P38" s="9">
        <v>3</v>
      </c>
      <c r="Q38" s="9" t="s">
        <v>90</v>
      </c>
      <c r="R38" s="9">
        <v>10.29</v>
      </c>
      <c r="S38" s="15">
        <v>6.14</v>
      </c>
      <c r="T38" s="15">
        <v>-0.11</v>
      </c>
      <c r="U38" s="15">
        <v>-0.43</v>
      </c>
      <c r="V38" s="15">
        <v>4.71</v>
      </c>
      <c r="W38" s="9">
        <v>-0.03</v>
      </c>
      <c r="X38" s="10">
        <v>54.7</v>
      </c>
      <c r="Y38" s="10">
        <v>24.2</v>
      </c>
      <c r="Z38" s="10">
        <v>34</v>
      </c>
      <c r="AA38" s="10">
        <v>10.4</v>
      </c>
      <c r="AB38" s="10">
        <v>68</v>
      </c>
    </row>
    <row r="39" spans="1:28">
      <c r="A39" t="str">
        <f>"X10"</f>
        <v>X10</v>
      </c>
      <c r="B39" s="12">
        <v>-6.1221323225668943E-5</v>
      </c>
      <c r="C39" s="12">
        <v>1.5658358527431747E-4</v>
      </c>
      <c r="D39" s="12">
        <v>-0.39098174382976236</v>
      </c>
      <c r="E39" s="12">
        <v>0.69611793224433871</v>
      </c>
      <c r="F39" s="12">
        <v>-3.6949624537556186E-4</v>
      </c>
      <c r="G39" s="12">
        <v>2.4705359892422403E-4</v>
      </c>
      <c r="P39" s="9">
        <v>3</v>
      </c>
      <c r="Q39" s="9" t="s">
        <v>91</v>
      </c>
      <c r="R39" s="9">
        <v>10.28</v>
      </c>
      <c r="S39" s="15">
        <v>6.02</v>
      </c>
      <c r="T39" s="15">
        <v>-7.0000000000000007E-2</v>
      </c>
      <c r="U39" s="15">
        <v>-0.33</v>
      </c>
      <c r="V39" s="15">
        <v>4.71</v>
      </c>
      <c r="W39" s="9">
        <v>-0.05</v>
      </c>
      <c r="X39" s="10">
        <v>52.3</v>
      </c>
      <c r="Y39" s="10">
        <v>36.1</v>
      </c>
      <c r="Z39" s="10">
        <v>32.5</v>
      </c>
      <c r="AA39" s="10">
        <v>11.6</v>
      </c>
      <c r="AB39" s="10">
        <v>73.8</v>
      </c>
    </row>
    <row r="40" spans="1:28">
      <c r="P40" s="9">
        <v>3</v>
      </c>
      <c r="Q40" s="9" t="s">
        <v>92</v>
      </c>
      <c r="R40" s="9">
        <v>10.220000000000001</v>
      </c>
      <c r="S40" s="15">
        <v>5.93</v>
      </c>
      <c r="T40" s="15">
        <v>0.03</v>
      </c>
      <c r="U40" s="15">
        <v>-0.51</v>
      </c>
      <c r="V40" s="15">
        <v>4.71</v>
      </c>
      <c r="W40" s="9">
        <v>0.06</v>
      </c>
      <c r="X40" s="10">
        <v>58.3</v>
      </c>
      <c r="Y40" s="10">
        <v>22.1</v>
      </c>
      <c r="Z40" s="10">
        <v>32.200000000000003</v>
      </c>
      <c r="AA40" s="10">
        <v>10.6</v>
      </c>
      <c r="AB40" s="10">
        <v>74.099999999999994</v>
      </c>
    </row>
    <row r="41" spans="1:28">
      <c r="A41" t="str">
        <f>"X1"</f>
        <v>X1</v>
      </c>
      <c r="B41" t="str">
        <f>"X2"</f>
        <v>X2</v>
      </c>
      <c r="C41" t="str">
        <f>"X3"</f>
        <v>X3</v>
      </c>
      <c r="D41" t="str">
        <f>"X4"</f>
        <v>X4</v>
      </c>
      <c r="E41" t="str">
        <f>"X5"</f>
        <v>X5</v>
      </c>
      <c r="F41" t="str">
        <f>"X6"</f>
        <v>X6</v>
      </c>
      <c r="G41" t="str">
        <f>"X7"</f>
        <v>X7</v>
      </c>
      <c r="H41" t="str">
        <f>"X8"</f>
        <v>X8</v>
      </c>
      <c r="I41" t="str">
        <f>"X9"</f>
        <v>X9</v>
      </c>
      <c r="J41" t="str">
        <f>"X10"</f>
        <v>X10</v>
      </c>
      <c r="K41" t="s">
        <v>87</v>
      </c>
      <c r="L41" t="str">
        <f>"Y"</f>
        <v>Y</v>
      </c>
      <c r="M41" t="s">
        <v>68</v>
      </c>
      <c r="P41" s="9">
        <v>3</v>
      </c>
      <c r="Q41" s="9" t="s">
        <v>93</v>
      </c>
      <c r="R41" s="9">
        <v>10.17</v>
      </c>
      <c r="S41" s="15">
        <v>6.1</v>
      </c>
      <c r="T41" s="15">
        <v>-0.14000000000000001</v>
      </c>
      <c r="U41" s="15">
        <v>-0.46</v>
      </c>
      <c r="V41" s="15">
        <v>4.71</v>
      </c>
      <c r="W41" s="9">
        <v>-0.04</v>
      </c>
      <c r="X41" s="10">
        <v>61.2</v>
      </c>
      <c r="Y41" s="10">
        <v>17.7</v>
      </c>
      <c r="Z41" s="10">
        <v>30.6</v>
      </c>
      <c r="AA41" s="10">
        <v>9.4</v>
      </c>
      <c r="AB41" s="10">
        <v>71.7</v>
      </c>
    </row>
    <row r="42" spans="1:28">
      <c r="A42">
        <f t="array" ref="A42:J323">$S$3:$AB$284</f>
        <v>6.33</v>
      </c>
      <c r="B42">
        <v>-0.28999999999999998</v>
      </c>
      <c r="C42">
        <v>-0.32</v>
      </c>
      <c r="D42">
        <v>4.71</v>
      </c>
      <c r="E42">
        <v>0.02</v>
      </c>
      <c r="F42">
        <v>48</v>
      </c>
      <c r="G42">
        <v>9.9</v>
      </c>
      <c r="H42">
        <v>32.5</v>
      </c>
      <c r="I42">
        <v>10.6</v>
      </c>
      <c r="J42">
        <v>79.599999999999994</v>
      </c>
      <c r="K42" s="18">
        <f t="array" ref="K42:K323">MMULT($A$42:$J$323, $B$30:$B$39) + $B$29</f>
        <v>10.468670141176736</v>
      </c>
      <c r="L42">
        <f t="array" ref="L42:L323">$R$3:$R$284</f>
        <v>10.45</v>
      </c>
      <c r="M42" s="19">
        <f t="array" ref="M42:M323">$L$42:$L$323 - $K$42:$K$323</f>
        <v>-1.8670141176736266E-2</v>
      </c>
      <c r="P42" s="9">
        <v>3</v>
      </c>
      <c r="Q42" s="9" t="s">
        <v>94</v>
      </c>
      <c r="R42" s="9">
        <v>10.220000000000001</v>
      </c>
      <c r="S42" s="15">
        <v>5.84</v>
      </c>
      <c r="T42" s="15">
        <v>0.02</v>
      </c>
      <c r="U42" s="15">
        <v>-0.3</v>
      </c>
      <c r="V42" s="15">
        <v>4.71</v>
      </c>
      <c r="W42" s="9">
        <v>-0.04</v>
      </c>
      <c r="X42" s="10">
        <v>51.5</v>
      </c>
      <c r="Y42" s="10">
        <v>17.3</v>
      </c>
      <c r="Z42" s="10">
        <v>33</v>
      </c>
      <c r="AA42" s="10">
        <v>13.5</v>
      </c>
      <c r="AB42" s="10">
        <v>78.599999999999994</v>
      </c>
    </row>
    <row r="43" spans="1:28">
      <c r="A43">
        <v>6.36</v>
      </c>
      <c r="B43">
        <v>-0.25</v>
      </c>
      <c r="C43">
        <v>-0.88</v>
      </c>
      <c r="D43">
        <v>4.71</v>
      </c>
      <c r="E43">
        <v>0.02</v>
      </c>
      <c r="F43">
        <v>55.1</v>
      </c>
      <c r="G43">
        <v>17.8</v>
      </c>
      <c r="H43">
        <v>32.299999999999997</v>
      </c>
      <c r="I43">
        <v>10.6</v>
      </c>
      <c r="J43">
        <v>80.3</v>
      </c>
      <c r="K43" s="18">
        <v>9.9552598708957358</v>
      </c>
      <c r="L43">
        <v>9.9600000000000009</v>
      </c>
      <c r="M43" s="19">
        <v>4.7401291042650229E-3</v>
      </c>
      <c r="P43" s="9">
        <v>3</v>
      </c>
      <c r="Q43" s="9" t="s">
        <v>95</v>
      </c>
      <c r="R43" s="9">
        <v>10.68</v>
      </c>
      <c r="S43" s="15">
        <v>7.05</v>
      </c>
      <c r="T43" s="15">
        <v>-0.19</v>
      </c>
      <c r="U43" s="15">
        <v>-0.79</v>
      </c>
      <c r="V43" s="15">
        <v>4.71</v>
      </c>
      <c r="W43" s="9">
        <v>-7.0000000000000007E-2</v>
      </c>
      <c r="X43" s="10">
        <v>53.4</v>
      </c>
      <c r="Y43" s="10">
        <v>19.899999999999999</v>
      </c>
      <c r="Z43" s="10">
        <v>35.299999999999997</v>
      </c>
      <c r="AA43" s="10">
        <v>13.2</v>
      </c>
      <c r="AB43" s="10">
        <v>80.400000000000006</v>
      </c>
    </row>
    <row r="44" spans="1:28">
      <c r="A44">
        <v>5.95</v>
      </c>
      <c r="B44">
        <v>-0.28999999999999998</v>
      </c>
      <c r="C44">
        <v>-0.62</v>
      </c>
      <c r="D44">
        <v>4.71</v>
      </c>
      <c r="E44">
        <v>-0.01</v>
      </c>
      <c r="F44">
        <v>57.9</v>
      </c>
      <c r="G44">
        <v>14.6</v>
      </c>
      <c r="H44">
        <v>32.299999999999997</v>
      </c>
      <c r="I44">
        <v>11.8</v>
      </c>
      <c r="J44">
        <v>83.2</v>
      </c>
      <c r="K44" s="18">
        <v>9.7358358662761191</v>
      </c>
      <c r="L44">
        <v>9.74</v>
      </c>
      <c r="M44" s="19">
        <v>4.164133723881136E-3</v>
      </c>
      <c r="P44" s="9">
        <v>3</v>
      </c>
      <c r="Q44" s="9" t="s">
        <v>96</v>
      </c>
      <c r="R44" s="9">
        <v>10.26</v>
      </c>
      <c r="S44" s="15">
        <v>6.58</v>
      </c>
      <c r="T44" s="15">
        <v>-0.2</v>
      </c>
      <c r="U44" s="15">
        <v>-0.79</v>
      </c>
      <c r="V44" s="15">
        <v>4.71</v>
      </c>
      <c r="W44" s="9">
        <v>-0.01</v>
      </c>
      <c r="X44" s="10">
        <v>55.3</v>
      </c>
      <c r="Y44" s="10">
        <v>22.5</v>
      </c>
      <c r="Z44" s="10">
        <v>33.299999999999997</v>
      </c>
      <c r="AA44" s="10">
        <v>10.7</v>
      </c>
      <c r="AB44" s="10">
        <v>79.7</v>
      </c>
    </row>
    <row r="45" spans="1:28">
      <c r="A45">
        <v>5.83</v>
      </c>
      <c r="B45">
        <v>-0.16</v>
      </c>
      <c r="C45">
        <v>-0.34</v>
      </c>
      <c r="D45">
        <v>4.71</v>
      </c>
      <c r="E45">
        <v>-0.02</v>
      </c>
      <c r="F45">
        <v>60</v>
      </c>
      <c r="G45">
        <v>27.4</v>
      </c>
      <c r="H45">
        <v>32.700000000000003</v>
      </c>
      <c r="I45">
        <v>9.9</v>
      </c>
      <c r="J45">
        <v>81.099999999999994</v>
      </c>
      <c r="K45" s="18">
        <v>10.003302816879046</v>
      </c>
      <c r="L45">
        <v>10.01</v>
      </c>
      <c r="M45" s="19">
        <v>6.697183120953909E-3</v>
      </c>
      <c r="P45" s="9">
        <v>3</v>
      </c>
      <c r="Q45" s="9" t="s">
        <v>97</v>
      </c>
      <c r="R45" s="9">
        <v>10.29</v>
      </c>
      <c r="S45" s="15">
        <v>6.33</v>
      </c>
      <c r="T45" s="15">
        <v>-7.0000000000000007E-2</v>
      </c>
      <c r="U45" s="15">
        <v>-0.66</v>
      </c>
      <c r="V45" s="15">
        <v>4.71</v>
      </c>
      <c r="W45" s="9">
        <v>0.03</v>
      </c>
      <c r="X45" s="10">
        <v>58.5</v>
      </c>
      <c r="Y45" s="10">
        <v>30.1</v>
      </c>
      <c r="Z45" s="10">
        <v>33.200000000000003</v>
      </c>
      <c r="AA45" s="10">
        <v>11.1</v>
      </c>
      <c r="AB45" s="10">
        <v>79.599999999999994</v>
      </c>
    </row>
    <row r="46" spans="1:28">
      <c r="A46">
        <v>6.92</v>
      </c>
      <c r="B46">
        <v>-0.56999999999999995</v>
      </c>
      <c r="C46">
        <v>-0.87</v>
      </c>
      <c r="D46">
        <v>4.71</v>
      </c>
      <c r="E46">
        <v>-0.02</v>
      </c>
      <c r="F46">
        <v>53.8</v>
      </c>
      <c r="G46">
        <v>28.7</v>
      </c>
      <c r="H46">
        <v>32.299999999999997</v>
      </c>
      <c r="I46">
        <v>9.1999999999999993</v>
      </c>
      <c r="J46">
        <v>79.3</v>
      </c>
      <c r="K46" s="18">
        <v>10.156383209951558</v>
      </c>
      <c r="L46">
        <v>10.16</v>
      </c>
      <c r="M46" s="19">
        <v>3.6167900484418425E-3</v>
      </c>
      <c r="P46" s="9">
        <v>3</v>
      </c>
      <c r="Q46" s="9" t="s">
        <v>98</v>
      </c>
      <c r="R46" s="9">
        <v>10.3</v>
      </c>
      <c r="S46" s="15">
        <v>6.41</v>
      </c>
      <c r="T46" s="15">
        <v>-0.19</v>
      </c>
      <c r="U46" s="15">
        <v>-0.64</v>
      </c>
      <c r="V46" s="15">
        <v>4.71</v>
      </c>
      <c r="W46" s="9">
        <v>0.02</v>
      </c>
      <c r="X46" s="10">
        <v>63.8</v>
      </c>
      <c r="Y46" s="10">
        <v>26.5</v>
      </c>
      <c r="Z46" s="10">
        <v>33.700000000000003</v>
      </c>
      <c r="AA46" s="10">
        <v>8.5</v>
      </c>
      <c r="AB46" s="10">
        <v>76.900000000000006</v>
      </c>
    </row>
    <row r="47" spans="1:28">
      <c r="A47">
        <v>6.09</v>
      </c>
      <c r="B47">
        <v>-0.25</v>
      </c>
      <c r="C47">
        <v>-0.5</v>
      </c>
      <c r="D47">
        <v>4.71</v>
      </c>
      <c r="E47">
        <v>0.04</v>
      </c>
      <c r="F47">
        <v>73.8</v>
      </c>
      <c r="G47">
        <v>24</v>
      </c>
      <c r="H47">
        <v>33.6</v>
      </c>
      <c r="I47">
        <v>11.5</v>
      </c>
      <c r="J47">
        <v>81.2</v>
      </c>
      <c r="K47" s="18">
        <v>10.042840254445128</v>
      </c>
      <c r="L47">
        <v>10.029999999999999</v>
      </c>
      <c r="M47" s="19">
        <v>-1.2840254445128707E-2</v>
      </c>
      <c r="P47" s="9">
        <v>3</v>
      </c>
      <c r="Q47" s="9" t="s">
        <v>99</v>
      </c>
      <c r="R47" s="9">
        <v>9.83</v>
      </c>
      <c r="S47" s="15">
        <v>6.14</v>
      </c>
      <c r="T47" s="15">
        <v>-0.08</v>
      </c>
      <c r="U47" s="15">
        <v>-0.85</v>
      </c>
      <c r="V47" s="15">
        <v>4.71</v>
      </c>
      <c r="W47" s="9">
        <v>-7.0000000000000007E-2</v>
      </c>
      <c r="X47" s="10">
        <v>51.9</v>
      </c>
      <c r="Y47" s="10">
        <v>21.7</v>
      </c>
      <c r="Z47" s="10">
        <v>34.200000000000003</v>
      </c>
      <c r="AA47" s="10">
        <v>11.3</v>
      </c>
      <c r="AB47" s="10">
        <v>80.5</v>
      </c>
    </row>
    <row r="48" spans="1:28">
      <c r="A48">
        <v>5.37</v>
      </c>
      <c r="B48">
        <v>-0.14000000000000001</v>
      </c>
      <c r="C48">
        <v>-0.28000000000000003</v>
      </c>
      <c r="D48">
        <v>4.71</v>
      </c>
      <c r="E48">
        <v>0</v>
      </c>
      <c r="F48">
        <v>55</v>
      </c>
      <c r="G48">
        <v>23.9</v>
      </c>
      <c r="H48">
        <v>33.9</v>
      </c>
      <c r="I48">
        <v>10.6</v>
      </c>
      <c r="J48">
        <v>79.5</v>
      </c>
      <c r="K48" s="18">
        <v>9.6410041421464676</v>
      </c>
      <c r="L48">
        <v>9.64</v>
      </c>
      <c r="M48" s="19">
        <v>-1.0041421464670464E-3</v>
      </c>
      <c r="P48" s="9">
        <v>3</v>
      </c>
      <c r="Q48" s="9" t="s">
        <v>100</v>
      </c>
      <c r="R48" s="9">
        <v>10.36</v>
      </c>
      <c r="S48" s="15">
        <v>6.53</v>
      </c>
      <c r="T48" s="15">
        <v>-0.05</v>
      </c>
      <c r="U48" s="15">
        <v>-0.91</v>
      </c>
      <c r="V48" s="15">
        <v>4.71</v>
      </c>
      <c r="W48" s="9">
        <v>7.0000000000000007E-2</v>
      </c>
      <c r="X48" s="10">
        <v>50.5</v>
      </c>
      <c r="Y48" s="10">
        <v>16.899999999999999</v>
      </c>
      <c r="Z48" s="10">
        <v>33.1</v>
      </c>
      <c r="AA48" s="10">
        <v>10.5</v>
      </c>
      <c r="AB48" s="10">
        <v>83</v>
      </c>
    </row>
    <row r="49" spans="1:28">
      <c r="A49">
        <v>5.04</v>
      </c>
      <c r="B49">
        <v>-0.02</v>
      </c>
      <c r="C49">
        <v>0.04</v>
      </c>
      <c r="D49">
        <v>4.71</v>
      </c>
      <c r="E49">
        <v>-0.03</v>
      </c>
      <c r="F49">
        <v>52.8</v>
      </c>
      <c r="G49">
        <v>20.2</v>
      </c>
      <c r="H49">
        <v>32.4</v>
      </c>
      <c r="I49">
        <v>11.4</v>
      </c>
      <c r="J49">
        <v>76.599999999999994</v>
      </c>
      <c r="K49" s="18">
        <v>9.7480576297022168</v>
      </c>
      <c r="L49">
        <v>9.74</v>
      </c>
      <c r="M49" s="19">
        <v>-8.0576297022165733E-3</v>
      </c>
      <c r="P49" s="9">
        <v>3</v>
      </c>
      <c r="Q49" s="9" t="s">
        <v>101</v>
      </c>
      <c r="R49" s="9">
        <v>9.9499999999999993</v>
      </c>
      <c r="S49" s="15">
        <v>6.56</v>
      </c>
      <c r="T49" s="15">
        <v>0.28000000000000003</v>
      </c>
      <c r="U49" s="15">
        <v>-1.58</v>
      </c>
      <c r="V49" s="15">
        <v>4.71</v>
      </c>
      <c r="W49" s="9">
        <v>0.01</v>
      </c>
      <c r="X49" s="10">
        <v>55.8</v>
      </c>
      <c r="Y49" s="10">
        <v>30.8</v>
      </c>
      <c r="Z49" s="10">
        <v>33.200000000000003</v>
      </c>
      <c r="AA49" s="10">
        <v>10.3</v>
      </c>
      <c r="AB49" s="10">
        <v>87.6</v>
      </c>
    </row>
    <row r="50" spans="1:28">
      <c r="A50">
        <v>5.25</v>
      </c>
      <c r="B50">
        <v>-0.05</v>
      </c>
      <c r="C50">
        <v>-0.03</v>
      </c>
      <c r="D50">
        <v>4.71</v>
      </c>
      <c r="E50">
        <v>-0.01</v>
      </c>
      <c r="F50">
        <v>53.3</v>
      </c>
      <c r="G50">
        <v>22.7</v>
      </c>
      <c r="H50">
        <v>33.9</v>
      </c>
      <c r="I50">
        <v>10</v>
      </c>
      <c r="J50">
        <v>76.7</v>
      </c>
      <c r="K50" s="18">
        <v>9.8596011420728473</v>
      </c>
      <c r="L50">
        <v>9.8699999999999992</v>
      </c>
      <c r="M50" s="19">
        <v>1.0398857927151894E-2</v>
      </c>
      <c r="P50" s="9">
        <v>4</v>
      </c>
      <c r="Q50" s="9" t="s">
        <v>33</v>
      </c>
      <c r="R50" s="9">
        <v>10.39</v>
      </c>
      <c r="S50" s="9">
        <v>6.26</v>
      </c>
      <c r="T50" s="9">
        <v>-0.31</v>
      </c>
      <c r="U50" s="9">
        <v>-0.26</v>
      </c>
      <c r="V50" s="9">
        <v>4.71</v>
      </c>
      <c r="W50" s="9">
        <v>-0.03</v>
      </c>
      <c r="X50" s="9">
        <v>45</v>
      </c>
      <c r="Y50" s="9">
        <v>9.8000000000000007</v>
      </c>
      <c r="Z50" s="9">
        <v>31.7</v>
      </c>
      <c r="AA50" s="9">
        <v>9.1999999999999993</v>
      </c>
      <c r="AB50" s="9">
        <v>81.5</v>
      </c>
    </row>
    <row r="51" spans="1:28">
      <c r="A51">
        <v>5.13</v>
      </c>
      <c r="B51">
        <v>-0.02</v>
      </c>
      <c r="C51">
        <v>-7.0000000000000007E-2</v>
      </c>
      <c r="D51">
        <v>4.71</v>
      </c>
      <c r="E51">
        <v>-0.09</v>
      </c>
      <c r="F51">
        <v>51.2</v>
      </c>
      <c r="G51">
        <v>13.5</v>
      </c>
      <c r="H51">
        <v>33</v>
      </c>
      <c r="I51">
        <v>10.3</v>
      </c>
      <c r="J51">
        <v>77.8</v>
      </c>
      <c r="K51" s="18">
        <v>9.6712573998699405</v>
      </c>
      <c r="L51">
        <v>9.66</v>
      </c>
      <c r="M51" s="19">
        <v>-1.1257399869940343E-2</v>
      </c>
      <c r="P51" s="14">
        <v>4</v>
      </c>
      <c r="Q51" s="9" t="s">
        <v>36</v>
      </c>
      <c r="R51" s="9">
        <v>10.029999999999999</v>
      </c>
      <c r="S51" s="9">
        <v>6.37</v>
      </c>
      <c r="T51" s="9">
        <v>-0.3</v>
      </c>
      <c r="U51" s="9">
        <v>-0.81</v>
      </c>
      <c r="V51" s="9">
        <v>4.71</v>
      </c>
      <c r="W51" s="9">
        <v>0.04</v>
      </c>
      <c r="X51" s="9">
        <v>55.8</v>
      </c>
      <c r="Y51" s="9">
        <v>17.600000000000001</v>
      </c>
      <c r="Z51" s="9">
        <v>31.4</v>
      </c>
      <c r="AA51" s="9">
        <v>9.1999999999999993</v>
      </c>
      <c r="AB51" s="9">
        <v>82.1</v>
      </c>
    </row>
    <row r="52" spans="1:28">
      <c r="A52">
        <v>4.91</v>
      </c>
      <c r="B52">
        <v>-0.01</v>
      </c>
      <c r="C52">
        <v>0.17</v>
      </c>
      <c r="D52">
        <v>4.71</v>
      </c>
      <c r="E52">
        <v>0.01</v>
      </c>
      <c r="F52">
        <v>47</v>
      </c>
      <c r="G52">
        <v>8.4</v>
      </c>
      <c r="H52">
        <v>31.7</v>
      </c>
      <c r="I52">
        <v>10.5</v>
      </c>
      <c r="J52">
        <v>77.599999999999994</v>
      </c>
      <c r="K52" s="18">
        <v>9.8236514295850981</v>
      </c>
      <c r="L52">
        <v>9.8000000000000007</v>
      </c>
      <c r="M52" s="19">
        <v>-2.3651429585097361E-2</v>
      </c>
      <c r="P52" s="9">
        <v>4</v>
      </c>
      <c r="Q52" s="9" t="s">
        <v>37</v>
      </c>
      <c r="R52" s="9">
        <v>9.91</v>
      </c>
      <c r="S52" s="9">
        <v>6.01</v>
      </c>
      <c r="T52" s="9">
        <v>-0.32</v>
      </c>
      <c r="U52" s="9">
        <v>-0.56999999999999995</v>
      </c>
      <c r="V52" s="9">
        <v>4.71</v>
      </c>
      <c r="W52" s="9">
        <v>0.06</v>
      </c>
      <c r="X52" s="9">
        <v>55.7</v>
      </c>
      <c r="Y52" s="9">
        <v>14.5</v>
      </c>
      <c r="Z52" s="9">
        <v>31.4</v>
      </c>
      <c r="AA52" s="9">
        <v>9</v>
      </c>
      <c r="AB52" s="9">
        <v>85</v>
      </c>
    </row>
    <row r="53" spans="1:28">
      <c r="A53">
        <v>5.03</v>
      </c>
      <c r="B53">
        <v>-0.11</v>
      </c>
      <c r="C53">
        <v>0.16</v>
      </c>
      <c r="D53">
        <v>4.71</v>
      </c>
      <c r="E53">
        <v>0</v>
      </c>
      <c r="F53">
        <v>43.8</v>
      </c>
      <c r="G53">
        <v>12.9</v>
      </c>
      <c r="H53">
        <v>32.4</v>
      </c>
      <c r="I53">
        <v>10.199999999999999</v>
      </c>
      <c r="J53">
        <v>78</v>
      </c>
      <c r="K53" s="18">
        <v>9.8169847575154794</v>
      </c>
      <c r="L53">
        <v>9.7899999999999991</v>
      </c>
      <c r="M53" s="19">
        <v>-2.698475751548024E-2</v>
      </c>
      <c r="P53" s="14">
        <v>4</v>
      </c>
      <c r="Q53" s="9" t="s">
        <v>39</v>
      </c>
      <c r="R53" s="9">
        <v>10.18</v>
      </c>
      <c r="S53" s="9">
        <v>5.91</v>
      </c>
      <c r="T53" s="9">
        <v>-0.17</v>
      </c>
      <c r="U53" s="9">
        <v>-0.32</v>
      </c>
      <c r="V53" s="9">
        <v>4.71</v>
      </c>
      <c r="W53" s="9">
        <v>7.0000000000000007E-2</v>
      </c>
      <c r="X53" s="9">
        <v>58.5</v>
      </c>
      <c r="Y53" s="9">
        <v>22.9</v>
      </c>
      <c r="Z53" s="9">
        <v>31.6</v>
      </c>
      <c r="AA53" s="9">
        <v>11.6</v>
      </c>
      <c r="AB53" s="9">
        <v>83.1</v>
      </c>
    </row>
    <row r="54" spans="1:28">
      <c r="A54">
        <v>4.32</v>
      </c>
      <c r="B54">
        <v>0.13</v>
      </c>
      <c r="C54">
        <v>0.69</v>
      </c>
      <c r="D54">
        <v>4.71</v>
      </c>
      <c r="E54">
        <v>-0.02</v>
      </c>
      <c r="F54">
        <v>50.5</v>
      </c>
      <c r="G54">
        <v>7.5</v>
      </c>
      <c r="H54">
        <v>32.9</v>
      </c>
      <c r="I54">
        <v>9.9</v>
      </c>
      <c r="J54">
        <v>76.3</v>
      </c>
      <c r="K54" s="18">
        <v>9.8556399745305008</v>
      </c>
      <c r="L54">
        <v>9.84</v>
      </c>
      <c r="M54" s="19">
        <v>-1.5639974530500922E-2</v>
      </c>
      <c r="P54" s="9">
        <v>4</v>
      </c>
      <c r="Q54" s="9" t="s">
        <v>40</v>
      </c>
      <c r="R54" s="9">
        <v>10.27</v>
      </c>
      <c r="S54" s="9">
        <v>6.99</v>
      </c>
      <c r="T54" s="9">
        <v>-0.63</v>
      </c>
      <c r="U54" s="9">
        <v>-0.8</v>
      </c>
      <c r="V54" s="9">
        <v>4.71</v>
      </c>
      <c r="W54" s="9">
        <v>0.02</v>
      </c>
      <c r="X54" s="9">
        <v>55.9</v>
      </c>
      <c r="Y54" s="9">
        <v>24.4</v>
      </c>
      <c r="Z54" s="9">
        <v>33.200000000000003</v>
      </c>
      <c r="AA54" s="9">
        <v>9</v>
      </c>
      <c r="AB54" s="9">
        <v>81.7</v>
      </c>
    </row>
    <row r="55" spans="1:28">
      <c r="A55">
        <v>4.8499999999999996</v>
      </c>
      <c r="B55">
        <v>-0.05</v>
      </c>
      <c r="C55">
        <v>0.44</v>
      </c>
      <c r="D55">
        <v>4.71</v>
      </c>
      <c r="E55">
        <v>0.04</v>
      </c>
      <c r="F55">
        <v>46.1</v>
      </c>
      <c r="G55">
        <v>8.9</v>
      </c>
      <c r="H55">
        <v>32.1</v>
      </c>
      <c r="I55">
        <v>10.4</v>
      </c>
      <c r="J55">
        <v>76.8</v>
      </c>
      <c r="K55" s="18">
        <v>10.022855420656068</v>
      </c>
      <c r="L55">
        <v>9.99</v>
      </c>
      <c r="M55" s="19">
        <v>-3.2855420656067835E-2</v>
      </c>
      <c r="P55" s="14">
        <v>4</v>
      </c>
      <c r="Q55" s="9" t="s">
        <v>41</v>
      </c>
      <c r="R55" s="9">
        <v>9.99</v>
      </c>
      <c r="S55" s="9">
        <v>6.1</v>
      </c>
      <c r="T55" s="9">
        <v>-0.27</v>
      </c>
      <c r="U55" s="9">
        <v>-0.5</v>
      </c>
      <c r="V55" s="9">
        <v>4.71</v>
      </c>
      <c r="W55" s="9">
        <v>0</v>
      </c>
      <c r="X55" s="9">
        <v>73</v>
      </c>
      <c r="Y55" s="9">
        <v>22.7</v>
      </c>
      <c r="Z55" s="9">
        <v>33.299999999999997</v>
      </c>
      <c r="AA55" s="9">
        <v>10.8</v>
      </c>
      <c r="AB55" s="9">
        <v>83.3</v>
      </c>
    </row>
    <row r="56" spans="1:28">
      <c r="A56">
        <v>5.28</v>
      </c>
      <c r="B56">
        <v>-0.14000000000000001</v>
      </c>
      <c r="C56">
        <v>-0.32</v>
      </c>
      <c r="D56">
        <v>4.71</v>
      </c>
      <c r="E56">
        <v>-0.01</v>
      </c>
      <c r="F56">
        <v>66.400000000000006</v>
      </c>
      <c r="G56">
        <v>17.7</v>
      </c>
      <c r="H56">
        <v>33.4</v>
      </c>
      <c r="I56">
        <v>10.6</v>
      </c>
      <c r="J56">
        <v>79.3</v>
      </c>
      <c r="K56" s="18">
        <v>9.4931102948988482</v>
      </c>
      <c r="L56">
        <v>9.5</v>
      </c>
      <c r="M56" s="19">
        <v>6.8897051011518329E-3</v>
      </c>
      <c r="P56" s="9">
        <v>4</v>
      </c>
      <c r="Q56" s="9" t="s">
        <v>42</v>
      </c>
      <c r="R56" s="9">
        <v>9.65</v>
      </c>
      <c r="S56" s="9">
        <v>5.37</v>
      </c>
      <c r="T56" s="9">
        <v>-0.16</v>
      </c>
      <c r="U56" s="9">
        <v>-0.27</v>
      </c>
      <c r="V56" s="9">
        <v>4.71</v>
      </c>
      <c r="W56" s="9">
        <v>0.03</v>
      </c>
      <c r="X56" s="9">
        <v>53.1</v>
      </c>
      <c r="Y56" s="9">
        <v>24.9</v>
      </c>
      <c r="Z56" s="9">
        <v>33.5</v>
      </c>
      <c r="AA56" s="9">
        <v>10.3</v>
      </c>
      <c r="AB56" s="9">
        <v>81.8</v>
      </c>
    </row>
    <row r="57" spans="1:28">
      <c r="A57">
        <v>4.91</v>
      </c>
      <c r="B57">
        <v>-0.09</v>
      </c>
      <c r="C57">
        <v>0.13</v>
      </c>
      <c r="D57">
        <v>4.71</v>
      </c>
      <c r="E57">
        <v>0</v>
      </c>
      <c r="F57">
        <v>66.3</v>
      </c>
      <c r="G57">
        <v>29.3</v>
      </c>
      <c r="H57">
        <v>31.4</v>
      </c>
      <c r="I57">
        <v>14.4</v>
      </c>
      <c r="J57">
        <v>78.8</v>
      </c>
      <c r="K57" s="18">
        <v>9.6479461933570683</v>
      </c>
      <c r="L57">
        <v>9.59</v>
      </c>
      <c r="M57" s="19">
        <v>-5.794619335706841E-2</v>
      </c>
      <c r="P57" s="14">
        <v>4</v>
      </c>
      <c r="Q57" s="9" t="s">
        <v>43</v>
      </c>
      <c r="R57" s="9">
        <v>9.77</v>
      </c>
      <c r="S57" s="9">
        <v>5.05</v>
      </c>
      <c r="T57" s="9">
        <v>-0.04</v>
      </c>
      <c r="U57" s="9">
        <v>0.04</v>
      </c>
      <c r="V57" s="9">
        <v>4.71</v>
      </c>
      <c r="W57" s="9">
        <v>-0.01</v>
      </c>
      <c r="X57" s="9">
        <v>52.3</v>
      </c>
      <c r="Y57" s="9">
        <v>13.9</v>
      </c>
      <c r="Z57" s="9">
        <v>31.7</v>
      </c>
      <c r="AA57" s="9">
        <v>12</v>
      </c>
      <c r="AB57" s="9">
        <v>78.8</v>
      </c>
    </row>
    <row r="58" spans="1:28">
      <c r="A58">
        <v>5.36</v>
      </c>
      <c r="B58">
        <v>-0.03</v>
      </c>
      <c r="C58">
        <v>0.02</v>
      </c>
      <c r="D58">
        <v>4.71</v>
      </c>
      <c r="E58">
        <v>0.04</v>
      </c>
      <c r="F58">
        <v>63.7</v>
      </c>
      <c r="G58">
        <v>21.1</v>
      </c>
      <c r="H58">
        <v>31.5</v>
      </c>
      <c r="I58">
        <v>12.1</v>
      </c>
      <c r="J58">
        <v>77.8</v>
      </c>
      <c r="K58" s="18">
        <v>10.098284451066267</v>
      </c>
      <c r="L58">
        <v>10.11</v>
      </c>
      <c r="M58" s="19">
        <v>1.1715548933732833E-2</v>
      </c>
      <c r="P58" s="9">
        <v>4</v>
      </c>
      <c r="Q58" s="9" t="s">
        <v>44</v>
      </c>
      <c r="R58" s="9">
        <v>9.9</v>
      </c>
      <c r="S58" s="9">
        <v>5.29</v>
      </c>
      <c r="T58" s="9">
        <v>-0.06</v>
      </c>
      <c r="U58" s="9">
        <v>-0.05</v>
      </c>
      <c r="V58" s="9">
        <v>4.71</v>
      </c>
      <c r="W58" s="9">
        <v>0.04</v>
      </c>
      <c r="X58" s="9">
        <v>53.4</v>
      </c>
      <c r="Y58" s="9">
        <v>23.5</v>
      </c>
      <c r="Z58" s="9">
        <v>32.4</v>
      </c>
      <c r="AA58" s="9">
        <v>10.5</v>
      </c>
      <c r="AB58" s="9">
        <v>79.5</v>
      </c>
    </row>
    <row r="59" spans="1:28">
      <c r="A59">
        <v>5.42</v>
      </c>
      <c r="B59">
        <v>-0.12</v>
      </c>
      <c r="C59">
        <v>-0.04</v>
      </c>
      <c r="D59">
        <v>4.71</v>
      </c>
      <c r="E59">
        <v>0.06</v>
      </c>
      <c r="F59">
        <v>61.2</v>
      </c>
      <c r="G59">
        <v>19.600000000000001</v>
      </c>
      <c r="H59">
        <v>33.700000000000003</v>
      </c>
      <c r="I59">
        <v>17.3</v>
      </c>
      <c r="J59">
        <v>77.5</v>
      </c>
      <c r="K59" s="18">
        <v>10.011293610906099</v>
      </c>
      <c r="L59">
        <v>9.98</v>
      </c>
      <c r="M59" s="19">
        <v>-3.1293610906098834E-2</v>
      </c>
      <c r="P59" s="14">
        <v>4</v>
      </c>
      <c r="Q59" s="9" t="s">
        <v>45</v>
      </c>
      <c r="R59" s="9">
        <v>9.73</v>
      </c>
      <c r="S59" s="9">
        <v>5.15</v>
      </c>
      <c r="T59" s="9">
        <v>-0.02</v>
      </c>
      <c r="U59" s="9">
        <v>-0.08</v>
      </c>
      <c r="V59" s="9">
        <v>4.71</v>
      </c>
      <c r="W59" s="9">
        <v>-0.04</v>
      </c>
      <c r="X59" s="9">
        <v>51.2</v>
      </c>
      <c r="Y59" s="9">
        <v>10.6</v>
      </c>
      <c r="Z59" s="9">
        <v>31.7</v>
      </c>
      <c r="AA59" s="9">
        <v>9.3000000000000007</v>
      </c>
      <c r="AB59" s="9">
        <v>80.3</v>
      </c>
    </row>
    <row r="60" spans="1:28">
      <c r="A60">
        <v>5.45</v>
      </c>
      <c r="B60">
        <v>-0.14000000000000001</v>
      </c>
      <c r="C60">
        <v>-0.17</v>
      </c>
      <c r="D60">
        <v>4.71</v>
      </c>
      <c r="E60">
        <v>-7.0000000000000007E-2</v>
      </c>
      <c r="F60">
        <v>65.099999999999994</v>
      </c>
      <c r="G60">
        <v>18.899999999999999</v>
      </c>
      <c r="H60">
        <v>31.7</v>
      </c>
      <c r="I60">
        <v>9.1999999999999993</v>
      </c>
      <c r="J60">
        <v>74.8</v>
      </c>
      <c r="K60" s="18">
        <v>9.7750687712227347</v>
      </c>
      <c r="L60">
        <v>9.7899999999999991</v>
      </c>
      <c r="M60" s="19">
        <v>1.4931228777264494E-2</v>
      </c>
      <c r="P60" s="9">
        <v>4</v>
      </c>
      <c r="Q60" s="9" t="s">
        <v>47</v>
      </c>
      <c r="R60" s="9">
        <v>9.7100000000000009</v>
      </c>
      <c r="S60" s="9">
        <v>4.91</v>
      </c>
      <c r="T60" s="9">
        <v>-0.02</v>
      </c>
      <c r="U60" s="9">
        <v>0.14000000000000001</v>
      </c>
      <c r="V60" s="9">
        <v>4.71</v>
      </c>
      <c r="W60" s="9">
        <v>-0.04</v>
      </c>
      <c r="X60" s="9">
        <v>43</v>
      </c>
      <c r="Y60" s="9">
        <v>6.6</v>
      </c>
      <c r="Z60" s="9">
        <v>31.8</v>
      </c>
      <c r="AA60" s="9">
        <v>8.6999999999999993</v>
      </c>
      <c r="AB60" s="9">
        <v>79.8</v>
      </c>
    </row>
    <row r="61" spans="1:28">
      <c r="A61">
        <v>5.24</v>
      </c>
      <c r="B61">
        <v>-7.0000000000000007E-2</v>
      </c>
      <c r="C61">
        <v>-0.21</v>
      </c>
      <c r="D61">
        <v>4.71</v>
      </c>
      <c r="E61">
        <v>0.04</v>
      </c>
      <c r="F61">
        <v>58.7</v>
      </c>
      <c r="G61">
        <v>22.5</v>
      </c>
      <c r="H61">
        <v>33.1</v>
      </c>
      <c r="I61">
        <v>9.9</v>
      </c>
      <c r="J61">
        <v>79.099999999999994</v>
      </c>
      <c r="K61" s="18">
        <v>9.6941975670643465</v>
      </c>
      <c r="L61">
        <v>9.7100000000000009</v>
      </c>
      <c r="M61" s="19">
        <v>1.5802432935654309E-2</v>
      </c>
      <c r="P61" s="14">
        <v>4</v>
      </c>
      <c r="Q61" s="9" t="s">
        <v>49</v>
      </c>
      <c r="R61" s="9">
        <v>9.76</v>
      </c>
      <c r="S61" s="9">
        <v>5.0199999999999996</v>
      </c>
      <c r="T61" s="9">
        <v>-0.11</v>
      </c>
      <c r="U61" s="9">
        <v>0.14000000000000001</v>
      </c>
      <c r="V61" s="9">
        <v>4.71</v>
      </c>
      <c r="W61" s="9">
        <v>-0.01</v>
      </c>
      <c r="X61" s="9">
        <v>40</v>
      </c>
      <c r="Y61" s="9">
        <v>12.6</v>
      </c>
      <c r="Z61" s="9">
        <v>31.4</v>
      </c>
      <c r="AA61" s="9">
        <v>9.6999999999999993</v>
      </c>
      <c r="AB61" s="9">
        <v>80.099999999999994</v>
      </c>
    </row>
    <row r="62" spans="1:28">
      <c r="A62">
        <v>5.19</v>
      </c>
      <c r="B62">
        <v>0.01</v>
      </c>
      <c r="C62">
        <v>-0.06</v>
      </c>
      <c r="D62">
        <v>4.71</v>
      </c>
      <c r="E62">
        <v>-0.03</v>
      </c>
      <c r="F62">
        <v>57</v>
      </c>
      <c r="G62">
        <v>27.4</v>
      </c>
      <c r="H62">
        <v>33.6</v>
      </c>
      <c r="I62">
        <v>9.6</v>
      </c>
      <c r="J62">
        <v>75.5</v>
      </c>
      <c r="K62" s="18">
        <v>9.8035296310941273</v>
      </c>
      <c r="L62">
        <v>9.83</v>
      </c>
      <c r="M62" s="19">
        <v>2.6470368905872732E-2</v>
      </c>
      <c r="P62" s="9">
        <v>4</v>
      </c>
      <c r="Q62" s="9" t="s">
        <v>51</v>
      </c>
      <c r="R62" s="9">
        <v>9.81</v>
      </c>
      <c r="S62" s="9">
        <v>4.3099999999999996</v>
      </c>
      <c r="T62" s="9">
        <v>0.13</v>
      </c>
      <c r="U62" s="9">
        <v>0.67</v>
      </c>
      <c r="V62" s="9">
        <v>4.71</v>
      </c>
      <c r="W62" s="9">
        <v>-0.02</v>
      </c>
      <c r="X62" s="9">
        <v>47.2</v>
      </c>
      <c r="Y62" s="9">
        <v>7.7</v>
      </c>
      <c r="Z62" s="9">
        <v>32.4</v>
      </c>
      <c r="AA62" s="9">
        <v>9.1999999999999993</v>
      </c>
      <c r="AB62" s="9">
        <v>78.400000000000006</v>
      </c>
    </row>
    <row r="63" spans="1:28">
      <c r="A63">
        <v>4.9400000000000004</v>
      </c>
      <c r="B63">
        <v>-0.06</v>
      </c>
      <c r="C63">
        <v>0.12</v>
      </c>
      <c r="D63">
        <v>4.71</v>
      </c>
      <c r="E63">
        <v>0.02</v>
      </c>
      <c r="F63">
        <v>55.1</v>
      </c>
      <c r="G63">
        <v>14.7</v>
      </c>
      <c r="H63">
        <v>33.700000000000003</v>
      </c>
      <c r="I63">
        <v>10.3</v>
      </c>
      <c r="J63">
        <v>78.2</v>
      </c>
      <c r="K63" s="18">
        <v>9.7251452766986688</v>
      </c>
      <c r="L63">
        <v>9.7200000000000006</v>
      </c>
      <c r="M63" s="19">
        <v>-5.1452766986681553E-3</v>
      </c>
      <c r="P63" s="14">
        <v>4</v>
      </c>
      <c r="Q63" s="9" t="s">
        <v>53</v>
      </c>
      <c r="R63" s="9">
        <v>9.85</v>
      </c>
      <c r="S63" s="9">
        <v>4.82</v>
      </c>
      <c r="T63" s="9">
        <v>-0.06</v>
      </c>
      <c r="U63" s="9">
        <v>0.41</v>
      </c>
      <c r="V63" s="9">
        <v>4.71</v>
      </c>
      <c r="W63" s="9">
        <v>-0.04</v>
      </c>
      <c r="X63" s="9">
        <v>41.7</v>
      </c>
      <c r="Y63" s="9">
        <v>8.9</v>
      </c>
      <c r="Z63" s="9">
        <v>31.7</v>
      </c>
      <c r="AA63" s="9">
        <v>10.199999999999999</v>
      </c>
      <c r="AB63" s="9">
        <v>79</v>
      </c>
    </row>
    <row r="64" spans="1:28">
      <c r="A64">
        <v>4.68</v>
      </c>
      <c r="B64">
        <v>0.19</v>
      </c>
      <c r="C64">
        <v>0.31</v>
      </c>
      <c r="D64">
        <v>4.71</v>
      </c>
      <c r="E64">
        <v>0.01</v>
      </c>
      <c r="F64">
        <v>50.3</v>
      </c>
      <c r="G64">
        <v>11.8</v>
      </c>
      <c r="H64">
        <v>33.299999999999997</v>
      </c>
      <c r="I64">
        <v>10.199999999999999</v>
      </c>
      <c r="J64">
        <v>76.2</v>
      </c>
      <c r="K64" s="18">
        <v>9.9148685919478918</v>
      </c>
      <c r="L64">
        <v>9.91</v>
      </c>
      <c r="M64" s="19">
        <v>-4.8685919478916873E-3</v>
      </c>
      <c r="P64" s="9">
        <v>4</v>
      </c>
      <c r="Q64" s="9" t="s">
        <v>55</v>
      </c>
      <c r="R64" s="9">
        <v>9.51</v>
      </c>
      <c r="S64" s="9">
        <v>5.28</v>
      </c>
      <c r="T64" s="9">
        <v>-0.14000000000000001</v>
      </c>
      <c r="U64" s="9">
        <v>-0.31</v>
      </c>
      <c r="V64" s="9">
        <v>4.71</v>
      </c>
      <c r="W64" s="9">
        <v>0</v>
      </c>
      <c r="X64" s="9">
        <v>65.2</v>
      </c>
      <c r="Y64" s="9">
        <v>17.5</v>
      </c>
      <c r="Z64" s="9">
        <v>33.1</v>
      </c>
      <c r="AA64" s="9">
        <v>11.1</v>
      </c>
      <c r="AB64" s="9">
        <v>81.5</v>
      </c>
    </row>
    <row r="65" spans="1:28">
      <c r="A65">
        <v>5.04</v>
      </c>
      <c r="B65">
        <v>0.04</v>
      </c>
      <c r="C65">
        <v>0.04</v>
      </c>
      <c r="D65">
        <v>4.71</v>
      </c>
      <c r="E65">
        <v>-0.02</v>
      </c>
      <c r="F65">
        <v>58.1</v>
      </c>
      <c r="G65">
        <v>15.2</v>
      </c>
      <c r="H65">
        <v>32.799999999999997</v>
      </c>
      <c r="I65">
        <v>12.7</v>
      </c>
      <c r="J65">
        <v>76.400000000000006</v>
      </c>
      <c r="K65" s="18">
        <v>9.8117145761099316</v>
      </c>
      <c r="L65">
        <v>9.81</v>
      </c>
      <c r="M65" s="19">
        <v>-1.7145761099310874E-3</v>
      </c>
      <c r="P65" s="14">
        <v>4</v>
      </c>
      <c r="Q65" s="9" t="s">
        <v>57</v>
      </c>
      <c r="R65" s="9">
        <v>9.61</v>
      </c>
      <c r="S65" s="9">
        <v>4.88</v>
      </c>
      <c r="T65" s="9">
        <v>-0.09</v>
      </c>
      <c r="U65" s="9">
        <v>0.13</v>
      </c>
      <c r="V65" s="9">
        <v>4.71</v>
      </c>
      <c r="W65" s="9">
        <v>0.02</v>
      </c>
      <c r="X65" s="9">
        <v>67.2</v>
      </c>
      <c r="Y65" s="9">
        <v>27.6</v>
      </c>
      <c r="Z65" s="9">
        <v>31.6</v>
      </c>
      <c r="AA65" s="9">
        <v>15.9</v>
      </c>
      <c r="AB65" s="9">
        <v>80.8</v>
      </c>
    </row>
    <row r="66" spans="1:28">
      <c r="A66">
        <v>5.22</v>
      </c>
      <c r="B66">
        <v>0.05</v>
      </c>
      <c r="C66">
        <v>-0.15</v>
      </c>
      <c r="D66">
        <v>4.71</v>
      </c>
      <c r="E66">
        <v>-0.02</v>
      </c>
      <c r="F66">
        <v>57.8</v>
      </c>
      <c r="G66">
        <v>23.5</v>
      </c>
      <c r="H66">
        <v>35.5</v>
      </c>
      <c r="I66">
        <v>10.7</v>
      </c>
      <c r="J66">
        <v>78.3</v>
      </c>
      <c r="K66" s="18">
        <v>9.777207866343625</v>
      </c>
      <c r="L66">
        <v>9.7799999999999994</v>
      </c>
      <c r="M66" s="19">
        <v>2.7921336563743182E-3</v>
      </c>
      <c r="P66" s="9">
        <v>4</v>
      </c>
      <c r="Q66" s="9" t="s">
        <v>58</v>
      </c>
      <c r="R66" s="9">
        <v>9.89</v>
      </c>
      <c r="S66" s="9">
        <v>5.27</v>
      </c>
      <c r="T66" s="9">
        <v>-0.03</v>
      </c>
      <c r="U66" s="9">
        <v>0</v>
      </c>
      <c r="V66" s="9">
        <v>4.71</v>
      </c>
      <c r="W66" s="9">
        <v>-0.06</v>
      </c>
      <c r="X66" s="9">
        <v>61.1</v>
      </c>
      <c r="Y66" s="9">
        <v>15.4</v>
      </c>
      <c r="Z66" s="9">
        <v>31</v>
      </c>
      <c r="AA66" s="9">
        <v>13.1</v>
      </c>
      <c r="AB66" s="9">
        <v>79.5</v>
      </c>
    </row>
    <row r="67" spans="1:28">
      <c r="A67">
        <v>5.23</v>
      </c>
      <c r="B67">
        <v>0.06</v>
      </c>
      <c r="C67">
        <v>0.05</v>
      </c>
      <c r="D67">
        <v>4.71</v>
      </c>
      <c r="E67">
        <v>0.01</v>
      </c>
      <c r="F67">
        <v>55.6</v>
      </c>
      <c r="G67">
        <v>15.6</v>
      </c>
      <c r="H67">
        <v>34.299999999999997</v>
      </c>
      <c r="I67">
        <v>10.7</v>
      </c>
      <c r="J67">
        <v>74</v>
      </c>
      <c r="K67" s="18">
        <v>10.05128647123894</v>
      </c>
      <c r="L67">
        <v>10.06</v>
      </c>
      <c r="M67" s="19">
        <v>8.7135287610600187E-3</v>
      </c>
      <c r="P67" s="14">
        <v>4</v>
      </c>
      <c r="Q67" s="9" t="s">
        <v>60</v>
      </c>
      <c r="R67" s="9">
        <v>9.9600000000000009</v>
      </c>
      <c r="S67" s="9">
        <v>5.4</v>
      </c>
      <c r="T67" s="9">
        <v>-0.12</v>
      </c>
      <c r="U67" s="9">
        <v>-0.03</v>
      </c>
      <c r="V67" s="9">
        <v>4.71</v>
      </c>
      <c r="W67" s="9">
        <v>0</v>
      </c>
      <c r="X67" s="9">
        <v>58.3</v>
      </c>
      <c r="Y67" s="9">
        <v>17</v>
      </c>
      <c r="Z67" s="9">
        <v>32.700000000000003</v>
      </c>
      <c r="AA67" s="9">
        <v>13.9</v>
      </c>
      <c r="AB67" s="9">
        <v>79.099999999999994</v>
      </c>
    </row>
    <row r="68" spans="1:28">
      <c r="A68">
        <v>5.22</v>
      </c>
      <c r="B68">
        <v>0.17</v>
      </c>
      <c r="C68">
        <v>0.16</v>
      </c>
      <c r="D68">
        <v>4.71</v>
      </c>
      <c r="E68">
        <v>0.02</v>
      </c>
      <c r="F68">
        <v>45.2</v>
      </c>
      <c r="G68">
        <v>12.5</v>
      </c>
      <c r="H68">
        <v>33.5</v>
      </c>
      <c r="I68">
        <v>10.9</v>
      </c>
      <c r="J68">
        <v>74.3</v>
      </c>
      <c r="K68" s="18">
        <v>10.300515154223548</v>
      </c>
      <c r="L68">
        <v>10.29</v>
      </c>
      <c r="M68" s="19">
        <v>-1.0515154223549317E-2</v>
      </c>
      <c r="P68" s="9">
        <v>4</v>
      </c>
      <c r="Q68" s="9" t="s">
        <v>66</v>
      </c>
      <c r="R68" s="9">
        <v>9.66</v>
      </c>
      <c r="S68" s="9">
        <v>5.37</v>
      </c>
      <c r="T68" s="9">
        <v>-0.14000000000000001</v>
      </c>
      <c r="U68" s="9">
        <v>-0.18</v>
      </c>
      <c r="V68" s="9">
        <v>4.71</v>
      </c>
      <c r="W68" s="9">
        <v>-0.09</v>
      </c>
      <c r="X68" s="9">
        <v>62.9</v>
      </c>
      <c r="Y68" s="9">
        <v>16.2</v>
      </c>
      <c r="Z68" s="9">
        <v>31.6</v>
      </c>
      <c r="AA68" s="9">
        <v>10.6</v>
      </c>
      <c r="AB68" s="9">
        <v>78.900000000000006</v>
      </c>
    </row>
    <row r="69" spans="1:28">
      <c r="A69">
        <v>5.47</v>
      </c>
      <c r="B69">
        <v>0.03</v>
      </c>
      <c r="C69">
        <v>-0.01</v>
      </c>
      <c r="D69">
        <v>4.71</v>
      </c>
      <c r="E69">
        <v>0.04</v>
      </c>
      <c r="F69">
        <v>50.9</v>
      </c>
      <c r="G69">
        <v>14.3</v>
      </c>
      <c r="H69">
        <v>33.200000000000003</v>
      </c>
      <c r="I69">
        <v>10.9</v>
      </c>
      <c r="J69">
        <v>76.900000000000006</v>
      </c>
      <c r="K69" s="18">
        <v>10.248720949749977</v>
      </c>
      <c r="L69">
        <v>10.24</v>
      </c>
      <c r="M69" s="19">
        <v>-8.7209497499767252E-3</v>
      </c>
      <c r="P69" s="14">
        <v>4</v>
      </c>
      <c r="Q69" s="9" t="s">
        <v>67</v>
      </c>
      <c r="R69" s="9">
        <v>9.67</v>
      </c>
      <c r="S69" s="9">
        <v>5.26</v>
      </c>
      <c r="T69" s="9">
        <v>-0.08</v>
      </c>
      <c r="U69" s="9">
        <v>-0.24</v>
      </c>
      <c r="V69" s="9">
        <v>4.71</v>
      </c>
      <c r="W69" s="9">
        <v>0.03</v>
      </c>
      <c r="X69" s="9">
        <v>58.8</v>
      </c>
      <c r="Y69" s="9">
        <v>18.7</v>
      </c>
      <c r="Z69" s="9">
        <v>32.299999999999997</v>
      </c>
      <c r="AA69" s="9">
        <v>9.9</v>
      </c>
      <c r="AB69" s="9">
        <v>81.2</v>
      </c>
    </row>
    <row r="70" spans="1:28">
      <c r="A70">
        <v>5.81</v>
      </c>
      <c r="B70">
        <v>-0.03</v>
      </c>
      <c r="C70">
        <v>-0.44</v>
      </c>
      <c r="D70">
        <v>4.71</v>
      </c>
      <c r="E70">
        <v>-0.03</v>
      </c>
      <c r="F70">
        <v>49.6</v>
      </c>
      <c r="G70">
        <v>23.5</v>
      </c>
      <c r="H70">
        <v>35.4</v>
      </c>
      <c r="I70">
        <v>10.8</v>
      </c>
      <c r="J70">
        <v>71.7</v>
      </c>
      <c r="K70" s="18">
        <v>9.9989516255641568</v>
      </c>
      <c r="L70">
        <v>10</v>
      </c>
      <c r="M70" s="19">
        <v>1.0483744358431579E-3</v>
      </c>
      <c r="P70" s="9">
        <v>4</v>
      </c>
      <c r="Q70" s="9" t="s">
        <v>69</v>
      </c>
      <c r="R70" s="9">
        <v>9.82</v>
      </c>
      <c r="S70" s="9">
        <v>5.21</v>
      </c>
      <c r="T70" s="9">
        <v>0.01</v>
      </c>
      <c r="U70" s="9">
        <v>-0.08</v>
      </c>
      <c r="V70" s="9">
        <v>4.71</v>
      </c>
      <c r="W70" s="9">
        <v>-0.04</v>
      </c>
      <c r="X70" s="9">
        <v>56.6</v>
      </c>
      <c r="Y70" s="9">
        <v>21.8</v>
      </c>
      <c r="Z70" s="9">
        <v>33.200000000000003</v>
      </c>
      <c r="AA70" s="9">
        <v>8.9</v>
      </c>
      <c r="AB70" s="9">
        <v>77.900000000000006</v>
      </c>
    </row>
    <row r="71" spans="1:28">
      <c r="A71">
        <v>5.96</v>
      </c>
      <c r="B71">
        <v>-0.01</v>
      </c>
      <c r="C71">
        <v>-0.52</v>
      </c>
      <c r="D71">
        <v>4.71</v>
      </c>
      <c r="E71">
        <v>-0.01</v>
      </c>
      <c r="F71">
        <v>49.4</v>
      </c>
      <c r="G71">
        <v>19.600000000000001</v>
      </c>
      <c r="H71">
        <v>34</v>
      </c>
      <c r="I71">
        <v>12.5</v>
      </c>
      <c r="J71">
        <v>72.7</v>
      </c>
      <c r="K71" s="18">
        <v>10.12554910360566</v>
      </c>
      <c r="L71">
        <v>10.11</v>
      </c>
      <c r="M71" s="19">
        <v>-1.5549103605660974E-2</v>
      </c>
      <c r="P71" s="14">
        <v>4</v>
      </c>
      <c r="Q71" s="9" t="s">
        <v>71</v>
      </c>
      <c r="R71" s="9">
        <v>9.75</v>
      </c>
      <c r="S71" s="9">
        <v>4.96</v>
      </c>
      <c r="T71" s="9">
        <v>-0.05</v>
      </c>
      <c r="U71" s="9">
        <v>0.1</v>
      </c>
      <c r="V71" s="9">
        <v>4.71</v>
      </c>
      <c r="W71" s="9">
        <v>0.03</v>
      </c>
      <c r="X71" s="9">
        <v>54.6</v>
      </c>
      <c r="Y71" s="9">
        <v>15.6</v>
      </c>
      <c r="Z71" s="9">
        <v>33.5</v>
      </c>
      <c r="AA71" s="9">
        <v>10.5</v>
      </c>
      <c r="AB71" s="9">
        <v>80.400000000000006</v>
      </c>
    </row>
    <row r="72" spans="1:28">
      <c r="A72">
        <v>6.14</v>
      </c>
      <c r="B72">
        <v>-0.16</v>
      </c>
      <c r="C72">
        <v>-0.72</v>
      </c>
      <c r="D72">
        <v>4.71</v>
      </c>
      <c r="E72">
        <v>-0.01</v>
      </c>
      <c r="F72">
        <v>53.1</v>
      </c>
      <c r="G72">
        <v>16.100000000000001</v>
      </c>
      <c r="H72">
        <v>32.799999999999997</v>
      </c>
      <c r="I72">
        <v>10.4</v>
      </c>
      <c r="J72">
        <v>79.099999999999994</v>
      </c>
      <c r="K72" s="18">
        <v>9.9588175573627318</v>
      </c>
      <c r="L72">
        <v>9.9700000000000006</v>
      </c>
      <c r="M72" s="19">
        <v>1.1182442637268863E-2</v>
      </c>
      <c r="P72" s="9">
        <v>4</v>
      </c>
      <c r="Q72" s="9" t="s">
        <v>72</v>
      </c>
      <c r="R72" s="9">
        <v>9.93</v>
      </c>
      <c r="S72" s="9">
        <v>4.71</v>
      </c>
      <c r="T72" s="9">
        <v>0.2</v>
      </c>
      <c r="U72" s="9">
        <v>0.27</v>
      </c>
      <c r="V72" s="9">
        <v>4.71</v>
      </c>
      <c r="W72" s="9">
        <v>0.02</v>
      </c>
      <c r="X72" s="9">
        <v>49.7</v>
      </c>
      <c r="Y72" s="9">
        <v>11.2</v>
      </c>
      <c r="Z72" s="9">
        <v>31.8</v>
      </c>
      <c r="AA72" s="9">
        <v>9.8000000000000007</v>
      </c>
      <c r="AB72" s="9">
        <v>78.3</v>
      </c>
    </row>
    <row r="73" spans="1:28">
      <c r="A73">
        <v>6.3</v>
      </c>
      <c r="B73">
        <v>-0.28999999999999998</v>
      </c>
      <c r="C73">
        <v>-0.6</v>
      </c>
      <c r="D73">
        <v>4.71</v>
      </c>
      <c r="E73">
        <v>-0.02</v>
      </c>
      <c r="F73">
        <v>65.3</v>
      </c>
      <c r="G73">
        <v>25.8</v>
      </c>
      <c r="H73">
        <v>34.200000000000003</v>
      </c>
      <c r="I73">
        <v>11.2</v>
      </c>
      <c r="J73">
        <v>80.599999999999994</v>
      </c>
      <c r="K73" s="18">
        <v>10.059445574882162</v>
      </c>
      <c r="L73">
        <v>10.029999999999999</v>
      </c>
      <c r="M73" s="19">
        <v>-2.9445574882162262E-2</v>
      </c>
      <c r="P73" s="14">
        <v>4</v>
      </c>
      <c r="Q73" s="9" t="s">
        <v>74</v>
      </c>
      <c r="R73" s="9">
        <v>9.91</v>
      </c>
      <c r="S73" s="9">
        <v>5.08</v>
      </c>
      <c r="T73" s="9">
        <v>0.03</v>
      </c>
      <c r="U73" s="9">
        <v>0.03</v>
      </c>
      <c r="V73" s="9">
        <v>4.71</v>
      </c>
      <c r="W73" s="9">
        <v>0.05</v>
      </c>
      <c r="X73" s="9">
        <v>57.7</v>
      </c>
      <c r="Y73" s="9">
        <v>14.4</v>
      </c>
      <c r="Z73" s="9">
        <v>32.4</v>
      </c>
      <c r="AA73" s="9">
        <v>9.6</v>
      </c>
      <c r="AB73" s="9">
        <v>78.3</v>
      </c>
    </row>
    <row r="74" spans="1:28">
      <c r="A74">
        <v>5.64</v>
      </c>
      <c r="B74">
        <v>0.06</v>
      </c>
      <c r="C74">
        <v>-0.2</v>
      </c>
      <c r="D74">
        <v>4.71</v>
      </c>
      <c r="E74">
        <v>-0.02</v>
      </c>
      <c r="F74">
        <v>56.8</v>
      </c>
      <c r="G74">
        <v>31.6</v>
      </c>
      <c r="H74">
        <v>32.4</v>
      </c>
      <c r="I74">
        <v>11.7</v>
      </c>
      <c r="J74">
        <v>76.2</v>
      </c>
      <c r="K74" s="18">
        <v>10.182835895260904</v>
      </c>
      <c r="L74">
        <v>10.18</v>
      </c>
      <c r="M74" s="19">
        <v>-2.8358952609046639E-3</v>
      </c>
      <c r="P74" s="9">
        <v>4</v>
      </c>
      <c r="Q74" s="9" t="s">
        <v>75</v>
      </c>
      <c r="R74" s="9">
        <v>9.83</v>
      </c>
      <c r="S74" s="9">
        <v>5.2</v>
      </c>
      <c r="T74" s="9">
        <v>7.0000000000000007E-2</v>
      </c>
      <c r="U74" s="9">
        <v>-0.15</v>
      </c>
      <c r="V74" s="9">
        <v>4.71</v>
      </c>
      <c r="W74" s="9">
        <v>0.02</v>
      </c>
      <c r="X74" s="9">
        <v>57</v>
      </c>
      <c r="Y74" s="9">
        <v>19.8</v>
      </c>
      <c r="Z74" s="9">
        <v>33.9</v>
      </c>
      <c r="AA74" s="9">
        <v>10.9</v>
      </c>
      <c r="AB74" s="9">
        <v>80.3</v>
      </c>
    </row>
    <row r="75" spans="1:28">
      <c r="A75">
        <v>5.41</v>
      </c>
      <c r="B75">
        <v>0.03</v>
      </c>
      <c r="C75">
        <v>-0.12</v>
      </c>
      <c r="D75">
        <v>4.71</v>
      </c>
      <c r="E75">
        <v>0</v>
      </c>
      <c r="F75">
        <v>54.7</v>
      </c>
      <c r="G75">
        <v>19.7</v>
      </c>
      <c r="H75">
        <v>32.9</v>
      </c>
      <c r="I75">
        <v>10.9</v>
      </c>
      <c r="J75">
        <v>75.7</v>
      </c>
      <c r="K75" s="18">
        <v>10.030409035256026</v>
      </c>
      <c r="L75">
        <v>10.039999999999999</v>
      </c>
      <c r="M75" s="19">
        <v>9.5909647439729184E-3</v>
      </c>
      <c r="P75" s="14">
        <v>4</v>
      </c>
      <c r="Q75" s="9" t="s">
        <v>79</v>
      </c>
      <c r="R75" s="9">
        <v>9.9499999999999993</v>
      </c>
      <c r="S75" s="9">
        <v>5.18</v>
      </c>
      <c r="T75" s="9">
        <v>7.0000000000000007E-2</v>
      </c>
      <c r="U75" s="9">
        <v>0.02</v>
      </c>
      <c r="V75" s="9">
        <v>4.71</v>
      </c>
      <c r="W75" s="9">
        <v>-0.04</v>
      </c>
      <c r="X75" s="9">
        <v>55.9</v>
      </c>
      <c r="Y75" s="9">
        <v>11.3</v>
      </c>
      <c r="Z75" s="9">
        <v>33.700000000000003</v>
      </c>
      <c r="AA75" s="9">
        <v>8.9</v>
      </c>
      <c r="AB75" s="9">
        <v>76.099999999999994</v>
      </c>
    </row>
    <row r="76" spans="1:28">
      <c r="A76">
        <v>5.87</v>
      </c>
      <c r="B76">
        <v>-0.2</v>
      </c>
      <c r="C76">
        <v>-0.15</v>
      </c>
      <c r="D76">
        <v>4.71</v>
      </c>
      <c r="E76">
        <v>-0.01</v>
      </c>
      <c r="F76">
        <v>51.2</v>
      </c>
      <c r="G76">
        <v>18.8</v>
      </c>
      <c r="H76">
        <v>33.1</v>
      </c>
      <c r="I76">
        <v>10.4</v>
      </c>
      <c r="J76">
        <v>78.2</v>
      </c>
      <c r="K76" s="18">
        <v>10.222846276901267</v>
      </c>
      <c r="L76">
        <v>10.220000000000001</v>
      </c>
      <c r="M76" s="19">
        <v>-2.8462769012662648E-3</v>
      </c>
      <c r="P76" s="9">
        <v>4</v>
      </c>
      <c r="Q76" s="9" t="s">
        <v>80</v>
      </c>
      <c r="R76" s="9">
        <v>10.220000000000001</v>
      </c>
      <c r="S76" s="9">
        <v>5.18</v>
      </c>
      <c r="T76" s="9">
        <v>0.18</v>
      </c>
      <c r="U76" s="9">
        <v>0.15</v>
      </c>
      <c r="V76" s="9">
        <v>4.71</v>
      </c>
      <c r="W76" s="9">
        <v>-0.01</v>
      </c>
      <c r="X76" s="9">
        <v>42.8</v>
      </c>
      <c r="Y76" s="9">
        <v>11.7</v>
      </c>
      <c r="Z76" s="9">
        <v>32.9</v>
      </c>
      <c r="AA76" s="9">
        <v>10.199999999999999</v>
      </c>
      <c r="AB76" s="9">
        <v>76.400000000000006</v>
      </c>
    </row>
    <row r="77" spans="1:28">
      <c r="A77">
        <v>6.14</v>
      </c>
      <c r="B77">
        <v>-0.11</v>
      </c>
      <c r="C77">
        <v>-0.43</v>
      </c>
      <c r="D77">
        <v>4.71</v>
      </c>
      <c r="E77">
        <v>-0.03</v>
      </c>
      <c r="F77">
        <v>54.7</v>
      </c>
      <c r="G77">
        <v>24.2</v>
      </c>
      <c r="H77">
        <v>34</v>
      </c>
      <c r="I77">
        <v>10.4</v>
      </c>
      <c r="J77">
        <v>68</v>
      </c>
      <c r="K77" s="18">
        <v>10.264476444257054</v>
      </c>
      <c r="L77">
        <v>10.29</v>
      </c>
      <c r="M77" s="19">
        <v>2.5523555742944737E-2</v>
      </c>
      <c r="P77" s="14">
        <v>4</v>
      </c>
      <c r="Q77" s="9" t="s">
        <v>81</v>
      </c>
      <c r="R77" s="9">
        <v>10.130000000000001</v>
      </c>
      <c r="S77" s="9">
        <v>5.4</v>
      </c>
      <c r="T77" s="9">
        <v>0.03</v>
      </c>
      <c r="U77" s="9">
        <v>-0.01</v>
      </c>
      <c r="V77" s="9">
        <v>4.71</v>
      </c>
      <c r="W77" s="9">
        <v>-0.01</v>
      </c>
      <c r="X77" s="9">
        <v>49.1</v>
      </c>
      <c r="Y77" s="9">
        <v>11.5</v>
      </c>
      <c r="Z77" s="9">
        <v>32.6</v>
      </c>
      <c r="AA77" s="9">
        <v>10.6</v>
      </c>
      <c r="AB77" s="9">
        <v>78.900000000000006</v>
      </c>
    </row>
    <row r="78" spans="1:28">
      <c r="A78">
        <v>6.02</v>
      </c>
      <c r="B78">
        <v>-7.0000000000000007E-2</v>
      </c>
      <c r="C78">
        <v>-0.33</v>
      </c>
      <c r="D78">
        <v>4.71</v>
      </c>
      <c r="E78">
        <v>-0.05</v>
      </c>
      <c r="F78">
        <v>52.3</v>
      </c>
      <c r="G78">
        <v>36.1</v>
      </c>
      <c r="H78">
        <v>32.5</v>
      </c>
      <c r="I78">
        <v>11.6</v>
      </c>
      <c r="J78">
        <v>73.8</v>
      </c>
      <c r="K78" s="18">
        <v>10.27380348618377</v>
      </c>
      <c r="L78">
        <v>10.28</v>
      </c>
      <c r="M78" s="19">
        <v>6.196513816229654E-3</v>
      </c>
      <c r="P78" s="9">
        <v>4</v>
      </c>
      <c r="Q78" s="9" t="s">
        <v>82</v>
      </c>
      <c r="R78" s="9">
        <v>9.9600000000000009</v>
      </c>
      <c r="S78" s="9">
        <v>5.79</v>
      </c>
      <c r="T78" s="9">
        <v>-0.02</v>
      </c>
      <c r="U78" s="9">
        <v>-0.44</v>
      </c>
      <c r="V78" s="9">
        <v>4.71</v>
      </c>
      <c r="W78" s="9">
        <v>-7.0000000000000007E-2</v>
      </c>
      <c r="X78" s="9">
        <v>50.1</v>
      </c>
      <c r="Y78" s="9">
        <v>17.8</v>
      </c>
      <c r="Z78" s="9">
        <v>35.1</v>
      </c>
      <c r="AA78" s="9">
        <v>11.2</v>
      </c>
      <c r="AB78" s="9">
        <v>74</v>
      </c>
    </row>
    <row r="79" spans="1:28">
      <c r="A79">
        <v>5.93</v>
      </c>
      <c r="B79">
        <v>0.03</v>
      </c>
      <c r="C79">
        <v>-0.51</v>
      </c>
      <c r="D79">
        <v>4.71</v>
      </c>
      <c r="E79">
        <v>0.06</v>
      </c>
      <c r="F79">
        <v>58.3</v>
      </c>
      <c r="G79">
        <v>22.1</v>
      </c>
      <c r="H79">
        <v>32.200000000000003</v>
      </c>
      <c r="I79">
        <v>10.6</v>
      </c>
      <c r="J79">
        <v>74.099999999999994</v>
      </c>
      <c r="K79" s="18">
        <v>10.214545191707463</v>
      </c>
      <c r="L79">
        <v>10.220000000000001</v>
      </c>
      <c r="M79" s="19">
        <v>5.4548082925371943E-3</v>
      </c>
      <c r="P79" s="14">
        <v>4</v>
      </c>
      <c r="Q79" s="9" t="s">
        <v>83</v>
      </c>
      <c r="R79" s="9">
        <v>10.18</v>
      </c>
      <c r="S79" s="9">
        <v>5.96</v>
      </c>
      <c r="T79" s="9">
        <v>-0.03</v>
      </c>
      <c r="U79" s="9">
        <v>-0.48</v>
      </c>
      <c r="V79" s="9">
        <v>4.71</v>
      </c>
      <c r="W79" s="9">
        <v>0.03</v>
      </c>
      <c r="X79" s="9">
        <v>49.8</v>
      </c>
      <c r="Y79" s="9">
        <v>13.7</v>
      </c>
      <c r="Z79" s="9">
        <v>34.799999999999997</v>
      </c>
      <c r="AA79" s="9">
        <v>11.4</v>
      </c>
      <c r="AB79" s="9">
        <v>74.8</v>
      </c>
    </row>
    <row r="80" spans="1:28">
      <c r="A80">
        <v>6.1</v>
      </c>
      <c r="B80">
        <v>-0.14000000000000001</v>
      </c>
      <c r="C80">
        <v>-0.46</v>
      </c>
      <c r="D80">
        <v>4.71</v>
      </c>
      <c r="E80">
        <v>-0.04</v>
      </c>
      <c r="F80">
        <v>61.2</v>
      </c>
      <c r="G80">
        <v>17.7</v>
      </c>
      <c r="H80">
        <v>30.6</v>
      </c>
      <c r="I80">
        <v>9.4</v>
      </c>
      <c r="J80">
        <v>71.7</v>
      </c>
      <c r="K80" s="18">
        <v>10.180948409415283</v>
      </c>
      <c r="L80">
        <v>10.17</v>
      </c>
      <c r="M80" s="19">
        <v>-1.0948409415282967E-2</v>
      </c>
      <c r="P80" s="9">
        <v>4</v>
      </c>
      <c r="Q80" s="9" t="s">
        <v>84</v>
      </c>
      <c r="R80" s="9">
        <v>9.94</v>
      </c>
      <c r="S80" s="9">
        <v>6.07</v>
      </c>
      <c r="T80" s="9">
        <v>-0.15</v>
      </c>
      <c r="U80" s="9">
        <v>-0.67</v>
      </c>
      <c r="V80" s="9">
        <v>4.71</v>
      </c>
      <c r="W80" s="9">
        <v>-0.01</v>
      </c>
      <c r="X80" s="9">
        <v>50</v>
      </c>
      <c r="Y80" s="9">
        <v>15.8</v>
      </c>
      <c r="Z80" s="9">
        <v>32.6</v>
      </c>
      <c r="AA80" s="9">
        <v>9.4</v>
      </c>
      <c r="AB80" s="9">
        <v>81.2</v>
      </c>
    </row>
    <row r="81" spans="1:28">
      <c r="A81">
        <v>5.84</v>
      </c>
      <c r="B81">
        <v>0.02</v>
      </c>
      <c r="C81">
        <v>-0.3</v>
      </c>
      <c r="D81">
        <v>4.71</v>
      </c>
      <c r="E81">
        <v>-0.04</v>
      </c>
      <c r="F81">
        <v>51.5</v>
      </c>
      <c r="G81">
        <v>17.3</v>
      </c>
      <c r="H81">
        <v>33</v>
      </c>
      <c r="I81">
        <v>13.5</v>
      </c>
      <c r="J81">
        <v>78.599999999999994</v>
      </c>
      <c r="K81" s="18">
        <v>10.237782025019994</v>
      </c>
      <c r="L81">
        <v>10.220000000000001</v>
      </c>
      <c r="M81" s="19">
        <v>-1.7782025019993597E-2</v>
      </c>
      <c r="P81" s="14">
        <v>4</v>
      </c>
      <c r="Q81" s="9" t="s">
        <v>85</v>
      </c>
      <c r="R81" s="9">
        <v>10.35</v>
      </c>
      <c r="S81" s="9">
        <v>6.4</v>
      </c>
      <c r="T81" s="9">
        <v>-0.28999999999999998</v>
      </c>
      <c r="U81" s="9">
        <v>-0.55000000000000004</v>
      </c>
      <c r="V81" s="9">
        <v>4.71</v>
      </c>
      <c r="W81" s="9">
        <v>0.1</v>
      </c>
      <c r="X81" s="9">
        <v>64.8</v>
      </c>
      <c r="Y81" s="9">
        <v>23.2</v>
      </c>
      <c r="Z81" s="9">
        <v>32.799999999999997</v>
      </c>
      <c r="AA81" s="9">
        <v>8.6</v>
      </c>
      <c r="AB81" s="9">
        <v>82.7</v>
      </c>
    </row>
    <row r="82" spans="1:28">
      <c r="A82">
        <v>7.05</v>
      </c>
      <c r="B82">
        <v>-0.19</v>
      </c>
      <c r="C82">
        <v>-0.79</v>
      </c>
      <c r="D82">
        <v>4.71</v>
      </c>
      <c r="E82">
        <v>-7.0000000000000007E-2</v>
      </c>
      <c r="F82">
        <v>53.4</v>
      </c>
      <c r="G82">
        <v>19.899999999999999</v>
      </c>
      <c r="H82">
        <v>35.299999999999997</v>
      </c>
      <c r="I82">
        <v>13.2</v>
      </c>
      <c r="J82">
        <v>80.400000000000006</v>
      </c>
      <c r="K82" s="18">
        <v>10.687632946875402</v>
      </c>
      <c r="L82">
        <v>10.68</v>
      </c>
      <c r="M82" s="19">
        <v>-7.632946875402169E-3</v>
      </c>
      <c r="P82" s="9">
        <v>4</v>
      </c>
      <c r="Q82" s="9" t="s">
        <v>86</v>
      </c>
      <c r="R82" s="9">
        <v>10.25</v>
      </c>
      <c r="S82" s="9">
        <v>5.61</v>
      </c>
      <c r="T82" s="9">
        <v>7.0000000000000007E-2</v>
      </c>
      <c r="U82" s="9">
        <v>-0.18</v>
      </c>
      <c r="V82" s="9">
        <v>4.71</v>
      </c>
      <c r="W82" s="9">
        <v>0.02</v>
      </c>
      <c r="X82" s="9">
        <v>56</v>
      </c>
      <c r="Y82" s="9">
        <v>28.8</v>
      </c>
      <c r="Z82" s="9">
        <v>31.6</v>
      </c>
      <c r="AA82" s="9">
        <v>8</v>
      </c>
      <c r="AB82" s="9">
        <v>78.2</v>
      </c>
    </row>
    <row r="83" spans="1:28">
      <c r="A83">
        <v>6.58</v>
      </c>
      <c r="B83">
        <v>-0.2</v>
      </c>
      <c r="C83">
        <v>-0.79</v>
      </c>
      <c r="D83">
        <v>4.71</v>
      </c>
      <c r="E83">
        <v>-0.01</v>
      </c>
      <c r="F83">
        <v>55.3</v>
      </c>
      <c r="G83">
        <v>22.5</v>
      </c>
      <c r="H83">
        <v>33.299999999999997</v>
      </c>
      <c r="I83">
        <v>10.7</v>
      </c>
      <c r="J83">
        <v>79.7</v>
      </c>
      <c r="K83" s="18">
        <v>10.275887628757202</v>
      </c>
      <c r="L83">
        <v>10.26</v>
      </c>
      <c r="M83" s="19">
        <v>-1.5887628757202066E-2</v>
      </c>
      <c r="P83" s="14">
        <v>4</v>
      </c>
      <c r="Q83" s="9" t="s">
        <v>88</v>
      </c>
      <c r="R83" s="9">
        <v>10.09</v>
      </c>
      <c r="S83" s="9">
        <v>5.41</v>
      </c>
      <c r="T83" s="9">
        <v>0.05</v>
      </c>
      <c r="U83" s="9">
        <v>-0.12</v>
      </c>
      <c r="V83" s="9">
        <v>4.71</v>
      </c>
      <c r="W83" s="9">
        <v>0.03</v>
      </c>
      <c r="X83" s="9">
        <v>53.3</v>
      </c>
      <c r="Y83" s="9">
        <v>15.4</v>
      </c>
      <c r="Z83" s="9">
        <v>31.8</v>
      </c>
      <c r="AA83" s="9">
        <v>8.6</v>
      </c>
      <c r="AB83" s="9">
        <v>77.900000000000006</v>
      </c>
    </row>
    <row r="84" spans="1:28">
      <c r="A84">
        <v>6.33</v>
      </c>
      <c r="B84">
        <v>-7.0000000000000007E-2</v>
      </c>
      <c r="C84">
        <v>-0.66</v>
      </c>
      <c r="D84">
        <v>4.71</v>
      </c>
      <c r="E84">
        <v>0.03</v>
      </c>
      <c r="F84">
        <v>58.5</v>
      </c>
      <c r="G84">
        <v>30.1</v>
      </c>
      <c r="H84">
        <v>33.200000000000003</v>
      </c>
      <c r="I84">
        <v>11.1</v>
      </c>
      <c r="J84">
        <v>79.599999999999994</v>
      </c>
      <c r="K84" s="18">
        <v>10.316827093467754</v>
      </c>
      <c r="L84">
        <v>10.29</v>
      </c>
      <c r="M84" s="19">
        <v>-2.6827093467755248E-2</v>
      </c>
      <c r="P84" s="9">
        <v>4</v>
      </c>
      <c r="Q84" s="9" t="s">
        <v>89</v>
      </c>
      <c r="R84" s="9">
        <v>10.15</v>
      </c>
      <c r="S84" s="9">
        <v>5.78</v>
      </c>
      <c r="T84" s="9">
        <v>-0.2</v>
      </c>
      <c r="U84" s="9">
        <v>-0.1</v>
      </c>
      <c r="V84" s="9">
        <v>4.71</v>
      </c>
      <c r="W84" s="9">
        <v>-0.03</v>
      </c>
      <c r="X84" s="9">
        <v>53.4</v>
      </c>
      <c r="Y84" s="9">
        <v>17</v>
      </c>
      <c r="Z84" s="9">
        <v>33</v>
      </c>
      <c r="AA84" s="9">
        <v>8.4</v>
      </c>
      <c r="AB84" s="9">
        <v>81</v>
      </c>
    </row>
    <row r="85" spans="1:28">
      <c r="A85">
        <v>6.41</v>
      </c>
      <c r="B85">
        <v>-0.19</v>
      </c>
      <c r="C85">
        <v>-0.64</v>
      </c>
      <c r="D85">
        <v>4.71</v>
      </c>
      <c r="E85">
        <v>0.02</v>
      </c>
      <c r="F85">
        <v>63.8</v>
      </c>
      <c r="G85">
        <v>26.5</v>
      </c>
      <c r="H85">
        <v>33.700000000000003</v>
      </c>
      <c r="I85">
        <v>8.5</v>
      </c>
      <c r="J85">
        <v>76.900000000000006</v>
      </c>
      <c r="K85" s="18">
        <v>10.275783284231158</v>
      </c>
      <c r="L85">
        <v>10.3</v>
      </c>
      <c r="M85" s="19">
        <v>2.4216715768842434E-2</v>
      </c>
      <c r="P85" s="14">
        <v>4</v>
      </c>
      <c r="Q85" s="9" t="s">
        <v>90</v>
      </c>
      <c r="R85" s="9">
        <v>10.43</v>
      </c>
      <c r="S85" s="9">
        <v>6.17</v>
      </c>
      <c r="T85" s="9">
        <v>-0.11</v>
      </c>
      <c r="U85" s="9">
        <v>-0.38</v>
      </c>
      <c r="V85" s="9">
        <v>4.71</v>
      </c>
      <c r="W85" s="9">
        <v>0.05</v>
      </c>
      <c r="X85" s="9">
        <v>55.2</v>
      </c>
      <c r="Y85" s="9">
        <v>20.3</v>
      </c>
      <c r="Z85" s="9">
        <v>34.700000000000003</v>
      </c>
      <c r="AA85" s="9">
        <v>10</v>
      </c>
      <c r="AB85" s="9">
        <v>72.099999999999994</v>
      </c>
    </row>
    <row r="86" spans="1:28">
      <c r="A86">
        <v>6.14</v>
      </c>
      <c r="B86">
        <v>-0.08</v>
      </c>
      <c r="C86">
        <v>-0.85</v>
      </c>
      <c r="D86">
        <v>4.71</v>
      </c>
      <c r="E86">
        <v>-7.0000000000000007E-2</v>
      </c>
      <c r="F86">
        <v>51.9</v>
      </c>
      <c r="G86">
        <v>21.7</v>
      </c>
      <c r="H86">
        <v>34.200000000000003</v>
      </c>
      <c r="I86">
        <v>11.3</v>
      </c>
      <c r="J86">
        <v>80.5</v>
      </c>
      <c r="K86" s="18">
        <v>9.8340931131787954</v>
      </c>
      <c r="L86">
        <v>9.83</v>
      </c>
      <c r="M86" s="19">
        <v>-4.093113178795349E-3</v>
      </c>
      <c r="P86" s="9">
        <v>4</v>
      </c>
      <c r="Q86" s="9" t="s">
        <v>91</v>
      </c>
      <c r="R86" s="9">
        <v>10.34</v>
      </c>
      <c r="S86" s="9">
        <v>6</v>
      </c>
      <c r="T86" s="9">
        <v>-7.0000000000000007E-2</v>
      </c>
      <c r="U86" s="9">
        <v>-0.3</v>
      </c>
      <c r="V86" s="9">
        <v>4.71</v>
      </c>
      <c r="W86" s="9">
        <v>-0.02</v>
      </c>
      <c r="X86" s="9">
        <v>51.3</v>
      </c>
      <c r="Y86" s="9">
        <v>29.1</v>
      </c>
      <c r="Z86" s="9">
        <v>32.5</v>
      </c>
      <c r="AA86" s="9">
        <v>8.8000000000000007</v>
      </c>
      <c r="AB86" s="9">
        <v>76.5</v>
      </c>
    </row>
    <row r="87" spans="1:28">
      <c r="A87">
        <v>6.53</v>
      </c>
      <c r="B87">
        <v>-0.05</v>
      </c>
      <c r="C87">
        <v>-0.91</v>
      </c>
      <c r="D87">
        <v>4.71</v>
      </c>
      <c r="E87">
        <v>7.0000000000000007E-2</v>
      </c>
      <c r="F87">
        <v>50.5</v>
      </c>
      <c r="G87">
        <v>16.899999999999999</v>
      </c>
      <c r="H87">
        <v>33.1</v>
      </c>
      <c r="I87">
        <v>10.5</v>
      </c>
      <c r="J87">
        <v>83</v>
      </c>
      <c r="K87" s="18">
        <v>10.347646778426585</v>
      </c>
      <c r="L87">
        <v>10.36</v>
      </c>
      <c r="M87" s="19">
        <v>1.2353221573414785E-2</v>
      </c>
      <c r="P87" s="14">
        <v>4</v>
      </c>
      <c r="Q87" s="9" t="s">
        <v>92</v>
      </c>
      <c r="R87" s="9">
        <v>10.26</v>
      </c>
      <c r="S87" s="9">
        <v>5.89</v>
      </c>
      <c r="T87" s="9">
        <v>0.03</v>
      </c>
      <c r="U87" s="9">
        <v>-0.46</v>
      </c>
      <c r="V87" s="9">
        <v>4.71</v>
      </c>
      <c r="W87" s="9">
        <v>7.0000000000000007E-2</v>
      </c>
      <c r="X87" s="9">
        <v>56.7</v>
      </c>
      <c r="Y87" s="9">
        <v>16.100000000000001</v>
      </c>
      <c r="Z87" s="9">
        <v>32.200000000000003</v>
      </c>
      <c r="AA87" s="9">
        <v>8.1999999999999993</v>
      </c>
      <c r="AB87" s="9">
        <v>76.400000000000006</v>
      </c>
    </row>
    <row r="88" spans="1:28">
      <c r="A88">
        <v>6.56</v>
      </c>
      <c r="B88">
        <v>0.28000000000000003</v>
      </c>
      <c r="C88">
        <v>-1.58</v>
      </c>
      <c r="D88">
        <v>4.71</v>
      </c>
      <c r="E88">
        <v>0.01</v>
      </c>
      <c r="F88">
        <v>55.8</v>
      </c>
      <c r="G88">
        <v>30.8</v>
      </c>
      <c r="H88">
        <v>33.200000000000003</v>
      </c>
      <c r="I88">
        <v>10.3</v>
      </c>
      <c r="J88">
        <v>87.6</v>
      </c>
      <c r="K88" s="18">
        <v>9.9538926206415361</v>
      </c>
      <c r="L88">
        <v>9.9499999999999993</v>
      </c>
      <c r="M88" s="19">
        <v>-3.892620641536837E-3</v>
      </c>
      <c r="P88" s="9">
        <v>4</v>
      </c>
      <c r="Q88" s="9" t="s">
        <v>93</v>
      </c>
      <c r="R88" s="9">
        <v>10.3</v>
      </c>
      <c r="S88" s="9">
        <v>6.11</v>
      </c>
      <c r="T88" s="9">
        <v>-0.16</v>
      </c>
      <c r="U88" s="9">
        <v>-0.38</v>
      </c>
      <c r="V88" s="9">
        <v>4.71</v>
      </c>
      <c r="W88" s="9">
        <v>0</v>
      </c>
      <c r="X88" s="9">
        <v>60.8</v>
      </c>
      <c r="Y88" s="9">
        <v>14.2</v>
      </c>
      <c r="Z88" s="9">
        <v>29.3</v>
      </c>
      <c r="AA88" s="9">
        <v>9.1999999999999993</v>
      </c>
      <c r="AB88" s="9">
        <v>74.900000000000006</v>
      </c>
    </row>
    <row r="89" spans="1:28">
      <c r="A89">
        <v>6.26</v>
      </c>
      <c r="B89">
        <v>-0.31</v>
      </c>
      <c r="C89">
        <v>-0.26</v>
      </c>
      <c r="D89">
        <v>4.71</v>
      </c>
      <c r="E89">
        <v>-0.03</v>
      </c>
      <c r="F89">
        <v>45</v>
      </c>
      <c r="G89">
        <v>9.8000000000000007</v>
      </c>
      <c r="H89">
        <v>31.7</v>
      </c>
      <c r="I89">
        <v>9.1999999999999993</v>
      </c>
      <c r="J89">
        <v>81.5</v>
      </c>
      <c r="K89" s="18">
        <v>10.402160457742466</v>
      </c>
      <c r="L89">
        <v>10.39</v>
      </c>
      <c r="M89" s="19">
        <v>-1.216045774246588E-2</v>
      </c>
      <c r="P89" s="14">
        <v>4</v>
      </c>
      <c r="Q89" s="9" t="s">
        <v>94</v>
      </c>
      <c r="R89" s="9">
        <v>10.210000000000001</v>
      </c>
      <c r="S89" s="9">
        <v>5.79</v>
      </c>
      <c r="T89" s="9">
        <v>0.05</v>
      </c>
      <c r="U89" s="9">
        <v>-0.28000000000000003</v>
      </c>
      <c r="V89" s="9">
        <v>4.71</v>
      </c>
      <c r="W89" s="9">
        <v>-7.0000000000000007E-2</v>
      </c>
      <c r="X89" s="9">
        <v>50.1</v>
      </c>
      <c r="Y89" s="9">
        <v>14.3</v>
      </c>
      <c r="Z89" s="9">
        <v>32.9</v>
      </c>
      <c r="AA89" s="9">
        <v>12</v>
      </c>
      <c r="AB89" s="9">
        <v>80.5</v>
      </c>
    </row>
    <row r="90" spans="1:28">
      <c r="A90">
        <v>6.37</v>
      </c>
      <c r="B90">
        <v>-0.3</v>
      </c>
      <c r="C90">
        <v>-0.81</v>
      </c>
      <c r="D90">
        <v>4.71</v>
      </c>
      <c r="E90">
        <v>0.04</v>
      </c>
      <c r="F90">
        <v>55.8</v>
      </c>
      <c r="G90">
        <v>17.600000000000001</v>
      </c>
      <c r="H90">
        <v>31.4</v>
      </c>
      <c r="I90">
        <v>9.1999999999999993</v>
      </c>
      <c r="J90">
        <v>82.1</v>
      </c>
      <c r="K90" s="18">
        <v>10.011946728126313</v>
      </c>
      <c r="L90">
        <v>10.029999999999999</v>
      </c>
      <c r="M90" s="19">
        <v>1.8053271873686327E-2</v>
      </c>
      <c r="P90" s="9">
        <v>4</v>
      </c>
      <c r="Q90" s="9" t="s">
        <v>95</v>
      </c>
      <c r="R90" s="9">
        <v>11</v>
      </c>
      <c r="S90" s="9">
        <v>7.13</v>
      </c>
      <c r="T90" s="9">
        <v>-0.19</v>
      </c>
      <c r="U90" s="9">
        <v>-0.74</v>
      </c>
      <c r="V90" s="9">
        <v>4.71</v>
      </c>
      <c r="W90" s="9">
        <v>7.0000000000000007E-2</v>
      </c>
      <c r="X90" s="9">
        <v>49.3</v>
      </c>
      <c r="Y90" s="9">
        <v>17.899999999999999</v>
      </c>
      <c r="Z90" s="9">
        <v>33.4</v>
      </c>
      <c r="AA90" s="9">
        <v>9</v>
      </c>
      <c r="AB90" s="9">
        <v>82</v>
      </c>
    </row>
    <row r="91" spans="1:28">
      <c r="A91">
        <v>6.01</v>
      </c>
      <c r="B91">
        <v>-0.32</v>
      </c>
      <c r="C91">
        <v>-0.56999999999999995</v>
      </c>
      <c r="D91">
        <v>4.71</v>
      </c>
      <c r="E91">
        <v>0.06</v>
      </c>
      <c r="F91">
        <v>55.7</v>
      </c>
      <c r="G91">
        <v>14.5</v>
      </c>
      <c r="H91">
        <v>31.4</v>
      </c>
      <c r="I91">
        <v>9</v>
      </c>
      <c r="J91">
        <v>85</v>
      </c>
      <c r="K91" s="18">
        <v>9.8951738032944512</v>
      </c>
      <c r="L91">
        <v>9.91</v>
      </c>
      <c r="M91" s="19">
        <v>1.4826196705548966E-2</v>
      </c>
      <c r="P91" s="14">
        <v>4</v>
      </c>
      <c r="Q91" s="9" t="s">
        <v>96</v>
      </c>
      <c r="R91" s="9">
        <v>10.47</v>
      </c>
      <c r="S91" s="9">
        <v>6.62</v>
      </c>
      <c r="T91" s="9">
        <v>-0.21</v>
      </c>
      <c r="U91" s="9">
        <v>-0.74</v>
      </c>
      <c r="V91" s="9">
        <v>4.71</v>
      </c>
      <c r="W91" s="9">
        <v>0.09</v>
      </c>
      <c r="X91" s="9">
        <v>54</v>
      </c>
      <c r="Y91" s="9">
        <v>21</v>
      </c>
      <c r="Z91" s="9">
        <v>33.1</v>
      </c>
      <c r="AA91" s="9">
        <v>9.1</v>
      </c>
      <c r="AB91" s="9">
        <v>81.599999999999994</v>
      </c>
    </row>
    <row r="92" spans="1:28">
      <c r="A92">
        <v>5.91</v>
      </c>
      <c r="B92">
        <v>-0.17</v>
      </c>
      <c r="C92">
        <v>-0.32</v>
      </c>
      <c r="D92">
        <v>4.71</v>
      </c>
      <c r="E92">
        <v>7.0000000000000007E-2</v>
      </c>
      <c r="F92">
        <v>58.5</v>
      </c>
      <c r="G92">
        <v>22.9</v>
      </c>
      <c r="H92">
        <v>31.6</v>
      </c>
      <c r="I92">
        <v>11.6</v>
      </c>
      <c r="J92">
        <v>83.1</v>
      </c>
      <c r="K92" s="18">
        <v>10.197809880264224</v>
      </c>
      <c r="L92">
        <v>10.18</v>
      </c>
      <c r="M92" s="19">
        <v>-1.7809880264223921E-2</v>
      </c>
      <c r="P92" s="9">
        <v>4</v>
      </c>
      <c r="Q92" s="9" t="s">
        <v>97</v>
      </c>
      <c r="R92" s="9">
        <v>10.45</v>
      </c>
      <c r="S92" s="9">
        <v>6.39</v>
      </c>
      <c r="T92" s="9">
        <v>-0.06</v>
      </c>
      <c r="U92" s="9">
        <v>-0.63</v>
      </c>
      <c r="V92" s="9">
        <v>4.71</v>
      </c>
      <c r="W92" s="9">
        <v>0.08</v>
      </c>
      <c r="X92" s="9">
        <v>57.9</v>
      </c>
      <c r="Y92" s="9">
        <v>29.1</v>
      </c>
      <c r="Z92" s="9">
        <v>32.799999999999997</v>
      </c>
      <c r="AA92" s="9">
        <v>11.2</v>
      </c>
      <c r="AB92" s="9">
        <v>81.7</v>
      </c>
    </row>
    <row r="93" spans="1:28">
      <c r="A93">
        <v>6.99</v>
      </c>
      <c r="B93">
        <v>-0.63</v>
      </c>
      <c r="C93">
        <v>-0.8</v>
      </c>
      <c r="D93">
        <v>4.71</v>
      </c>
      <c r="E93">
        <v>0.02</v>
      </c>
      <c r="F93">
        <v>55.9</v>
      </c>
      <c r="G93">
        <v>24.4</v>
      </c>
      <c r="H93">
        <v>33.200000000000003</v>
      </c>
      <c r="I93">
        <v>9</v>
      </c>
      <c r="J93">
        <v>81.7</v>
      </c>
      <c r="K93" s="18">
        <v>10.267430423231833</v>
      </c>
      <c r="L93">
        <v>10.27</v>
      </c>
      <c r="M93" s="19">
        <v>2.5695767681668258E-3</v>
      </c>
      <c r="P93" s="14">
        <v>4</v>
      </c>
      <c r="Q93" s="9" t="s">
        <v>98</v>
      </c>
      <c r="R93" s="9">
        <v>10.52</v>
      </c>
      <c r="S93" s="9">
        <v>6.49</v>
      </c>
      <c r="T93" s="9">
        <v>-0.21</v>
      </c>
      <c r="U93" s="9">
        <v>-0.6</v>
      </c>
      <c r="V93" s="9">
        <v>4.71</v>
      </c>
      <c r="W93" s="9">
        <v>0.13</v>
      </c>
      <c r="X93" s="9">
        <v>61</v>
      </c>
      <c r="Y93" s="9">
        <v>24.3</v>
      </c>
      <c r="Z93" s="9">
        <v>33.1</v>
      </c>
      <c r="AA93" s="9">
        <v>8.9</v>
      </c>
      <c r="AB93" s="9">
        <v>79.3</v>
      </c>
    </row>
    <row r="94" spans="1:28">
      <c r="A94">
        <v>6.1</v>
      </c>
      <c r="B94">
        <v>-0.27</v>
      </c>
      <c r="C94">
        <v>-0.5</v>
      </c>
      <c r="D94">
        <v>4.71</v>
      </c>
      <c r="E94">
        <v>0</v>
      </c>
      <c r="F94">
        <v>73</v>
      </c>
      <c r="G94">
        <v>22.7</v>
      </c>
      <c r="H94">
        <v>33.299999999999997</v>
      </c>
      <c r="I94">
        <v>10.8</v>
      </c>
      <c r="J94">
        <v>83.3</v>
      </c>
      <c r="K94" s="18">
        <v>9.9987416469444579</v>
      </c>
      <c r="L94">
        <v>9.99</v>
      </c>
      <c r="M94" s="19">
        <v>-8.7416469444576705E-3</v>
      </c>
      <c r="P94" s="9">
        <v>4</v>
      </c>
      <c r="Q94" s="9" t="s">
        <v>99</v>
      </c>
      <c r="R94" s="9">
        <v>10.14</v>
      </c>
      <c r="S94" s="9">
        <v>6.17</v>
      </c>
      <c r="T94" s="9">
        <v>-0.08</v>
      </c>
      <c r="U94" s="9">
        <v>-0.76</v>
      </c>
      <c r="V94" s="9">
        <v>4.71</v>
      </c>
      <c r="W94" s="9">
        <v>0.1</v>
      </c>
      <c r="X94" s="9">
        <v>52.2</v>
      </c>
      <c r="Y94" s="9">
        <v>14.6</v>
      </c>
      <c r="Z94" s="9">
        <v>34.299999999999997</v>
      </c>
      <c r="AA94" s="9">
        <v>8.9</v>
      </c>
      <c r="AB94" s="9">
        <v>82.3</v>
      </c>
    </row>
    <row r="95" spans="1:28">
      <c r="A95">
        <v>5.37</v>
      </c>
      <c r="B95">
        <v>-0.16</v>
      </c>
      <c r="C95">
        <v>-0.27</v>
      </c>
      <c r="D95">
        <v>4.71</v>
      </c>
      <c r="E95">
        <v>0.03</v>
      </c>
      <c r="F95">
        <v>53.1</v>
      </c>
      <c r="G95">
        <v>24.9</v>
      </c>
      <c r="H95">
        <v>33.5</v>
      </c>
      <c r="I95">
        <v>10.3</v>
      </c>
      <c r="J95">
        <v>81.8</v>
      </c>
      <c r="K95" s="18">
        <v>9.6653664355832944</v>
      </c>
      <c r="L95">
        <v>9.65</v>
      </c>
      <c r="M95" s="19">
        <v>-1.5366435583294091E-2</v>
      </c>
      <c r="P95" s="14">
        <v>4</v>
      </c>
      <c r="Q95" s="9" t="s">
        <v>100</v>
      </c>
      <c r="R95" s="9">
        <v>10.65</v>
      </c>
      <c r="S95" s="9">
        <v>6.62</v>
      </c>
      <c r="T95" s="9">
        <v>-0.03</v>
      </c>
      <c r="U95" s="9">
        <v>-0.85</v>
      </c>
      <c r="V95" s="9">
        <v>4.71</v>
      </c>
      <c r="W95" s="9">
        <v>0.2</v>
      </c>
      <c r="X95" s="9">
        <v>49.2</v>
      </c>
      <c r="Y95" s="9">
        <v>12.9</v>
      </c>
      <c r="Z95" s="9">
        <v>32.200000000000003</v>
      </c>
      <c r="AA95" s="9">
        <v>9.6</v>
      </c>
      <c r="AB95" s="9">
        <v>84.7</v>
      </c>
    </row>
    <row r="96" spans="1:28">
      <c r="A96">
        <v>5.05</v>
      </c>
      <c r="B96">
        <v>-0.04</v>
      </c>
      <c r="C96">
        <v>0.04</v>
      </c>
      <c r="D96">
        <v>4.71</v>
      </c>
      <c r="E96">
        <v>-0.01</v>
      </c>
      <c r="F96">
        <v>52.3</v>
      </c>
      <c r="G96">
        <v>13.9</v>
      </c>
      <c r="H96">
        <v>31.7</v>
      </c>
      <c r="I96">
        <v>12</v>
      </c>
      <c r="J96">
        <v>78.8</v>
      </c>
      <c r="K96" s="18">
        <v>9.7700286757586436</v>
      </c>
      <c r="L96">
        <v>9.77</v>
      </c>
      <c r="M96" s="19">
        <v>-2.8675758644070015E-5</v>
      </c>
      <c r="P96" s="9">
        <v>4</v>
      </c>
      <c r="Q96" s="9" t="s">
        <v>101</v>
      </c>
      <c r="R96" s="9">
        <v>10.09</v>
      </c>
      <c r="S96" s="9">
        <v>6.6</v>
      </c>
      <c r="T96" s="9">
        <v>0.3</v>
      </c>
      <c r="U96" s="9">
        <v>-1.56</v>
      </c>
      <c r="V96" s="9">
        <v>4.71</v>
      </c>
      <c r="W96" s="9">
        <v>0.06</v>
      </c>
      <c r="X96" s="9">
        <v>55.8</v>
      </c>
      <c r="Y96" s="9">
        <v>25.9</v>
      </c>
      <c r="Z96" s="9">
        <v>33.1</v>
      </c>
      <c r="AA96" s="9">
        <v>9.6</v>
      </c>
      <c r="AB96" s="9">
        <v>88.6</v>
      </c>
    </row>
    <row r="97" spans="1:28">
      <c r="A97">
        <v>5.29</v>
      </c>
      <c r="B97">
        <v>-0.06</v>
      </c>
      <c r="C97">
        <v>-0.05</v>
      </c>
      <c r="D97">
        <v>4.71</v>
      </c>
      <c r="E97">
        <v>0.04</v>
      </c>
      <c r="F97">
        <v>53.4</v>
      </c>
      <c r="G97">
        <v>23.5</v>
      </c>
      <c r="H97">
        <v>32.4</v>
      </c>
      <c r="I97">
        <v>10.5</v>
      </c>
      <c r="J97">
        <v>79.5</v>
      </c>
      <c r="K97" s="18">
        <v>9.9308966475205729</v>
      </c>
      <c r="L97">
        <v>9.9</v>
      </c>
      <c r="M97" s="19">
        <v>-3.0896647520572529E-2</v>
      </c>
      <c r="P97" s="9">
        <v>5</v>
      </c>
      <c r="Q97" s="9" t="s">
        <v>33</v>
      </c>
      <c r="R97" s="9">
        <v>10.29</v>
      </c>
      <c r="S97" s="9">
        <v>6.28</v>
      </c>
      <c r="T97" s="9">
        <v>-0.31</v>
      </c>
      <c r="U97" s="9">
        <v>-0.26</v>
      </c>
      <c r="V97" s="9">
        <v>4.6399999999999997</v>
      </c>
      <c r="W97" s="9">
        <v>-7.0000000000000007E-2</v>
      </c>
      <c r="X97" s="9">
        <v>47.3</v>
      </c>
      <c r="Y97" s="9">
        <v>11.6</v>
      </c>
      <c r="Z97" s="9">
        <v>34.5</v>
      </c>
      <c r="AA97" s="9">
        <v>9.6999999999999993</v>
      </c>
      <c r="AB97" s="9">
        <v>82.3</v>
      </c>
    </row>
    <row r="98" spans="1:28">
      <c r="A98">
        <v>5.15</v>
      </c>
      <c r="B98">
        <v>-0.02</v>
      </c>
      <c r="C98">
        <v>-0.08</v>
      </c>
      <c r="D98">
        <v>4.71</v>
      </c>
      <c r="E98">
        <v>-0.04</v>
      </c>
      <c r="F98">
        <v>51.2</v>
      </c>
      <c r="G98">
        <v>10.6</v>
      </c>
      <c r="H98">
        <v>31.7</v>
      </c>
      <c r="I98">
        <v>9.3000000000000007</v>
      </c>
      <c r="J98">
        <v>80.3</v>
      </c>
      <c r="K98" s="18">
        <v>9.7439493329548235</v>
      </c>
      <c r="L98">
        <v>9.73</v>
      </c>
      <c r="M98" s="19">
        <v>-1.3949332954823035E-2</v>
      </c>
      <c r="P98" s="9">
        <v>5</v>
      </c>
      <c r="Q98" s="9" t="s">
        <v>36</v>
      </c>
      <c r="R98" s="9">
        <v>9.7899999999999991</v>
      </c>
      <c r="S98" s="9">
        <v>6.33</v>
      </c>
      <c r="T98" s="9">
        <v>-0.31</v>
      </c>
      <c r="U98" s="9">
        <v>-0.8</v>
      </c>
      <c r="V98" s="9">
        <v>4.6399999999999997</v>
      </c>
      <c r="W98" s="9">
        <v>-7.0000000000000007E-2</v>
      </c>
      <c r="X98" s="9">
        <v>58.1</v>
      </c>
      <c r="Y98" s="9">
        <v>19.2</v>
      </c>
      <c r="Z98" s="9">
        <v>34.299999999999997</v>
      </c>
      <c r="AA98" s="9">
        <v>9.3000000000000007</v>
      </c>
      <c r="AB98" s="9">
        <v>82.5</v>
      </c>
    </row>
    <row r="99" spans="1:28">
      <c r="A99">
        <v>4.91</v>
      </c>
      <c r="B99">
        <v>-0.02</v>
      </c>
      <c r="C99">
        <v>0.14000000000000001</v>
      </c>
      <c r="D99">
        <v>4.71</v>
      </c>
      <c r="E99">
        <v>-0.04</v>
      </c>
      <c r="F99">
        <v>43</v>
      </c>
      <c r="G99">
        <v>6.6</v>
      </c>
      <c r="H99">
        <v>31.8</v>
      </c>
      <c r="I99">
        <v>8.6999999999999993</v>
      </c>
      <c r="J99">
        <v>79.8</v>
      </c>
      <c r="K99" s="18">
        <v>9.7408140014285394</v>
      </c>
      <c r="L99">
        <v>9.7100000000000009</v>
      </c>
      <c r="M99" s="19">
        <v>-3.0814001428538518E-2</v>
      </c>
      <c r="P99" s="9">
        <v>5</v>
      </c>
      <c r="Q99" s="9" t="s">
        <v>37</v>
      </c>
      <c r="R99" s="9">
        <v>9.77</v>
      </c>
      <c r="S99" s="9">
        <v>6</v>
      </c>
      <c r="T99" s="9">
        <v>-0.32</v>
      </c>
      <c r="U99" s="9">
        <v>-0.56999999999999995</v>
      </c>
      <c r="V99" s="9">
        <v>4.6399999999999997</v>
      </c>
      <c r="W99" s="9">
        <v>0.01</v>
      </c>
      <c r="X99" s="9">
        <v>61.1</v>
      </c>
      <c r="Y99" s="9">
        <v>17</v>
      </c>
      <c r="Z99" s="9">
        <v>33.299999999999997</v>
      </c>
      <c r="AA99" s="9">
        <v>10.6</v>
      </c>
      <c r="AB99" s="9">
        <v>85.3</v>
      </c>
    </row>
    <row r="100" spans="1:28">
      <c r="A100">
        <v>5.0199999999999996</v>
      </c>
      <c r="B100">
        <v>-0.11</v>
      </c>
      <c r="C100">
        <v>0.14000000000000001</v>
      </c>
      <c r="D100">
        <v>4.71</v>
      </c>
      <c r="E100">
        <v>-0.01</v>
      </c>
      <c r="F100">
        <v>40</v>
      </c>
      <c r="G100">
        <v>12.6</v>
      </c>
      <c r="H100">
        <v>31.4</v>
      </c>
      <c r="I100">
        <v>9.6999999999999993</v>
      </c>
      <c r="J100">
        <v>80.099999999999994</v>
      </c>
      <c r="K100" s="18">
        <v>9.792133512620083</v>
      </c>
      <c r="L100">
        <v>9.76</v>
      </c>
      <c r="M100" s="19">
        <v>-3.2133512620083238E-2</v>
      </c>
      <c r="P100" s="9">
        <v>5</v>
      </c>
      <c r="Q100" s="9" t="s">
        <v>39</v>
      </c>
      <c r="R100" s="9">
        <v>10.050000000000001</v>
      </c>
      <c r="S100" s="9">
        <v>5.91</v>
      </c>
      <c r="T100" s="9">
        <v>-0.17</v>
      </c>
      <c r="U100" s="9">
        <v>-0.32</v>
      </c>
      <c r="V100" s="9">
        <v>4.6399999999999997</v>
      </c>
      <c r="W100" s="9">
        <v>0.01</v>
      </c>
      <c r="X100" s="9">
        <v>60.6</v>
      </c>
      <c r="Y100" s="9">
        <v>24.3</v>
      </c>
      <c r="Z100" s="9">
        <v>35</v>
      </c>
      <c r="AA100" s="9">
        <v>11.9</v>
      </c>
      <c r="AB100" s="9">
        <v>83.6</v>
      </c>
    </row>
    <row r="101" spans="1:28">
      <c r="A101">
        <v>4.3099999999999996</v>
      </c>
      <c r="B101">
        <v>0.13</v>
      </c>
      <c r="C101">
        <v>0.67</v>
      </c>
      <c r="D101">
        <v>4.71</v>
      </c>
      <c r="E101">
        <v>-0.02</v>
      </c>
      <c r="F101">
        <v>47.2</v>
      </c>
      <c r="G101">
        <v>7.7</v>
      </c>
      <c r="H101">
        <v>32.4</v>
      </c>
      <c r="I101">
        <v>9.1999999999999993</v>
      </c>
      <c r="J101">
        <v>78.400000000000006</v>
      </c>
      <c r="K101" s="18">
        <v>9.8345133555872479</v>
      </c>
      <c r="L101">
        <v>9.81</v>
      </c>
      <c r="M101" s="19">
        <v>-2.4513355587247432E-2</v>
      </c>
      <c r="P101" s="9">
        <v>5</v>
      </c>
      <c r="Q101" s="9" t="s">
        <v>40</v>
      </c>
      <c r="R101" s="9">
        <v>9.86</v>
      </c>
      <c r="S101" s="9">
        <v>6.8</v>
      </c>
      <c r="T101" s="9">
        <v>-0.64</v>
      </c>
      <c r="U101" s="9">
        <v>-0.76</v>
      </c>
      <c r="V101" s="9">
        <v>4.6399999999999997</v>
      </c>
      <c r="W101" s="9">
        <v>-0.14000000000000001</v>
      </c>
      <c r="X101" s="9">
        <v>59.2</v>
      </c>
      <c r="Y101" s="9">
        <v>36.200000000000003</v>
      </c>
      <c r="Z101" s="9">
        <v>34.5</v>
      </c>
      <c r="AA101" s="9">
        <v>9</v>
      </c>
      <c r="AB101" s="9">
        <v>82.5</v>
      </c>
    </row>
    <row r="102" spans="1:28">
      <c r="A102">
        <v>4.82</v>
      </c>
      <c r="B102">
        <v>-0.06</v>
      </c>
      <c r="C102">
        <v>0.41</v>
      </c>
      <c r="D102">
        <v>4.71</v>
      </c>
      <c r="E102">
        <v>-0.04</v>
      </c>
      <c r="F102">
        <v>41.7</v>
      </c>
      <c r="G102">
        <v>8.9</v>
      </c>
      <c r="H102">
        <v>31.7</v>
      </c>
      <c r="I102">
        <v>10.199999999999999</v>
      </c>
      <c r="J102">
        <v>79</v>
      </c>
      <c r="K102" s="18">
        <v>9.8849475159984461</v>
      </c>
      <c r="L102">
        <v>9.85</v>
      </c>
      <c r="M102" s="19">
        <v>-3.4947515998446477E-2</v>
      </c>
      <c r="P102" s="9">
        <v>5</v>
      </c>
      <c r="Q102" s="9" t="s">
        <v>41</v>
      </c>
      <c r="R102" s="9">
        <v>9.98</v>
      </c>
      <c r="S102" s="9">
        <v>6.15</v>
      </c>
      <c r="T102" s="9">
        <v>-0.28000000000000003</v>
      </c>
      <c r="U102" s="9">
        <v>-0.48</v>
      </c>
      <c r="V102" s="9">
        <v>4.6399999999999997</v>
      </c>
      <c r="W102" s="9">
        <v>-0.01</v>
      </c>
      <c r="X102" s="9">
        <v>75.099999999999994</v>
      </c>
      <c r="Y102" s="9">
        <v>27.3</v>
      </c>
      <c r="Z102" s="9">
        <v>34.700000000000003</v>
      </c>
      <c r="AA102" s="9">
        <v>10.5</v>
      </c>
      <c r="AB102" s="9">
        <v>84</v>
      </c>
    </row>
    <row r="103" spans="1:28">
      <c r="A103">
        <v>5.28</v>
      </c>
      <c r="B103">
        <v>-0.14000000000000001</v>
      </c>
      <c r="C103">
        <v>-0.31</v>
      </c>
      <c r="D103">
        <v>4.71</v>
      </c>
      <c r="E103">
        <v>0</v>
      </c>
      <c r="F103">
        <v>65.2</v>
      </c>
      <c r="G103">
        <v>17.5</v>
      </c>
      <c r="H103">
        <v>33.1</v>
      </c>
      <c r="I103">
        <v>11.1</v>
      </c>
      <c r="J103">
        <v>81.5</v>
      </c>
      <c r="K103" s="18">
        <v>9.5177379658452512</v>
      </c>
      <c r="L103">
        <v>9.51</v>
      </c>
      <c r="M103" s="19">
        <v>-7.7379658452514377E-3</v>
      </c>
      <c r="P103" s="9">
        <v>5</v>
      </c>
      <c r="Q103" s="9" t="s">
        <v>42</v>
      </c>
      <c r="R103" s="9">
        <v>9.5299999999999994</v>
      </c>
      <c r="S103" s="9">
        <v>5.42</v>
      </c>
      <c r="T103" s="9">
        <v>-0.18</v>
      </c>
      <c r="U103" s="9">
        <v>-0.27</v>
      </c>
      <c r="V103" s="9">
        <v>4.6399999999999997</v>
      </c>
      <c r="W103" s="9">
        <v>-0.06</v>
      </c>
      <c r="X103" s="9">
        <v>57.4</v>
      </c>
      <c r="Y103" s="9">
        <v>26.4</v>
      </c>
      <c r="Z103" s="9">
        <v>35.1</v>
      </c>
      <c r="AA103" s="10">
        <v>48</v>
      </c>
      <c r="AB103" s="10">
        <v>9.9</v>
      </c>
    </row>
    <row r="104" spans="1:28">
      <c r="A104">
        <v>4.88</v>
      </c>
      <c r="B104">
        <v>-0.09</v>
      </c>
      <c r="C104">
        <v>0.13</v>
      </c>
      <c r="D104">
        <v>4.71</v>
      </c>
      <c r="E104">
        <v>0.02</v>
      </c>
      <c r="F104">
        <v>67.2</v>
      </c>
      <c r="G104">
        <v>27.6</v>
      </c>
      <c r="H104">
        <v>31.6</v>
      </c>
      <c r="I104">
        <v>15.9</v>
      </c>
      <c r="J104">
        <v>80.8</v>
      </c>
      <c r="K104" s="18">
        <v>9.6356318311734697</v>
      </c>
      <c r="L104">
        <v>9.61</v>
      </c>
      <c r="M104" s="19">
        <v>-2.5631831173470232E-2</v>
      </c>
      <c r="P104" s="9">
        <v>5</v>
      </c>
      <c r="Q104" s="9" t="s">
        <v>43</v>
      </c>
      <c r="R104" s="9">
        <v>9.73</v>
      </c>
      <c r="S104" s="9">
        <v>5.12</v>
      </c>
      <c r="T104" s="9">
        <v>-0.04</v>
      </c>
      <c r="U104" s="9">
        <v>0.03</v>
      </c>
      <c r="V104" s="9">
        <v>4.6399999999999997</v>
      </c>
      <c r="W104" s="9">
        <v>-0.03</v>
      </c>
      <c r="X104" s="9">
        <v>55.9</v>
      </c>
      <c r="Y104" s="9">
        <v>14.9</v>
      </c>
      <c r="Z104" s="9">
        <v>33</v>
      </c>
      <c r="AA104" s="10">
        <v>55.1</v>
      </c>
      <c r="AB104" s="10">
        <v>17.8</v>
      </c>
    </row>
    <row r="105" spans="1:28">
      <c r="A105">
        <v>5.27</v>
      </c>
      <c r="B105">
        <v>-0.03</v>
      </c>
      <c r="C105">
        <v>0</v>
      </c>
      <c r="D105">
        <v>4.71</v>
      </c>
      <c r="E105">
        <v>-0.06</v>
      </c>
      <c r="F105">
        <v>61.1</v>
      </c>
      <c r="G105">
        <v>15.4</v>
      </c>
      <c r="H105">
        <v>31</v>
      </c>
      <c r="I105">
        <v>13.1</v>
      </c>
      <c r="J105">
        <v>79.5</v>
      </c>
      <c r="K105" s="18">
        <v>9.9045925541362241</v>
      </c>
      <c r="L105">
        <v>9.89</v>
      </c>
      <c r="M105" s="19">
        <v>-1.4592554136223512E-2</v>
      </c>
      <c r="P105" s="9">
        <v>5</v>
      </c>
      <c r="Q105" s="9" t="s">
        <v>44</v>
      </c>
      <c r="R105" s="9">
        <v>9.9600000000000009</v>
      </c>
      <c r="S105" s="9">
        <v>5.4</v>
      </c>
      <c r="T105" s="9">
        <v>-0.06</v>
      </c>
      <c r="U105" s="9">
        <v>-0.05</v>
      </c>
      <c r="V105" s="9">
        <v>4.6399999999999997</v>
      </c>
      <c r="W105" s="9">
        <v>0.04</v>
      </c>
      <c r="X105" s="9">
        <v>58.3</v>
      </c>
      <c r="Y105" s="9">
        <v>23.9</v>
      </c>
      <c r="Z105" s="9">
        <v>34.9</v>
      </c>
      <c r="AA105" s="10">
        <v>57.9</v>
      </c>
      <c r="AB105" s="10">
        <v>14.6</v>
      </c>
    </row>
    <row r="106" spans="1:28">
      <c r="A106">
        <v>5.4</v>
      </c>
      <c r="B106">
        <v>-0.12</v>
      </c>
      <c r="C106">
        <v>-0.03</v>
      </c>
      <c r="D106">
        <v>4.71</v>
      </c>
      <c r="E106">
        <v>0</v>
      </c>
      <c r="F106">
        <v>58.3</v>
      </c>
      <c r="G106">
        <v>17</v>
      </c>
      <c r="H106">
        <v>32.700000000000003</v>
      </c>
      <c r="I106">
        <v>13.9</v>
      </c>
      <c r="J106">
        <v>79.099999999999994</v>
      </c>
      <c r="K106" s="18">
        <v>9.958446051901964</v>
      </c>
      <c r="L106">
        <v>9.9600000000000009</v>
      </c>
      <c r="M106" s="19">
        <v>1.5539480980368836E-3</v>
      </c>
      <c r="P106" s="9">
        <v>5</v>
      </c>
      <c r="Q106" s="9" t="s">
        <v>45</v>
      </c>
      <c r="R106" s="9">
        <v>9.76</v>
      </c>
      <c r="S106" s="9">
        <v>5.21</v>
      </c>
      <c r="T106" s="9">
        <v>-0.02</v>
      </c>
      <c r="U106" s="9">
        <v>-0.08</v>
      </c>
      <c r="V106" s="9">
        <v>4.6399999999999997</v>
      </c>
      <c r="W106" s="9">
        <v>0</v>
      </c>
      <c r="X106" s="9">
        <v>54.2</v>
      </c>
      <c r="Y106" s="9">
        <v>12.4</v>
      </c>
      <c r="Z106" s="9">
        <v>33.6</v>
      </c>
      <c r="AA106" s="10">
        <v>60</v>
      </c>
      <c r="AB106" s="10">
        <v>27.4</v>
      </c>
    </row>
    <row r="107" spans="1:28">
      <c r="A107">
        <v>5.37</v>
      </c>
      <c r="B107">
        <v>-0.14000000000000001</v>
      </c>
      <c r="C107">
        <v>-0.18</v>
      </c>
      <c r="D107">
        <v>4.71</v>
      </c>
      <c r="E107">
        <v>-0.09</v>
      </c>
      <c r="F107">
        <v>62.9</v>
      </c>
      <c r="G107">
        <v>16.2</v>
      </c>
      <c r="H107">
        <v>31.6</v>
      </c>
      <c r="I107">
        <v>10.6</v>
      </c>
      <c r="J107">
        <v>78.900000000000006</v>
      </c>
      <c r="K107" s="18">
        <v>9.6718940942250029</v>
      </c>
      <c r="L107">
        <v>9.66</v>
      </c>
      <c r="M107" s="19">
        <v>-1.189409422500276E-2</v>
      </c>
      <c r="P107" s="9">
        <v>5</v>
      </c>
      <c r="Q107" s="9" t="s">
        <v>47</v>
      </c>
      <c r="R107" s="9">
        <v>9.82</v>
      </c>
      <c r="S107" s="9">
        <v>5.03</v>
      </c>
      <c r="T107" s="9">
        <v>-0.01</v>
      </c>
      <c r="U107" s="9">
        <v>0.14000000000000001</v>
      </c>
      <c r="V107" s="9">
        <v>4.6399999999999997</v>
      </c>
      <c r="W107" s="9">
        <v>0.01</v>
      </c>
      <c r="X107" s="9">
        <v>48</v>
      </c>
      <c r="Y107" s="9">
        <v>9.4</v>
      </c>
      <c r="Z107" s="9">
        <v>34.4</v>
      </c>
      <c r="AA107" s="10">
        <v>53.8</v>
      </c>
      <c r="AB107" s="10">
        <v>28.7</v>
      </c>
    </row>
    <row r="108" spans="1:28">
      <c r="A108">
        <v>5.26</v>
      </c>
      <c r="B108">
        <v>-0.08</v>
      </c>
      <c r="C108">
        <v>-0.24</v>
      </c>
      <c r="D108">
        <v>4.71</v>
      </c>
      <c r="E108">
        <v>0.03</v>
      </c>
      <c r="F108">
        <v>58.8</v>
      </c>
      <c r="G108">
        <v>18.7</v>
      </c>
      <c r="H108">
        <v>32.299999999999997</v>
      </c>
      <c r="I108">
        <v>9.9</v>
      </c>
      <c r="J108">
        <v>81.2</v>
      </c>
      <c r="K108" s="18">
        <v>9.6746096198412701</v>
      </c>
      <c r="L108">
        <v>9.67</v>
      </c>
      <c r="M108" s="19">
        <v>-4.6096198412701739E-3</v>
      </c>
      <c r="P108" s="9">
        <v>5</v>
      </c>
      <c r="Q108" s="9" t="s">
        <v>49</v>
      </c>
      <c r="R108" s="9">
        <v>9.8699999999999992</v>
      </c>
      <c r="S108" s="9">
        <v>5.16</v>
      </c>
      <c r="T108" s="9">
        <v>-0.1</v>
      </c>
      <c r="U108" s="9">
        <v>0.13</v>
      </c>
      <c r="V108" s="9">
        <v>4.6399999999999997</v>
      </c>
      <c r="W108" s="9">
        <v>0.03</v>
      </c>
      <c r="X108" s="9">
        <v>44.8</v>
      </c>
      <c r="Y108" s="9">
        <v>14.5</v>
      </c>
      <c r="Z108" s="9">
        <v>34.799999999999997</v>
      </c>
      <c r="AA108" s="10">
        <v>73.8</v>
      </c>
      <c r="AB108" s="10">
        <v>24</v>
      </c>
    </row>
    <row r="109" spans="1:28">
      <c r="A109">
        <v>5.21</v>
      </c>
      <c r="B109">
        <v>0.01</v>
      </c>
      <c r="C109">
        <v>-0.08</v>
      </c>
      <c r="D109">
        <v>4.71</v>
      </c>
      <c r="E109">
        <v>-0.04</v>
      </c>
      <c r="F109">
        <v>56.6</v>
      </c>
      <c r="G109">
        <v>21.8</v>
      </c>
      <c r="H109">
        <v>33.200000000000003</v>
      </c>
      <c r="I109">
        <v>8.9</v>
      </c>
      <c r="J109">
        <v>77.900000000000006</v>
      </c>
      <c r="K109" s="18">
        <v>9.8026628096397594</v>
      </c>
      <c r="L109">
        <v>9.82</v>
      </c>
      <c r="M109" s="19">
        <v>1.7337190360240839E-2</v>
      </c>
      <c r="P109" s="9">
        <v>5</v>
      </c>
      <c r="Q109" s="9" t="s">
        <v>51</v>
      </c>
      <c r="R109" s="9">
        <v>10</v>
      </c>
      <c r="S109" s="9">
        <v>4.47</v>
      </c>
      <c r="T109" s="9">
        <v>0.14000000000000001</v>
      </c>
      <c r="U109" s="9">
        <v>0.67</v>
      </c>
      <c r="V109" s="9">
        <v>4.6399999999999997</v>
      </c>
      <c r="W109" s="9">
        <v>7.0000000000000007E-2</v>
      </c>
      <c r="X109" s="9">
        <v>51.5</v>
      </c>
      <c r="Y109" s="9">
        <v>8.9</v>
      </c>
      <c r="Z109" s="9">
        <v>35.5</v>
      </c>
      <c r="AA109" s="10">
        <v>55</v>
      </c>
      <c r="AB109" s="10">
        <v>23.9</v>
      </c>
    </row>
    <row r="110" spans="1:28">
      <c r="A110">
        <v>4.96</v>
      </c>
      <c r="B110">
        <v>-0.05</v>
      </c>
      <c r="C110">
        <v>0.1</v>
      </c>
      <c r="D110">
        <v>4.71</v>
      </c>
      <c r="E110">
        <v>0.03</v>
      </c>
      <c r="F110">
        <v>54.6</v>
      </c>
      <c r="G110">
        <v>15.6</v>
      </c>
      <c r="H110">
        <v>33.5</v>
      </c>
      <c r="I110">
        <v>10.5</v>
      </c>
      <c r="J110">
        <v>80.400000000000006</v>
      </c>
      <c r="K110" s="18">
        <v>9.7465610477486173</v>
      </c>
      <c r="L110">
        <v>9.75</v>
      </c>
      <c r="M110" s="19">
        <v>3.4389522513826876E-3</v>
      </c>
      <c r="P110" s="9">
        <v>5</v>
      </c>
      <c r="Q110" s="9" t="s">
        <v>53</v>
      </c>
      <c r="R110" s="9">
        <v>10.02</v>
      </c>
      <c r="S110" s="9">
        <v>5</v>
      </c>
      <c r="T110" s="9">
        <v>-0.06</v>
      </c>
      <c r="U110" s="9">
        <v>0.39</v>
      </c>
      <c r="V110" s="9">
        <v>4.6399999999999997</v>
      </c>
      <c r="W110" s="9">
        <v>0.03</v>
      </c>
      <c r="X110" s="9">
        <v>46.5</v>
      </c>
      <c r="Y110" s="9">
        <v>10.5</v>
      </c>
      <c r="Z110" s="9">
        <v>35.1</v>
      </c>
      <c r="AA110" s="10">
        <v>52.8</v>
      </c>
      <c r="AB110" s="10">
        <v>20.2</v>
      </c>
    </row>
    <row r="111" spans="1:28">
      <c r="A111">
        <v>4.71</v>
      </c>
      <c r="B111">
        <v>0.2</v>
      </c>
      <c r="C111">
        <v>0.27</v>
      </c>
      <c r="D111">
        <v>4.71</v>
      </c>
      <c r="E111">
        <v>0.02</v>
      </c>
      <c r="F111">
        <v>49.7</v>
      </c>
      <c r="G111">
        <v>11.2</v>
      </c>
      <c r="H111">
        <v>31.8</v>
      </c>
      <c r="I111">
        <v>9.8000000000000007</v>
      </c>
      <c r="J111">
        <v>78.3</v>
      </c>
      <c r="K111" s="18">
        <v>9.9395859945911376</v>
      </c>
      <c r="L111">
        <v>9.93</v>
      </c>
      <c r="M111" s="19">
        <v>-9.5859945911378475E-3</v>
      </c>
      <c r="P111" s="9">
        <v>5</v>
      </c>
      <c r="Q111" s="9" t="s">
        <v>55</v>
      </c>
      <c r="R111" s="9">
        <v>9.33</v>
      </c>
      <c r="S111" s="9">
        <v>5.24</v>
      </c>
      <c r="T111" s="9">
        <v>-0.14000000000000001</v>
      </c>
      <c r="U111" s="9">
        <v>-0.3</v>
      </c>
      <c r="V111" s="9">
        <v>4.6399999999999997</v>
      </c>
      <c r="W111" s="9">
        <v>-0.1</v>
      </c>
      <c r="X111" s="9">
        <v>67.5</v>
      </c>
      <c r="Y111" s="9">
        <v>21.9</v>
      </c>
      <c r="Z111" s="9">
        <v>34.9</v>
      </c>
      <c r="AA111" s="10">
        <v>53.3</v>
      </c>
      <c r="AB111" s="10">
        <v>22.7</v>
      </c>
    </row>
    <row r="112" spans="1:28">
      <c r="A112">
        <v>5.08</v>
      </c>
      <c r="B112">
        <v>0.03</v>
      </c>
      <c r="C112">
        <v>0.03</v>
      </c>
      <c r="D112">
        <v>4.71</v>
      </c>
      <c r="E112">
        <v>0.05</v>
      </c>
      <c r="F112">
        <v>57.7</v>
      </c>
      <c r="G112">
        <v>14.4</v>
      </c>
      <c r="H112">
        <v>32.4</v>
      </c>
      <c r="I112">
        <v>9.6</v>
      </c>
      <c r="J112">
        <v>78.3</v>
      </c>
      <c r="K112" s="18">
        <v>9.9035001344671194</v>
      </c>
      <c r="L112">
        <v>9.91</v>
      </c>
      <c r="M112" s="19">
        <v>6.4998655328807331E-3</v>
      </c>
      <c r="P112" s="9">
        <v>5</v>
      </c>
      <c r="Q112" s="9" t="s">
        <v>57</v>
      </c>
      <c r="R112" s="9">
        <v>9.57</v>
      </c>
      <c r="S112" s="9">
        <v>4.9400000000000004</v>
      </c>
      <c r="T112" s="9">
        <v>-0.09</v>
      </c>
      <c r="U112" s="9">
        <v>0.11</v>
      </c>
      <c r="V112" s="9">
        <v>4.6399999999999997</v>
      </c>
      <c r="W112" s="9">
        <v>-0.05</v>
      </c>
      <c r="X112" s="9">
        <v>69.099999999999994</v>
      </c>
      <c r="Y112" s="9">
        <v>33.1</v>
      </c>
      <c r="Z112" s="9">
        <v>33.700000000000003</v>
      </c>
      <c r="AA112" s="10">
        <v>51.2</v>
      </c>
      <c r="AB112" s="10">
        <v>13.5</v>
      </c>
    </row>
    <row r="113" spans="1:28">
      <c r="A113">
        <v>5.2</v>
      </c>
      <c r="B113">
        <v>7.0000000000000007E-2</v>
      </c>
      <c r="C113">
        <v>-0.15</v>
      </c>
      <c r="D113">
        <v>4.71</v>
      </c>
      <c r="E113">
        <v>0.02</v>
      </c>
      <c r="F113">
        <v>57</v>
      </c>
      <c r="G113">
        <v>19.8</v>
      </c>
      <c r="H113">
        <v>33.9</v>
      </c>
      <c r="I113">
        <v>10.9</v>
      </c>
      <c r="J113">
        <v>80.3</v>
      </c>
      <c r="K113" s="18">
        <v>9.8355682707618612</v>
      </c>
      <c r="L113">
        <v>9.83</v>
      </c>
      <c r="M113" s="19">
        <v>-5.5682707618611715E-3</v>
      </c>
      <c r="P113" s="9">
        <v>5</v>
      </c>
      <c r="Q113" s="9" t="s">
        <v>58</v>
      </c>
      <c r="R113" s="9">
        <v>9.66</v>
      </c>
      <c r="S113" s="9">
        <v>5.26</v>
      </c>
      <c r="T113" s="9">
        <v>-0.03</v>
      </c>
      <c r="U113" s="9">
        <v>0</v>
      </c>
      <c r="V113" s="9">
        <v>4.6399999999999997</v>
      </c>
      <c r="W113" s="9">
        <v>-0.19</v>
      </c>
      <c r="X113" s="9">
        <v>65.400000000000006</v>
      </c>
      <c r="Y113" s="9">
        <v>22.5</v>
      </c>
      <c r="Z113" s="9">
        <v>35.1</v>
      </c>
      <c r="AA113" s="10">
        <v>47</v>
      </c>
      <c r="AB113" s="10">
        <v>8.4</v>
      </c>
    </row>
    <row r="114" spans="1:28">
      <c r="A114">
        <v>5.18</v>
      </c>
      <c r="B114">
        <v>7.0000000000000007E-2</v>
      </c>
      <c r="C114">
        <v>0.02</v>
      </c>
      <c r="D114">
        <v>4.71</v>
      </c>
      <c r="E114">
        <v>-0.04</v>
      </c>
      <c r="F114">
        <v>55.9</v>
      </c>
      <c r="G114">
        <v>11.3</v>
      </c>
      <c r="H114">
        <v>33.700000000000003</v>
      </c>
      <c r="I114">
        <v>8.9</v>
      </c>
      <c r="J114">
        <v>76.099999999999994</v>
      </c>
      <c r="K114" s="18">
        <v>9.9407751474739587</v>
      </c>
      <c r="L114">
        <v>9.9499999999999993</v>
      </c>
      <c r="M114" s="19">
        <v>9.2248525260405501E-3</v>
      </c>
      <c r="P114" s="9">
        <v>5</v>
      </c>
      <c r="Q114" s="9" t="s">
        <v>60</v>
      </c>
      <c r="R114" s="9">
        <v>9.91</v>
      </c>
      <c r="S114" s="9">
        <v>5.47</v>
      </c>
      <c r="T114" s="9">
        <v>-0.13</v>
      </c>
      <c r="U114" s="9">
        <v>-0.03</v>
      </c>
      <c r="V114" s="9">
        <v>4.6399999999999997</v>
      </c>
      <c r="W114" s="9">
        <v>-0.03</v>
      </c>
      <c r="X114" s="9">
        <v>64.2</v>
      </c>
      <c r="Y114" s="9">
        <v>20.8</v>
      </c>
      <c r="Z114" s="9">
        <v>35.200000000000003</v>
      </c>
      <c r="AA114" s="10">
        <v>43.8</v>
      </c>
      <c r="AB114" s="10">
        <v>12.9</v>
      </c>
    </row>
    <row r="115" spans="1:28">
      <c r="A115">
        <v>5.18</v>
      </c>
      <c r="B115">
        <v>0.18</v>
      </c>
      <c r="C115">
        <v>0.15</v>
      </c>
      <c r="D115">
        <v>4.71</v>
      </c>
      <c r="E115">
        <v>-0.01</v>
      </c>
      <c r="F115">
        <v>42.8</v>
      </c>
      <c r="G115">
        <v>11.7</v>
      </c>
      <c r="H115">
        <v>32.9</v>
      </c>
      <c r="I115">
        <v>10.199999999999999</v>
      </c>
      <c r="J115">
        <v>76.400000000000006</v>
      </c>
      <c r="K115" s="18">
        <v>10.240983097761129</v>
      </c>
      <c r="L115">
        <v>10.220000000000001</v>
      </c>
      <c r="M115" s="19">
        <v>-2.0983097761128278E-2</v>
      </c>
      <c r="P115" s="9">
        <v>5</v>
      </c>
      <c r="Q115" s="9" t="s">
        <v>66</v>
      </c>
      <c r="R115" s="9">
        <v>9.67</v>
      </c>
      <c r="S115" s="9">
        <v>5.43</v>
      </c>
      <c r="T115" s="9">
        <v>-0.15</v>
      </c>
      <c r="U115" s="9">
        <v>-0.16</v>
      </c>
      <c r="V115" s="9">
        <v>4.6399999999999997</v>
      </c>
      <c r="W115" s="9">
        <v>-0.1</v>
      </c>
      <c r="X115" s="9">
        <v>64.5</v>
      </c>
      <c r="Y115" s="9">
        <v>21</v>
      </c>
      <c r="Z115" s="9">
        <v>33.4</v>
      </c>
      <c r="AA115" s="10">
        <v>50.5</v>
      </c>
      <c r="AB115" s="10">
        <v>7.5</v>
      </c>
    </row>
    <row r="116" spans="1:28">
      <c r="A116">
        <v>5.4</v>
      </c>
      <c r="B116">
        <v>0.03</v>
      </c>
      <c r="C116">
        <v>-0.01</v>
      </c>
      <c r="D116">
        <v>4.71</v>
      </c>
      <c r="E116">
        <v>-0.01</v>
      </c>
      <c r="F116">
        <v>49.1</v>
      </c>
      <c r="G116">
        <v>11.5</v>
      </c>
      <c r="H116">
        <v>32.6</v>
      </c>
      <c r="I116">
        <v>10.6</v>
      </c>
      <c r="J116">
        <v>78.900000000000006</v>
      </c>
      <c r="K116" s="18">
        <v>10.140616490097049</v>
      </c>
      <c r="L116">
        <v>10.130000000000001</v>
      </c>
      <c r="M116" s="19">
        <v>-1.0616490097048015E-2</v>
      </c>
      <c r="P116" s="9">
        <v>5</v>
      </c>
      <c r="Q116" s="9" t="s">
        <v>67</v>
      </c>
      <c r="R116" s="9">
        <v>9.49</v>
      </c>
      <c r="S116" s="9">
        <v>5.24</v>
      </c>
      <c r="T116" s="9">
        <v>-0.08</v>
      </c>
      <c r="U116" s="9">
        <v>-0.2</v>
      </c>
      <c r="V116" s="9">
        <v>4.6399999999999997</v>
      </c>
      <c r="W116" s="9">
        <v>-7.0000000000000007E-2</v>
      </c>
      <c r="X116" s="9">
        <v>61.4</v>
      </c>
      <c r="Y116" s="9">
        <v>29.8</v>
      </c>
      <c r="Z116" s="9">
        <v>35.200000000000003</v>
      </c>
      <c r="AA116" s="10">
        <v>46.1</v>
      </c>
      <c r="AB116" s="10">
        <v>8.9</v>
      </c>
    </row>
    <row r="117" spans="1:28">
      <c r="A117">
        <v>5.79</v>
      </c>
      <c r="B117">
        <v>-0.02</v>
      </c>
      <c r="C117">
        <v>-0.44</v>
      </c>
      <c r="D117">
        <v>4.71</v>
      </c>
      <c r="E117">
        <v>-7.0000000000000007E-2</v>
      </c>
      <c r="F117">
        <v>50.1</v>
      </c>
      <c r="G117">
        <v>17.8</v>
      </c>
      <c r="H117">
        <v>35.1</v>
      </c>
      <c r="I117">
        <v>11.2</v>
      </c>
      <c r="J117">
        <v>74</v>
      </c>
      <c r="K117" s="18">
        <v>9.9573795847530135</v>
      </c>
      <c r="L117">
        <v>9.9600000000000009</v>
      </c>
      <c r="M117" s="19">
        <v>2.6204152469873065E-3</v>
      </c>
      <c r="P117" s="9">
        <v>5</v>
      </c>
      <c r="Q117" s="9" t="s">
        <v>69</v>
      </c>
      <c r="R117" s="9">
        <v>9.8000000000000007</v>
      </c>
      <c r="S117" s="9">
        <v>5.31</v>
      </c>
      <c r="T117" s="9">
        <v>0.01</v>
      </c>
      <c r="U117" s="9">
        <v>-0.09</v>
      </c>
      <c r="V117" s="9">
        <v>4.6399999999999997</v>
      </c>
      <c r="W117" s="9">
        <v>0.02</v>
      </c>
      <c r="X117" s="9">
        <v>63.4</v>
      </c>
      <c r="Y117" s="9">
        <v>26</v>
      </c>
      <c r="Z117" s="9">
        <v>36.1</v>
      </c>
      <c r="AA117" s="10">
        <v>66.400000000000006</v>
      </c>
      <c r="AB117" s="10">
        <v>17.7</v>
      </c>
    </row>
    <row r="118" spans="1:28">
      <c r="A118">
        <v>5.96</v>
      </c>
      <c r="B118">
        <v>-0.03</v>
      </c>
      <c r="C118">
        <v>-0.48</v>
      </c>
      <c r="D118">
        <v>4.71</v>
      </c>
      <c r="E118">
        <v>0.03</v>
      </c>
      <c r="F118">
        <v>49.8</v>
      </c>
      <c r="G118">
        <v>13.7</v>
      </c>
      <c r="H118">
        <v>34.799999999999997</v>
      </c>
      <c r="I118">
        <v>11.4</v>
      </c>
      <c r="J118">
        <v>74.8</v>
      </c>
      <c r="K118" s="18">
        <v>10.181176591299694</v>
      </c>
      <c r="L118">
        <v>10.18</v>
      </c>
      <c r="M118" s="19">
        <v>-1.1765912996946071E-3</v>
      </c>
      <c r="P118" s="9">
        <v>5</v>
      </c>
      <c r="Q118" s="9" t="s">
        <v>71</v>
      </c>
      <c r="R118" s="9">
        <v>9.75</v>
      </c>
      <c r="S118" s="9">
        <v>5.03</v>
      </c>
      <c r="T118" s="9">
        <v>-0.04</v>
      </c>
      <c r="U118" s="9">
        <v>0.11</v>
      </c>
      <c r="V118" s="9">
        <v>4.6399999999999997</v>
      </c>
      <c r="W118" s="9">
        <v>0.03</v>
      </c>
      <c r="X118" s="9">
        <v>56.5</v>
      </c>
      <c r="Y118" s="9">
        <v>16.7</v>
      </c>
      <c r="Z118" s="9">
        <v>35.5</v>
      </c>
      <c r="AA118" s="10">
        <v>66.3</v>
      </c>
      <c r="AB118" s="10">
        <v>29.3</v>
      </c>
    </row>
    <row r="119" spans="1:28">
      <c r="A119">
        <v>6.07</v>
      </c>
      <c r="B119">
        <v>-0.15</v>
      </c>
      <c r="C119">
        <v>-0.67</v>
      </c>
      <c r="D119">
        <v>4.71</v>
      </c>
      <c r="E119">
        <v>-0.01</v>
      </c>
      <c r="F119">
        <v>50</v>
      </c>
      <c r="G119">
        <v>15.8</v>
      </c>
      <c r="H119">
        <v>32.6</v>
      </c>
      <c r="I119">
        <v>9.4</v>
      </c>
      <c r="J119">
        <v>81.2</v>
      </c>
      <c r="K119" s="18">
        <v>9.9558164375098332</v>
      </c>
      <c r="L119">
        <v>9.94</v>
      </c>
      <c r="M119" s="19">
        <v>-1.5816437509833747E-2</v>
      </c>
      <c r="P119" s="9">
        <v>5</v>
      </c>
      <c r="Q119" s="9" t="s">
        <v>72</v>
      </c>
      <c r="R119" s="9">
        <v>10.01</v>
      </c>
      <c r="S119" s="9">
        <v>4.84</v>
      </c>
      <c r="T119" s="9">
        <v>0.2</v>
      </c>
      <c r="U119" s="9">
        <v>0.27</v>
      </c>
      <c r="V119" s="9">
        <v>4.6399999999999997</v>
      </c>
      <c r="W119" s="9">
        <v>0.05</v>
      </c>
      <c r="X119" s="9">
        <v>53.1</v>
      </c>
      <c r="Y119" s="9">
        <v>13.6</v>
      </c>
      <c r="Z119" s="9">
        <v>34.700000000000003</v>
      </c>
      <c r="AA119" s="10">
        <v>63.7</v>
      </c>
      <c r="AB119" s="10">
        <v>21.1</v>
      </c>
    </row>
    <row r="120" spans="1:28">
      <c r="A120">
        <v>6.4</v>
      </c>
      <c r="B120">
        <v>-0.28999999999999998</v>
      </c>
      <c r="C120">
        <v>-0.55000000000000004</v>
      </c>
      <c r="D120">
        <v>4.71</v>
      </c>
      <c r="E120">
        <v>0.1</v>
      </c>
      <c r="F120">
        <v>64.8</v>
      </c>
      <c r="G120">
        <v>23.2</v>
      </c>
      <c r="H120">
        <v>32.799999999999997</v>
      </c>
      <c r="I120">
        <v>8.6</v>
      </c>
      <c r="J120">
        <v>82.7</v>
      </c>
      <c r="K120" s="18">
        <v>10.34223902059234</v>
      </c>
      <c r="L120">
        <v>10.35</v>
      </c>
      <c r="M120" s="19">
        <v>7.7609794076600735E-3</v>
      </c>
      <c r="P120" s="9">
        <v>5</v>
      </c>
      <c r="Q120" s="9" t="s">
        <v>74</v>
      </c>
      <c r="R120" s="9">
        <v>9.81</v>
      </c>
      <c r="S120" s="9">
        <v>5.15</v>
      </c>
      <c r="T120" s="9">
        <v>0.01</v>
      </c>
      <c r="U120" s="9">
        <v>0.01</v>
      </c>
      <c r="V120" s="9">
        <v>4.6399999999999997</v>
      </c>
      <c r="W120" s="9">
        <v>-0.02</v>
      </c>
      <c r="X120" s="9">
        <v>60.4</v>
      </c>
      <c r="Y120" s="9">
        <v>18.399999999999999</v>
      </c>
      <c r="Z120" s="9">
        <v>33.799999999999997</v>
      </c>
      <c r="AA120" s="10">
        <v>61.2</v>
      </c>
      <c r="AB120" s="10">
        <v>19.600000000000001</v>
      </c>
    </row>
    <row r="121" spans="1:28">
      <c r="A121">
        <v>5.61</v>
      </c>
      <c r="B121">
        <v>7.0000000000000007E-2</v>
      </c>
      <c r="C121">
        <v>-0.18</v>
      </c>
      <c r="D121">
        <v>4.71</v>
      </c>
      <c r="E121">
        <v>0.02</v>
      </c>
      <c r="F121">
        <v>56</v>
      </c>
      <c r="G121">
        <v>28.8</v>
      </c>
      <c r="H121">
        <v>31.6</v>
      </c>
      <c r="I121">
        <v>8</v>
      </c>
      <c r="J121">
        <v>78.2</v>
      </c>
      <c r="K121" s="18">
        <v>10.231982452203631</v>
      </c>
      <c r="L121">
        <v>10.25</v>
      </c>
      <c r="M121" s="19">
        <v>1.801754779636866E-2</v>
      </c>
      <c r="P121" s="9">
        <v>5</v>
      </c>
      <c r="Q121" s="9" t="s">
        <v>75</v>
      </c>
      <c r="R121" s="9">
        <v>9.73</v>
      </c>
      <c r="S121" s="9">
        <v>5.22</v>
      </c>
      <c r="T121" s="9">
        <v>7.0000000000000007E-2</v>
      </c>
      <c r="U121" s="9">
        <v>-0.15</v>
      </c>
      <c r="V121" s="9">
        <v>4.6399999999999997</v>
      </c>
      <c r="W121" s="9">
        <v>-0.06</v>
      </c>
      <c r="X121" s="9">
        <v>62.2</v>
      </c>
      <c r="Y121" s="9">
        <v>20.100000000000001</v>
      </c>
      <c r="Z121" s="9">
        <v>34.9</v>
      </c>
      <c r="AA121" s="10">
        <v>65.099999999999994</v>
      </c>
      <c r="AB121" s="10">
        <v>18.899999999999999</v>
      </c>
    </row>
    <row r="122" spans="1:28">
      <c r="A122">
        <v>5.41</v>
      </c>
      <c r="B122">
        <v>0.05</v>
      </c>
      <c r="C122">
        <v>-0.12</v>
      </c>
      <c r="D122">
        <v>4.71</v>
      </c>
      <c r="E122">
        <v>0.03</v>
      </c>
      <c r="F122">
        <v>53.3</v>
      </c>
      <c r="G122">
        <v>15.4</v>
      </c>
      <c r="H122">
        <v>31.8</v>
      </c>
      <c r="I122">
        <v>8.6</v>
      </c>
      <c r="J122">
        <v>77.900000000000006</v>
      </c>
      <c r="K122" s="18">
        <v>10.095317645162863</v>
      </c>
      <c r="L122">
        <v>10.09</v>
      </c>
      <c r="M122" s="19">
        <v>-5.3176451628633714E-3</v>
      </c>
      <c r="P122" s="9">
        <v>5</v>
      </c>
      <c r="Q122" s="9" t="s">
        <v>79</v>
      </c>
      <c r="R122" s="9">
        <v>10.09</v>
      </c>
      <c r="S122" s="9">
        <v>5.36</v>
      </c>
      <c r="T122" s="9">
        <v>0.06</v>
      </c>
      <c r="U122" s="9">
        <v>0.01</v>
      </c>
      <c r="V122" s="9">
        <v>4.6399999999999997</v>
      </c>
      <c r="W122" s="9">
        <v>0.02</v>
      </c>
      <c r="X122" s="9">
        <v>58.6</v>
      </c>
      <c r="Y122" s="9">
        <v>17.600000000000001</v>
      </c>
      <c r="Z122" s="9">
        <v>36.1</v>
      </c>
      <c r="AA122" s="10">
        <v>58.7</v>
      </c>
      <c r="AB122" s="10">
        <v>22.5</v>
      </c>
    </row>
    <row r="123" spans="1:28">
      <c r="A123">
        <v>5.78</v>
      </c>
      <c r="B123">
        <v>-0.2</v>
      </c>
      <c r="C123">
        <v>-0.1</v>
      </c>
      <c r="D123">
        <v>4.71</v>
      </c>
      <c r="E123">
        <v>-0.03</v>
      </c>
      <c r="F123">
        <v>53.4</v>
      </c>
      <c r="G123">
        <v>17</v>
      </c>
      <c r="H123">
        <v>33</v>
      </c>
      <c r="I123">
        <v>8.4</v>
      </c>
      <c r="J123">
        <v>81</v>
      </c>
      <c r="K123" s="18">
        <v>10.162262851679589</v>
      </c>
      <c r="L123">
        <v>10.15</v>
      </c>
      <c r="M123" s="19">
        <v>-1.2262851679588849E-2</v>
      </c>
      <c r="P123" s="9">
        <v>5</v>
      </c>
      <c r="Q123" s="9" t="s">
        <v>80</v>
      </c>
      <c r="R123" s="9">
        <v>10.29</v>
      </c>
      <c r="S123" s="9">
        <v>5.33</v>
      </c>
      <c r="T123" s="9">
        <v>0.17</v>
      </c>
      <c r="U123" s="9">
        <v>0.13</v>
      </c>
      <c r="V123" s="9">
        <v>4.6399999999999997</v>
      </c>
      <c r="W123" s="9">
        <v>0.01</v>
      </c>
      <c r="X123" s="9">
        <v>46.8</v>
      </c>
      <c r="Y123" s="9">
        <v>12.6</v>
      </c>
      <c r="Z123" s="9">
        <v>35.5</v>
      </c>
      <c r="AA123" s="10">
        <v>57</v>
      </c>
      <c r="AB123" s="10">
        <v>27.4</v>
      </c>
    </row>
    <row r="124" spans="1:28">
      <c r="A124">
        <v>6.17</v>
      </c>
      <c r="B124">
        <v>-0.11</v>
      </c>
      <c r="C124">
        <v>-0.38</v>
      </c>
      <c r="D124">
        <v>4.71</v>
      </c>
      <c r="E124">
        <v>0.05</v>
      </c>
      <c r="F124">
        <v>55.2</v>
      </c>
      <c r="G124">
        <v>20.3</v>
      </c>
      <c r="H124">
        <v>34.700000000000003</v>
      </c>
      <c r="I124">
        <v>10</v>
      </c>
      <c r="J124">
        <v>72.099999999999994</v>
      </c>
      <c r="K124" s="18">
        <v>10.418525117770809</v>
      </c>
      <c r="L124">
        <v>10.43</v>
      </c>
      <c r="M124" s="19">
        <v>1.1474882229190797E-2</v>
      </c>
      <c r="P124" s="9">
        <v>5</v>
      </c>
      <c r="Q124" s="9" t="s">
        <v>81</v>
      </c>
      <c r="R124" s="9">
        <v>10.17</v>
      </c>
      <c r="S124" s="9">
        <v>5.53</v>
      </c>
      <c r="T124" s="9">
        <v>0.03</v>
      </c>
      <c r="U124" s="9">
        <v>-0.02</v>
      </c>
      <c r="V124" s="9">
        <v>4.6399999999999997</v>
      </c>
      <c r="W124" s="9">
        <v>-0.02</v>
      </c>
      <c r="X124" s="9">
        <v>54</v>
      </c>
      <c r="Y124" s="9">
        <v>15.9</v>
      </c>
      <c r="Z124" s="9">
        <v>34.700000000000003</v>
      </c>
      <c r="AA124" s="10">
        <v>55.1</v>
      </c>
      <c r="AB124" s="10">
        <v>14.7</v>
      </c>
    </row>
    <row r="125" spans="1:28">
      <c r="A125">
        <v>6</v>
      </c>
      <c r="B125">
        <v>-7.0000000000000007E-2</v>
      </c>
      <c r="C125">
        <v>-0.3</v>
      </c>
      <c r="D125">
        <v>4.71</v>
      </c>
      <c r="E125">
        <v>-0.02</v>
      </c>
      <c r="F125">
        <v>51.3</v>
      </c>
      <c r="G125">
        <v>29.1</v>
      </c>
      <c r="H125">
        <v>32.5</v>
      </c>
      <c r="I125">
        <v>8.8000000000000007</v>
      </c>
      <c r="J125">
        <v>76.5</v>
      </c>
      <c r="K125" s="18">
        <v>10.319993841520205</v>
      </c>
      <c r="L125">
        <v>10.34</v>
      </c>
      <c r="M125" s="19">
        <v>2.0006158479795033E-2</v>
      </c>
      <c r="P125" s="9">
        <v>5</v>
      </c>
      <c r="Q125" s="9" t="s">
        <v>82</v>
      </c>
      <c r="R125" s="9">
        <v>10.14</v>
      </c>
      <c r="S125" s="9">
        <v>5.96</v>
      </c>
      <c r="T125" s="9">
        <v>-0.03</v>
      </c>
      <c r="U125" s="9">
        <v>-0.44</v>
      </c>
      <c r="V125" s="9">
        <v>4.6399999999999997</v>
      </c>
      <c r="W125" s="9">
        <v>0.09</v>
      </c>
      <c r="X125" s="9">
        <v>54.7</v>
      </c>
      <c r="Y125" s="9">
        <v>21.4</v>
      </c>
      <c r="Z125" s="9">
        <v>37.200000000000003</v>
      </c>
      <c r="AA125" s="10">
        <v>50.3</v>
      </c>
      <c r="AB125" s="10">
        <v>11.8</v>
      </c>
    </row>
    <row r="126" spans="1:28">
      <c r="A126">
        <v>5.89</v>
      </c>
      <c r="B126">
        <v>0.03</v>
      </c>
      <c r="C126">
        <v>-0.46</v>
      </c>
      <c r="D126">
        <v>4.71</v>
      </c>
      <c r="E126">
        <v>7.0000000000000007E-2</v>
      </c>
      <c r="F126">
        <v>56.7</v>
      </c>
      <c r="G126">
        <v>16.100000000000001</v>
      </c>
      <c r="H126">
        <v>32.200000000000003</v>
      </c>
      <c r="I126">
        <v>8.1999999999999993</v>
      </c>
      <c r="J126">
        <v>76.400000000000006</v>
      </c>
      <c r="K126" s="18">
        <v>10.241729853557359</v>
      </c>
      <c r="L126">
        <v>10.26</v>
      </c>
      <c r="M126" s="19">
        <v>1.8270146442640467E-2</v>
      </c>
      <c r="P126" s="9">
        <v>5</v>
      </c>
      <c r="Q126" s="9" t="s">
        <v>83</v>
      </c>
      <c r="R126" s="9">
        <v>9.94</v>
      </c>
      <c r="S126" s="9">
        <v>5.95</v>
      </c>
      <c r="T126" s="9">
        <v>-0.05</v>
      </c>
      <c r="U126" s="9">
        <v>-0.5</v>
      </c>
      <c r="V126" s="9">
        <v>4.6399999999999997</v>
      </c>
      <c r="W126" s="9">
        <v>-0.09</v>
      </c>
      <c r="X126" s="9">
        <v>53.8</v>
      </c>
      <c r="Y126" s="9">
        <v>17.899999999999999</v>
      </c>
      <c r="Z126" s="9">
        <v>36</v>
      </c>
      <c r="AA126" s="10">
        <v>58.1</v>
      </c>
      <c r="AB126" s="10">
        <v>15.2</v>
      </c>
    </row>
    <row r="127" spans="1:28">
      <c r="A127">
        <v>6.11</v>
      </c>
      <c r="B127">
        <v>-0.16</v>
      </c>
      <c r="C127">
        <v>-0.38</v>
      </c>
      <c r="D127">
        <v>4.71</v>
      </c>
      <c r="E127">
        <v>0</v>
      </c>
      <c r="F127">
        <v>60.8</v>
      </c>
      <c r="G127">
        <v>14.2</v>
      </c>
      <c r="H127">
        <v>29.3</v>
      </c>
      <c r="I127">
        <v>9.1999999999999993</v>
      </c>
      <c r="J127">
        <v>74.900000000000006</v>
      </c>
      <c r="K127" s="18">
        <v>10.30620281332188</v>
      </c>
      <c r="L127">
        <v>10.3</v>
      </c>
      <c r="M127" s="19">
        <v>-6.2028133218792192E-3</v>
      </c>
      <c r="P127" s="9">
        <v>5</v>
      </c>
      <c r="Q127" s="9" t="s">
        <v>84</v>
      </c>
      <c r="R127" s="9">
        <v>9.82</v>
      </c>
      <c r="S127" s="9">
        <v>6.09</v>
      </c>
      <c r="T127" s="9">
        <v>-0.16</v>
      </c>
      <c r="U127" s="9">
        <v>-0.67</v>
      </c>
      <c r="V127" s="9">
        <v>4.6399999999999997</v>
      </c>
      <c r="W127" s="9">
        <v>-7.0000000000000007E-2</v>
      </c>
      <c r="X127" s="9">
        <v>55.5</v>
      </c>
      <c r="Y127" s="9">
        <v>20.399999999999999</v>
      </c>
      <c r="Z127" s="9">
        <v>35</v>
      </c>
      <c r="AA127" s="10">
        <v>57.8</v>
      </c>
      <c r="AB127" s="10">
        <v>23.5</v>
      </c>
    </row>
    <row r="128" spans="1:28">
      <c r="A128">
        <v>5.79</v>
      </c>
      <c r="B128">
        <v>0.05</v>
      </c>
      <c r="C128">
        <v>-0.28000000000000003</v>
      </c>
      <c r="D128">
        <v>4.71</v>
      </c>
      <c r="E128">
        <v>-7.0000000000000007E-2</v>
      </c>
      <c r="F128">
        <v>50.1</v>
      </c>
      <c r="G128">
        <v>14.3</v>
      </c>
      <c r="H128">
        <v>32.9</v>
      </c>
      <c r="I128">
        <v>12</v>
      </c>
      <c r="J128">
        <v>80.5</v>
      </c>
      <c r="K128" s="18">
        <v>10.21452768401679</v>
      </c>
      <c r="L128">
        <v>10.210000000000001</v>
      </c>
      <c r="M128" s="19">
        <v>-4.5276840167893795E-3</v>
      </c>
      <c r="P128" s="9">
        <v>5</v>
      </c>
      <c r="Q128" s="9" t="s">
        <v>85</v>
      </c>
      <c r="R128" s="9">
        <v>10.26</v>
      </c>
      <c r="S128" s="9">
        <v>6.4</v>
      </c>
      <c r="T128" s="9">
        <v>-0.31</v>
      </c>
      <c r="U128" s="9">
        <v>-0.55000000000000004</v>
      </c>
      <c r="V128" s="9">
        <v>4.6399999999999997</v>
      </c>
      <c r="W128" s="9">
        <v>7.0000000000000007E-2</v>
      </c>
      <c r="X128" s="9">
        <v>66.8</v>
      </c>
      <c r="Y128" s="9">
        <v>23.5</v>
      </c>
      <c r="Z128" s="9">
        <v>34.4</v>
      </c>
      <c r="AA128" s="10">
        <v>55.6</v>
      </c>
      <c r="AB128" s="10">
        <v>15.6</v>
      </c>
    </row>
    <row r="129" spans="1:28">
      <c r="A129">
        <v>7.13</v>
      </c>
      <c r="B129">
        <v>-0.19</v>
      </c>
      <c r="C129">
        <v>-0.74</v>
      </c>
      <c r="D129">
        <v>4.71</v>
      </c>
      <c r="E129">
        <v>7.0000000000000007E-2</v>
      </c>
      <c r="F129">
        <v>49.3</v>
      </c>
      <c r="G129">
        <v>17.899999999999999</v>
      </c>
      <c r="H129">
        <v>33.4</v>
      </c>
      <c r="I129">
        <v>9</v>
      </c>
      <c r="J129">
        <v>82</v>
      </c>
      <c r="K129" s="18">
        <v>10.978921959471164</v>
      </c>
      <c r="L129">
        <v>11</v>
      </c>
      <c r="M129" s="19">
        <v>2.1078040528836439E-2</v>
      </c>
      <c r="P129" s="9">
        <v>5</v>
      </c>
      <c r="Q129" s="9" t="s">
        <v>86</v>
      </c>
      <c r="R129" s="9">
        <v>10.07</v>
      </c>
      <c r="S129" s="9">
        <v>5.61</v>
      </c>
      <c r="T129" s="9">
        <v>7.0000000000000007E-2</v>
      </c>
      <c r="U129" s="9">
        <v>-0.18</v>
      </c>
      <c r="V129" s="9">
        <v>4.6399999999999997</v>
      </c>
      <c r="W129" s="9">
        <v>-0.08</v>
      </c>
      <c r="X129" s="9">
        <v>57.9</v>
      </c>
      <c r="Y129" s="9">
        <v>35.200000000000003</v>
      </c>
      <c r="Z129" s="9">
        <v>33.4</v>
      </c>
      <c r="AA129" s="10">
        <v>45.2</v>
      </c>
      <c r="AB129" s="10">
        <v>12.5</v>
      </c>
    </row>
    <row r="130" spans="1:28">
      <c r="A130">
        <v>6.62</v>
      </c>
      <c r="B130">
        <v>-0.21</v>
      </c>
      <c r="C130">
        <v>-0.74</v>
      </c>
      <c r="D130">
        <v>4.71</v>
      </c>
      <c r="E130">
        <v>0.09</v>
      </c>
      <c r="F130">
        <v>54</v>
      </c>
      <c r="G130">
        <v>21</v>
      </c>
      <c r="H130">
        <v>33.1</v>
      </c>
      <c r="I130">
        <v>9.1</v>
      </c>
      <c r="J130">
        <v>81.599999999999994</v>
      </c>
      <c r="K130" s="18">
        <v>10.458063888332953</v>
      </c>
      <c r="L130">
        <v>10.47</v>
      </c>
      <c r="M130" s="19">
        <v>1.1936111667047555E-2</v>
      </c>
      <c r="P130" s="9">
        <v>5</v>
      </c>
      <c r="Q130" s="9" t="s">
        <v>88</v>
      </c>
      <c r="R130" s="9">
        <v>9.92</v>
      </c>
      <c r="S130" s="9">
        <v>5.43</v>
      </c>
      <c r="T130" s="9">
        <v>0.04</v>
      </c>
      <c r="U130" s="9">
        <v>-0.14000000000000001</v>
      </c>
      <c r="V130" s="9">
        <v>4.6399999999999997</v>
      </c>
      <c r="W130" s="9">
        <v>-0.06</v>
      </c>
      <c r="X130" s="9">
        <v>56.2</v>
      </c>
      <c r="Y130" s="9">
        <v>18</v>
      </c>
      <c r="Z130" s="9">
        <v>34.5</v>
      </c>
      <c r="AA130" s="10">
        <v>50.9</v>
      </c>
      <c r="AB130" s="10">
        <v>14.3</v>
      </c>
    </row>
    <row r="131" spans="1:28">
      <c r="A131">
        <v>6.39</v>
      </c>
      <c r="B131">
        <v>-0.06</v>
      </c>
      <c r="C131">
        <v>-0.63</v>
      </c>
      <c r="D131">
        <v>4.71</v>
      </c>
      <c r="E131">
        <v>0.08</v>
      </c>
      <c r="F131">
        <v>57.9</v>
      </c>
      <c r="G131">
        <v>29.1</v>
      </c>
      <c r="H131">
        <v>32.799999999999997</v>
      </c>
      <c r="I131">
        <v>11.2</v>
      </c>
      <c r="J131">
        <v>81.7</v>
      </c>
      <c r="K131" s="18">
        <v>10.47158882100347</v>
      </c>
      <c r="L131">
        <v>10.45</v>
      </c>
      <c r="M131" s="19">
        <v>-2.1588821003470926E-2</v>
      </c>
      <c r="P131" s="9">
        <v>5</v>
      </c>
      <c r="Q131" s="9" t="s">
        <v>89</v>
      </c>
      <c r="R131" s="9">
        <v>9.9600000000000009</v>
      </c>
      <c r="S131" s="9">
        <v>5.73</v>
      </c>
      <c r="T131" s="9">
        <v>-0.19</v>
      </c>
      <c r="U131" s="9">
        <v>-0.1</v>
      </c>
      <c r="V131" s="9">
        <v>4.6399999999999997</v>
      </c>
      <c r="W131" s="9">
        <v>-0.13</v>
      </c>
      <c r="X131" s="9">
        <v>55.2</v>
      </c>
      <c r="Y131" s="9">
        <v>19.5</v>
      </c>
      <c r="Z131" s="9">
        <v>33.6</v>
      </c>
      <c r="AA131" s="10">
        <v>49.6</v>
      </c>
      <c r="AB131" s="10">
        <v>23.5</v>
      </c>
    </row>
    <row r="132" spans="1:28">
      <c r="A132">
        <v>6.49</v>
      </c>
      <c r="B132">
        <v>-0.21</v>
      </c>
      <c r="C132">
        <v>-0.6</v>
      </c>
      <c r="D132">
        <v>4.71</v>
      </c>
      <c r="E132">
        <v>0.13</v>
      </c>
      <c r="F132">
        <v>61</v>
      </c>
      <c r="G132">
        <v>24.3</v>
      </c>
      <c r="H132">
        <v>33.1</v>
      </c>
      <c r="I132">
        <v>8.9</v>
      </c>
      <c r="J132">
        <v>79.3</v>
      </c>
      <c r="K132" s="18">
        <v>10.494655659308004</v>
      </c>
      <c r="L132">
        <v>10.52</v>
      </c>
      <c r="M132" s="19">
        <v>2.5344340691995981E-2</v>
      </c>
      <c r="P132" s="9">
        <v>5</v>
      </c>
      <c r="Q132" s="9" t="s">
        <v>90</v>
      </c>
      <c r="R132" s="9">
        <v>10.25</v>
      </c>
      <c r="S132" s="9">
        <v>6.11</v>
      </c>
      <c r="T132" s="9">
        <v>-0.12</v>
      </c>
      <c r="U132" s="9">
        <v>-0.35</v>
      </c>
      <c r="V132" s="9">
        <v>4.6399999999999997</v>
      </c>
      <c r="W132" s="9">
        <v>-0.04</v>
      </c>
      <c r="X132" s="9">
        <v>54.4</v>
      </c>
      <c r="Y132" s="9">
        <v>27.3</v>
      </c>
      <c r="Z132" s="9">
        <v>36</v>
      </c>
      <c r="AA132" s="10">
        <v>49.4</v>
      </c>
      <c r="AB132" s="10">
        <v>19.600000000000001</v>
      </c>
    </row>
    <row r="133" spans="1:28">
      <c r="A133">
        <v>6.17</v>
      </c>
      <c r="B133">
        <v>-0.08</v>
      </c>
      <c r="C133">
        <v>-0.76</v>
      </c>
      <c r="D133">
        <v>4.71</v>
      </c>
      <c r="E133">
        <v>0.1</v>
      </c>
      <c r="F133">
        <v>52.2</v>
      </c>
      <c r="G133">
        <v>14.6</v>
      </c>
      <c r="H133">
        <v>34.299999999999997</v>
      </c>
      <c r="I133">
        <v>8.9</v>
      </c>
      <c r="J133">
        <v>82.3</v>
      </c>
      <c r="K133" s="18">
        <v>10.124192411480561</v>
      </c>
      <c r="L133">
        <v>10.14</v>
      </c>
      <c r="M133" s="19">
        <v>1.5807588519439975E-2</v>
      </c>
      <c r="P133" s="9">
        <v>5</v>
      </c>
      <c r="Q133" s="9" t="s">
        <v>91</v>
      </c>
      <c r="R133" s="9">
        <v>10.23</v>
      </c>
      <c r="S133" s="9">
        <v>6.05</v>
      </c>
      <c r="T133" s="9">
        <v>-7.0000000000000007E-2</v>
      </c>
      <c r="U133" s="9">
        <v>-0.33</v>
      </c>
      <c r="V133" s="9">
        <v>4.6399999999999997</v>
      </c>
      <c r="W133" s="9">
        <v>-0.04</v>
      </c>
      <c r="X133" s="9">
        <v>54.7</v>
      </c>
      <c r="Y133" s="9">
        <v>35.9</v>
      </c>
      <c r="Z133" s="9">
        <v>35.6</v>
      </c>
      <c r="AA133" s="10">
        <v>53.1</v>
      </c>
      <c r="AB133" s="10">
        <v>16.100000000000001</v>
      </c>
    </row>
    <row r="134" spans="1:28">
      <c r="A134">
        <v>6.62</v>
      </c>
      <c r="B134">
        <v>-0.03</v>
      </c>
      <c r="C134">
        <v>-0.85</v>
      </c>
      <c r="D134">
        <v>4.71</v>
      </c>
      <c r="E134">
        <v>0.2</v>
      </c>
      <c r="F134">
        <v>49.2</v>
      </c>
      <c r="G134">
        <v>12.9</v>
      </c>
      <c r="H134">
        <v>32.200000000000003</v>
      </c>
      <c r="I134">
        <v>9.6</v>
      </c>
      <c r="J134">
        <v>84.7</v>
      </c>
      <c r="K134" s="18">
        <v>10.658755052440695</v>
      </c>
      <c r="L134">
        <v>10.65</v>
      </c>
      <c r="M134" s="19">
        <v>-8.7550524406942998E-3</v>
      </c>
      <c r="P134" s="9">
        <v>5</v>
      </c>
      <c r="Q134" s="9" t="s">
        <v>92</v>
      </c>
      <c r="R134" s="9">
        <v>10.01</v>
      </c>
      <c r="S134" s="9">
        <v>5.87</v>
      </c>
      <c r="T134" s="9">
        <v>0.02</v>
      </c>
      <c r="U134" s="9">
        <v>-0.45</v>
      </c>
      <c r="V134" s="9">
        <v>4.6399999999999997</v>
      </c>
      <c r="W134" s="9">
        <v>-0.08</v>
      </c>
      <c r="X134" s="9">
        <v>59.2</v>
      </c>
      <c r="Y134" s="9">
        <v>18.899999999999999</v>
      </c>
      <c r="Z134" s="9">
        <v>34.299999999999997</v>
      </c>
      <c r="AA134" s="10">
        <v>65.3</v>
      </c>
      <c r="AB134" s="10">
        <v>25.8</v>
      </c>
    </row>
    <row r="135" spans="1:28">
      <c r="A135">
        <v>6.6</v>
      </c>
      <c r="B135">
        <v>0.3</v>
      </c>
      <c r="C135">
        <v>-1.56</v>
      </c>
      <c r="D135">
        <v>4.71</v>
      </c>
      <c r="E135">
        <v>0.06</v>
      </c>
      <c r="F135">
        <v>55.8</v>
      </c>
      <c r="G135">
        <v>25.9</v>
      </c>
      <c r="H135">
        <v>33.1</v>
      </c>
      <c r="I135">
        <v>9.6</v>
      </c>
      <c r="J135">
        <v>88.6</v>
      </c>
      <c r="K135" s="18">
        <v>10.088151288613735</v>
      </c>
      <c r="L135">
        <v>10.09</v>
      </c>
      <c r="M135" s="19">
        <v>1.8487113862644122E-3</v>
      </c>
      <c r="P135" s="9">
        <v>5</v>
      </c>
      <c r="Q135" s="9" t="s">
        <v>93</v>
      </c>
      <c r="R135" s="9">
        <v>10.1</v>
      </c>
      <c r="S135" s="9">
        <v>6.05</v>
      </c>
      <c r="T135" s="9">
        <v>-0.16</v>
      </c>
      <c r="U135" s="9">
        <v>-0.38</v>
      </c>
      <c r="V135" s="9">
        <v>4.6399999999999997</v>
      </c>
      <c r="W135" s="9">
        <v>-0.06</v>
      </c>
      <c r="X135" s="9">
        <v>61.5</v>
      </c>
      <c r="Y135" s="9">
        <v>16.5</v>
      </c>
      <c r="Z135" s="9">
        <v>31.8</v>
      </c>
      <c r="AA135" s="10">
        <v>56.8</v>
      </c>
      <c r="AB135" s="10">
        <v>31.6</v>
      </c>
    </row>
    <row r="136" spans="1:28">
      <c r="A136">
        <v>6.28</v>
      </c>
      <c r="B136">
        <v>-0.31</v>
      </c>
      <c r="C136">
        <v>-0.26</v>
      </c>
      <c r="D136">
        <v>4.6399999999999997</v>
      </c>
      <c r="E136">
        <v>-7.0000000000000007E-2</v>
      </c>
      <c r="F136">
        <v>47.3</v>
      </c>
      <c r="G136">
        <v>11.6</v>
      </c>
      <c r="H136">
        <v>34.5</v>
      </c>
      <c r="I136">
        <v>9.6999999999999993</v>
      </c>
      <c r="J136">
        <v>82.3</v>
      </c>
      <c r="K136" s="18">
        <v>10.284284066486961</v>
      </c>
      <c r="L136">
        <v>10.29</v>
      </c>
      <c r="M136" s="19">
        <v>5.7159335130378963E-3</v>
      </c>
      <c r="P136" s="9">
        <v>5</v>
      </c>
      <c r="Q136" s="9" t="s">
        <v>94</v>
      </c>
      <c r="R136" s="9">
        <v>10.36</v>
      </c>
      <c r="S136" s="9">
        <v>5.91</v>
      </c>
      <c r="T136" s="9">
        <v>0.05</v>
      </c>
      <c r="U136" s="9">
        <v>-0.28999999999999998</v>
      </c>
      <c r="V136" s="9">
        <v>4.6399999999999997</v>
      </c>
      <c r="W136" s="9">
        <v>0.04</v>
      </c>
      <c r="X136" s="9">
        <v>52.3</v>
      </c>
      <c r="Y136" s="9">
        <v>14</v>
      </c>
      <c r="Z136" s="9">
        <v>34.5</v>
      </c>
      <c r="AA136" s="10">
        <v>54.7</v>
      </c>
      <c r="AB136" s="10">
        <v>19.7</v>
      </c>
    </row>
    <row r="137" spans="1:28">
      <c r="A137">
        <v>6.33</v>
      </c>
      <c r="B137">
        <v>-0.31</v>
      </c>
      <c r="C137">
        <v>-0.8</v>
      </c>
      <c r="D137">
        <v>4.6399999999999997</v>
      </c>
      <c r="E137">
        <v>-7.0000000000000007E-2</v>
      </c>
      <c r="F137">
        <v>58.1</v>
      </c>
      <c r="G137">
        <v>19.2</v>
      </c>
      <c r="H137">
        <v>34.299999999999997</v>
      </c>
      <c r="I137">
        <v>9.3000000000000007</v>
      </c>
      <c r="J137">
        <v>82.5</v>
      </c>
      <c r="K137" s="18">
        <v>9.7651708659558434</v>
      </c>
      <c r="L137">
        <v>9.7899999999999991</v>
      </c>
      <c r="M137" s="19">
        <v>2.4829134044155765E-2</v>
      </c>
      <c r="P137" s="9">
        <v>5</v>
      </c>
      <c r="Q137" s="9" t="s">
        <v>95</v>
      </c>
      <c r="R137" s="9">
        <v>10.51</v>
      </c>
      <c r="S137" s="9">
        <v>6.92</v>
      </c>
      <c r="T137" s="9">
        <v>-0.2</v>
      </c>
      <c r="U137" s="9">
        <v>-0.71</v>
      </c>
      <c r="V137" s="9">
        <v>4.6399999999999997</v>
      </c>
      <c r="W137" s="9">
        <v>-0.11</v>
      </c>
      <c r="X137" s="9">
        <v>55.6</v>
      </c>
      <c r="Y137" s="9">
        <v>18</v>
      </c>
      <c r="Z137" s="9">
        <v>35.1</v>
      </c>
      <c r="AA137" s="10">
        <v>51.2</v>
      </c>
      <c r="AB137" s="10">
        <v>18.8</v>
      </c>
    </row>
    <row r="138" spans="1:28">
      <c r="A138">
        <v>6</v>
      </c>
      <c r="B138">
        <v>-0.32</v>
      </c>
      <c r="C138">
        <v>-0.56999999999999995</v>
      </c>
      <c r="D138">
        <v>4.6399999999999997</v>
      </c>
      <c r="E138">
        <v>0.01</v>
      </c>
      <c r="F138">
        <v>61.1</v>
      </c>
      <c r="G138">
        <v>17</v>
      </c>
      <c r="H138">
        <v>33.299999999999997</v>
      </c>
      <c r="I138">
        <v>10.6</v>
      </c>
      <c r="J138">
        <v>85.3</v>
      </c>
      <c r="K138" s="18">
        <v>9.7408905693621168</v>
      </c>
      <c r="L138">
        <v>9.77</v>
      </c>
      <c r="M138" s="19">
        <v>2.9109430637882738E-2</v>
      </c>
      <c r="P138" s="9">
        <v>5</v>
      </c>
      <c r="Q138" s="9" t="s">
        <v>96</v>
      </c>
      <c r="R138" s="9">
        <v>10.210000000000001</v>
      </c>
      <c r="S138" s="9">
        <v>6.6</v>
      </c>
      <c r="T138" s="9">
        <v>-0.23</v>
      </c>
      <c r="U138" s="9">
        <v>-0.77</v>
      </c>
      <c r="V138" s="9">
        <v>4.6399999999999997</v>
      </c>
      <c r="W138" s="9">
        <v>-0.04</v>
      </c>
      <c r="X138" s="9">
        <v>55.8</v>
      </c>
      <c r="Y138" s="9">
        <v>28.1</v>
      </c>
      <c r="Z138" s="9">
        <v>34.4</v>
      </c>
      <c r="AA138" s="10">
        <v>54.7</v>
      </c>
      <c r="AB138" s="10">
        <v>24.2</v>
      </c>
    </row>
    <row r="139" spans="1:28">
      <c r="A139">
        <v>5.91</v>
      </c>
      <c r="B139">
        <v>-0.17</v>
      </c>
      <c r="C139">
        <v>-0.32</v>
      </c>
      <c r="D139">
        <v>4.6399999999999997</v>
      </c>
      <c r="E139">
        <v>0.01</v>
      </c>
      <c r="F139">
        <v>60.6</v>
      </c>
      <c r="G139">
        <v>24.3</v>
      </c>
      <c r="H139">
        <v>35</v>
      </c>
      <c r="I139">
        <v>11.9</v>
      </c>
      <c r="J139">
        <v>83.6</v>
      </c>
      <c r="K139" s="18">
        <v>10.035468281117444</v>
      </c>
      <c r="L139">
        <v>10.050000000000001</v>
      </c>
      <c r="M139" s="19">
        <v>1.4531718882556888E-2</v>
      </c>
      <c r="P139" s="9">
        <v>5</v>
      </c>
      <c r="Q139" s="9" t="s">
        <v>97</v>
      </c>
      <c r="R139" s="9">
        <v>10.32</v>
      </c>
      <c r="S139" s="9">
        <v>6.4</v>
      </c>
      <c r="T139" s="9">
        <v>-0.08</v>
      </c>
      <c r="U139" s="9">
        <v>-0.62</v>
      </c>
      <c r="V139" s="9">
        <v>4.6399999999999997</v>
      </c>
      <c r="W139" s="9">
        <v>0.03</v>
      </c>
      <c r="X139" s="9">
        <v>62</v>
      </c>
      <c r="Y139" s="9">
        <v>31.1</v>
      </c>
      <c r="Z139" s="9">
        <v>35</v>
      </c>
      <c r="AA139" s="10">
        <v>52.3</v>
      </c>
      <c r="AB139" s="10">
        <v>36.1</v>
      </c>
    </row>
    <row r="140" spans="1:28">
      <c r="A140">
        <v>6.8</v>
      </c>
      <c r="B140">
        <v>-0.64</v>
      </c>
      <c r="C140">
        <v>-0.76</v>
      </c>
      <c r="D140">
        <v>4.6399999999999997</v>
      </c>
      <c r="E140">
        <v>-0.14000000000000001</v>
      </c>
      <c r="F140">
        <v>59.2</v>
      </c>
      <c r="G140">
        <v>36.200000000000003</v>
      </c>
      <c r="H140">
        <v>34.5</v>
      </c>
      <c r="I140">
        <v>9</v>
      </c>
      <c r="J140">
        <v>82.5</v>
      </c>
      <c r="K140" s="18">
        <v>9.856350594099565</v>
      </c>
      <c r="L140">
        <v>9.86</v>
      </c>
      <c r="M140" s="19">
        <v>3.6494059004343882E-3</v>
      </c>
      <c r="P140" s="9">
        <v>5</v>
      </c>
      <c r="Q140" s="9" t="s">
        <v>98</v>
      </c>
      <c r="R140" s="9">
        <v>10.199999999999999</v>
      </c>
      <c r="S140" s="9">
        <v>6.43</v>
      </c>
      <c r="T140" s="9">
        <v>-0.22</v>
      </c>
      <c r="U140" s="9">
        <v>-0.6</v>
      </c>
      <c r="V140" s="9">
        <v>4.6399999999999997</v>
      </c>
      <c r="W140" s="9">
        <v>-0.03</v>
      </c>
      <c r="X140" s="9">
        <v>64.900000000000006</v>
      </c>
      <c r="Y140" s="9">
        <v>29.1</v>
      </c>
      <c r="Z140" s="9">
        <v>35.1</v>
      </c>
      <c r="AA140" s="10">
        <v>58.3</v>
      </c>
      <c r="AB140" s="10">
        <v>22.1</v>
      </c>
    </row>
    <row r="141" spans="1:28">
      <c r="A141">
        <v>6.15</v>
      </c>
      <c r="B141">
        <v>-0.28000000000000003</v>
      </c>
      <c r="C141">
        <v>-0.48</v>
      </c>
      <c r="D141">
        <v>4.6399999999999997</v>
      </c>
      <c r="E141">
        <v>-0.01</v>
      </c>
      <c r="F141">
        <v>75.099999999999994</v>
      </c>
      <c r="G141">
        <v>27.3</v>
      </c>
      <c r="H141">
        <v>34.700000000000003</v>
      </c>
      <c r="I141">
        <v>10.5</v>
      </c>
      <c r="J141">
        <v>84</v>
      </c>
      <c r="K141" s="18">
        <v>9.9609586760425977</v>
      </c>
      <c r="L141">
        <v>9.98</v>
      </c>
      <c r="M141" s="19">
        <v>1.9041323957402767E-2</v>
      </c>
      <c r="P141" s="9">
        <v>5</v>
      </c>
      <c r="Q141" s="9" t="s">
        <v>99</v>
      </c>
      <c r="R141" s="9">
        <v>9.76</v>
      </c>
      <c r="S141" s="9">
        <v>6.05</v>
      </c>
      <c r="T141" s="9">
        <v>-0.1</v>
      </c>
      <c r="U141" s="9">
        <v>-0.75</v>
      </c>
      <c r="V141" s="9">
        <v>4.6399999999999997</v>
      </c>
      <c r="W141" s="9">
        <v>-0.08</v>
      </c>
      <c r="X141" s="9">
        <v>55.9</v>
      </c>
      <c r="Y141" s="9">
        <v>15.7</v>
      </c>
      <c r="Z141" s="9">
        <v>34.9</v>
      </c>
      <c r="AA141" s="10">
        <v>61.2</v>
      </c>
      <c r="AB141" s="10">
        <v>17.7</v>
      </c>
    </row>
    <row r="142" spans="1:28">
      <c r="A142">
        <v>5.42</v>
      </c>
      <c r="B142">
        <v>-0.18</v>
      </c>
      <c r="C142">
        <v>-0.27</v>
      </c>
      <c r="D142">
        <v>4.6399999999999997</v>
      </c>
      <c r="E142">
        <v>-0.06</v>
      </c>
      <c r="F142">
        <v>57.4</v>
      </c>
      <c r="G142">
        <v>26.4</v>
      </c>
      <c r="H142">
        <v>35.1</v>
      </c>
      <c r="I142">
        <v>48</v>
      </c>
      <c r="J142">
        <v>9.9</v>
      </c>
      <c r="K142" s="18">
        <v>9.5311958600429847</v>
      </c>
      <c r="L142">
        <v>9.5299999999999994</v>
      </c>
      <c r="M142" s="19">
        <v>-1.1958600429853306E-3</v>
      </c>
      <c r="P142" s="9">
        <v>5</v>
      </c>
      <c r="Q142" s="9" t="s">
        <v>100</v>
      </c>
      <c r="R142" s="9">
        <v>10.26</v>
      </c>
      <c r="S142" s="9">
        <v>6.59</v>
      </c>
      <c r="T142" s="9">
        <v>-0.06</v>
      </c>
      <c r="U142" s="9">
        <v>-0.88</v>
      </c>
      <c r="V142" s="9">
        <v>4.6399999999999997</v>
      </c>
      <c r="W142" s="9">
        <v>0.02</v>
      </c>
      <c r="X142" s="9">
        <v>49</v>
      </c>
      <c r="Y142" s="9">
        <v>16</v>
      </c>
      <c r="Z142" s="9">
        <v>34.6</v>
      </c>
      <c r="AA142" s="10">
        <v>51.5</v>
      </c>
      <c r="AB142" s="10">
        <v>17.3</v>
      </c>
    </row>
    <row r="143" spans="1:28">
      <c r="A143">
        <v>5.12</v>
      </c>
      <c r="B143">
        <v>-0.04</v>
      </c>
      <c r="C143">
        <v>0.03</v>
      </c>
      <c r="D143">
        <v>4.6399999999999997</v>
      </c>
      <c r="E143">
        <v>-0.03</v>
      </c>
      <c r="F143">
        <v>55.9</v>
      </c>
      <c r="G143">
        <v>14.9</v>
      </c>
      <c r="H143">
        <v>33</v>
      </c>
      <c r="I143">
        <v>55.1</v>
      </c>
      <c r="J143">
        <v>17.8</v>
      </c>
      <c r="K143" s="18">
        <v>9.738872898856858</v>
      </c>
      <c r="L143">
        <v>9.73</v>
      </c>
      <c r="M143" s="19">
        <v>-8.8728988568576028E-3</v>
      </c>
      <c r="P143" s="9">
        <v>5</v>
      </c>
      <c r="Q143" s="9" t="s">
        <v>101</v>
      </c>
      <c r="R143" s="9">
        <v>9.89</v>
      </c>
      <c r="S143" s="9">
        <v>6.64</v>
      </c>
      <c r="T143" s="9">
        <v>0.25</v>
      </c>
      <c r="U143" s="9">
        <v>-1.59</v>
      </c>
      <c r="V143" s="9">
        <v>4.6399999999999997</v>
      </c>
      <c r="W143" s="9">
        <v>-0.04</v>
      </c>
      <c r="X143" s="9">
        <v>57.8</v>
      </c>
      <c r="Y143" s="9">
        <v>28.9</v>
      </c>
      <c r="Z143" s="9">
        <v>34.4</v>
      </c>
      <c r="AA143" s="10">
        <v>53.4</v>
      </c>
      <c r="AB143" s="10">
        <v>19.899999999999999</v>
      </c>
    </row>
    <row r="144" spans="1:28">
      <c r="A144">
        <v>5.4</v>
      </c>
      <c r="B144">
        <v>-0.06</v>
      </c>
      <c r="C144">
        <v>-0.05</v>
      </c>
      <c r="D144">
        <v>4.6399999999999997</v>
      </c>
      <c r="E144">
        <v>0.04</v>
      </c>
      <c r="F144">
        <v>58.3</v>
      </c>
      <c r="G144">
        <v>23.9</v>
      </c>
      <c r="H144">
        <v>34.9</v>
      </c>
      <c r="I144">
        <v>57.9</v>
      </c>
      <c r="J144">
        <v>14.6</v>
      </c>
      <c r="K144" s="18">
        <v>9.9580551513442916</v>
      </c>
      <c r="L144">
        <v>9.9600000000000009</v>
      </c>
      <c r="M144" s="19">
        <v>1.9448486557092082E-3</v>
      </c>
      <c r="P144" s="9">
        <v>6</v>
      </c>
      <c r="Q144" s="9" t="s">
        <v>33</v>
      </c>
      <c r="R144" s="9">
        <v>10.210000000000001</v>
      </c>
      <c r="S144" s="9">
        <v>6.26</v>
      </c>
      <c r="T144" s="9">
        <v>-0.31</v>
      </c>
      <c r="U144" s="9">
        <v>-0.25</v>
      </c>
      <c r="V144" s="9">
        <v>4.5999999999999996</v>
      </c>
      <c r="W144" s="9">
        <v>-0.1</v>
      </c>
      <c r="X144" s="9">
        <v>49.1</v>
      </c>
      <c r="Y144" s="9">
        <v>11.7</v>
      </c>
      <c r="Z144" s="9">
        <v>32.700000000000003</v>
      </c>
      <c r="AA144" s="10">
        <v>55.3</v>
      </c>
      <c r="AB144" s="10">
        <v>22.5</v>
      </c>
    </row>
    <row r="145" spans="1:28">
      <c r="A145">
        <v>5.21</v>
      </c>
      <c r="B145">
        <v>-0.02</v>
      </c>
      <c r="C145">
        <v>-0.08</v>
      </c>
      <c r="D145">
        <v>4.6399999999999997</v>
      </c>
      <c r="E145">
        <v>0</v>
      </c>
      <c r="F145">
        <v>54.2</v>
      </c>
      <c r="G145">
        <v>12.4</v>
      </c>
      <c r="H145">
        <v>33.6</v>
      </c>
      <c r="I145">
        <v>60</v>
      </c>
      <c r="J145">
        <v>27.4</v>
      </c>
      <c r="K145" s="18">
        <v>9.7668892111504935</v>
      </c>
      <c r="L145">
        <v>9.76</v>
      </c>
      <c r="M145" s="19">
        <v>-6.8892111504936793E-3</v>
      </c>
      <c r="P145" s="9">
        <v>6</v>
      </c>
      <c r="Q145" s="9" t="s">
        <v>36</v>
      </c>
      <c r="R145" s="9">
        <v>9.49</v>
      </c>
      <c r="S145" s="9">
        <v>6.26</v>
      </c>
      <c r="T145" s="9">
        <v>-0.32</v>
      </c>
      <c r="U145" s="9">
        <v>-0.81</v>
      </c>
      <c r="V145" s="9">
        <v>4.5999999999999996</v>
      </c>
      <c r="W145" s="9">
        <v>-0.25</v>
      </c>
      <c r="X145" s="9">
        <v>61.1</v>
      </c>
      <c r="Y145" s="9">
        <v>22.2</v>
      </c>
      <c r="Z145" s="9">
        <v>32.200000000000003</v>
      </c>
      <c r="AA145" s="10">
        <v>58.5</v>
      </c>
      <c r="AB145" s="10">
        <v>30.1</v>
      </c>
    </row>
    <row r="146" spans="1:28">
      <c r="A146">
        <v>5.03</v>
      </c>
      <c r="B146">
        <v>-0.01</v>
      </c>
      <c r="C146">
        <v>0.14000000000000001</v>
      </c>
      <c r="D146">
        <v>4.6399999999999997</v>
      </c>
      <c r="E146">
        <v>0.01</v>
      </c>
      <c r="F146">
        <v>48</v>
      </c>
      <c r="G146">
        <v>9.4</v>
      </c>
      <c r="H146">
        <v>34.4</v>
      </c>
      <c r="I146">
        <v>53.8</v>
      </c>
      <c r="J146">
        <v>28.7</v>
      </c>
      <c r="K146" s="18">
        <v>9.8319287202979968</v>
      </c>
      <c r="L146">
        <v>9.82</v>
      </c>
      <c r="M146" s="19">
        <v>-1.192872029799652E-2</v>
      </c>
      <c r="P146" s="9">
        <v>6</v>
      </c>
      <c r="Q146" s="9" t="s">
        <v>37</v>
      </c>
      <c r="R146" s="9">
        <v>9.6300000000000008</v>
      </c>
      <c r="S146" s="9">
        <v>6.04</v>
      </c>
      <c r="T146" s="9">
        <v>-0.32</v>
      </c>
      <c r="U146" s="9">
        <v>-0.6</v>
      </c>
      <c r="V146" s="9">
        <v>4.5999999999999996</v>
      </c>
      <c r="W146" s="9">
        <v>-0.1</v>
      </c>
      <c r="X146" s="9">
        <v>62.5</v>
      </c>
      <c r="Y146" s="9">
        <v>21.7</v>
      </c>
      <c r="Z146" s="9">
        <v>33.5</v>
      </c>
      <c r="AA146" s="10">
        <v>63.8</v>
      </c>
      <c r="AB146" s="10">
        <v>26.5</v>
      </c>
    </row>
    <row r="147" spans="1:28">
      <c r="A147">
        <v>5.16</v>
      </c>
      <c r="B147">
        <v>-0.1</v>
      </c>
      <c r="C147">
        <v>0.13</v>
      </c>
      <c r="D147">
        <v>4.6399999999999997</v>
      </c>
      <c r="E147">
        <v>0.03</v>
      </c>
      <c r="F147">
        <v>44.8</v>
      </c>
      <c r="G147">
        <v>14.5</v>
      </c>
      <c r="H147">
        <v>34.799999999999997</v>
      </c>
      <c r="I147">
        <v>73.8</v>
      </c>
      <c r="J147">
        <v>24</v>
      </c>
      <c r="K147" s="18">
        <v>9.8821767043842748</v>
      </c>
      <c r="L147">
        <v>9.8699999999999992</v>
      </c>
      <c r="M147" s="19">
        <v>-1.2176704384275538E-2</v>
      </c>
      <c r="P147" s="9">
        <v>6</v>
      </c>
      <c r="Q147" s="9" t="s">
        <v>39</v>
      </c>
      <c r="R147" s="9">
        <v>10.01</v>
      </c>
      <c r="S147" s="9">
        <v>5.98</v>
      </c>
      <c r="T147" s="9">
        <v>-0.17</v>
      </c>
      <c r="U147" s="9">
        <v>-0.34</v>
      </c>
      <c r="V147" s="9">
        <v>4.5999999999999996</v>
      </c>
      <c r="W147" s="9">
        <v>-7.0000000000000007E-2</v>
      </c>
      <c r="X147" s="9">
        <v>64.400000000000006</v>
      </c>
      <c r="Y147" s="9">
        <v>22.9</v>
      </c>
      <c r="Z147" s="9">
        <v>33.1</v>
      </c>
      <c r="AA147" s="10">
        <v>51.9</v>
      </c>
      <c r="AB147" s="10">
        <v>21.7</v>
      </c>
    </row>
    <row r="148" spans="1:28">
      <c r="A148">
        <v>4.47</v>
      </c>
      <c r="B148">
        <v>0.14000000000000001</v>
      </c>
      <c r="C148">
        <v>0.67</v>
      </c>
      <c r="D148">
        <v>4.6399999999999997</v>
      </c>
      <c r="E148">
        <v>7.0000000000000007E-2</v>
      </c>
      <c r="F148">
        <v>51.5</v>
      </c>
      <c r="G148">
        <v>8.9</v>
      </c>
      <c r="H148">
        <v>35.5</v>
      </c>
      <c r="I148">
        <v>55</v>
      </c>
      <c r="J148">
        <v>23.9</v>
      </c>
      <c r="K148" s="18">
        <v>10.002702580569194</v>
      </c>
      <c r="L148">
        <v>10</v>
      </c>
      <c r="M148" s="19">
        <v>-2.7025805691938132E-3</v>
      </c>
      <c r="P148" s="9">
        <v>6</v>
      </c>
      <c r="Q148" s="9" t="s">
        <v>40</v>
      </c>
      <c r="R148" s="9">
        <v>9.85</v>
      </c>
      <c r="S148" s="9">
        <v>6.83</v>
      </c>
      <c r="T148" s="9">
        <v>-0.62</v>
      </c>
      <c r="U148" s="9">
        <v>-0.75</v>
      </c>
      <c r="V148" s="9">
        <v>4.5999999999999996</v>
      </c>
      <c r="W148" s="9">
        <v>-0.21</v>
      </c>
      <c r="X148" s="9">
        <v>61.2</v>
      </c>
      <c r="Y148" s="9">
        <v>31.9</v>
      </c>
      <c r="Z148" s="9">
        <v>34.299999999999997</v>
      </c>
      <c r="AA148" s="10">
        <v>50.5</v>
      </c>
      <c r="AB148" s="10">
        <v>16.899999999999999</v>
      </c>
    </row>
    <row r="149" spans="1:28">
      <c r="A149">
        <v>5</v>
      </c>
      <c r="B149">
        <v>-0.06</v>
      </c>
      <c r="C149">
        <v>0.39</v>
      </c>
      <c r="D149">
        <v>4.6399999999999997</v>
      </c>
      <c r="E149">
        <v>0.03</v>
      </c>
      <c r="F149">
        <v>46.5</v>
      </c>
      <c r="G149">
        <v>10.5</v>
      </c>
      <c r="H149">
        <v>35.1</v>
      </c>
      <c r="I149">
        <v>52.8</v>
      </c>
      <c r="J149">
        <v>20.2</v>
      </c>
      <c r="K149" s="18">
        <v>10.018967803976407</v>
      </c>
      <c r="L149">
        <v>10.02</v>
      </c>
      <c r="M149" s="19">
        <v>1.032196023592391E-3</v>
      </c>
      <c r="P149" s="9">
        <v>6</v>
      </c>
      <c r="Q149" s="9" t="s">
        <v>41</v>
      </c>
      <c r="R149" s="9">
        <v>9.84</v>
      </c>
      <c r="S149" s="9">
        <v>6.2</v>
      </c>
      <c r="T149" s="9">
        <v>-0.28999999999999998</v>
      </c>
      <c r="U149" s="9">
        <v>-0.49</v>
      </c>
      <c r="V149" s="9">
        <v>4.5999999999999996</v>
      </c>
      <c r="W149" s="9">
        <v>-0.02</v>
      </c>
      <c r="X149" s="9">
        <v>77.3</v>
      </c>
      <c r="Y149" s="9">
        <v>25.7</v>
      </c>
      <c r="Z149" s="9">
        <v>34.4</v>
      </c>
      <c r="AA149" s="10">
        <v>55.8</v>
      </c>
      <c r="AB149" s="10">
        <v>30.8</v>
      </c>
    </row>
    <row r="150" spans="1:28">
      <c r="A150">
        <v>5.24</v>
      </c>
      <c r="B150">
        <v>-0.14000000000000001</v>
      </c>
      <c r="C150">
        <v>-0.3</v>
      </c>
      <c r="D150">
        <v>4.6399999999999997</v>
      </c>
      <c r="E150">
        <v>-0.1</v>
      </c>
      <c r="F150">
        <v>67.5</v>
      </c>
      <c r="G150">
        <v>21.9</v>
      </c>
      <c r="H150">
        <v>34.9</v>
      </c>
      <c r="I150">
        <v>53.3</v>
      </c>
      <c r="J150">
        <v>22.7</v>
      </c>
      <c r="K150" s="18">
        <v>9.3128048081134391</v>
      </c>
      <c r="L150">
        <v>9.33</v>
      </c>
      <c r="M150" s="19">
        <v>1.7195191886560934E-2</v>
      </c>
      <c r="P150" s="9">
        <v>6</v>
      </c>
      <c r="Q150" s="9" t="s">
        <v>42</v>
      </c>
      <c r="R150" s="9">
        <v>9.59</v>
      </c>
      <c r="S150" s="9">
        <v>5.49</v>
      </c>
      <c r="T150" s="9">
        <v>-0.19</v>
      </c>
      <c r="U150" s="9">
        <v>-0.28000000000000003</v>
      </c>
      <c r="V150" s="9">
        <v>4.5999999999999996</v>
      </c>
      <c r="W150" s="9">
        <v>-0.04</v>
      </c>
      <c r="X150" s="9">
        <v>58.2</v>
      </c>
      <c r="Y150" s="9">
        <v>26.7</v>
      </c>
      <c r="Z150" s="9">
        <v>34</v>
      </c>
      <c r="AA150" s="9">
        <v>34.200000000000003</v>
      </c>
      <c r="AB150" s="9">
        <v>83.3</v>
      </c>
    </row>
    <row r="151" spans="1:28">
      <c r="A151">
        <v>4.9400000000000004</v>
      </c>
      <c r="B151">
        <v>-0.09</v>
      </c>
      <c r="C151">
        <v>0.11</v>
      </c>
      <c r="D151">
        <v>4.6399999999999997</v>
      </c>
      <c r="E151">
        <v>-0.05</v>
      </c>
      <c r="F151">
        <v>69.099999999999994</v>
      </c>
      <c r="G151">
        <v>33.1</v>
      </c>
      <c r="H151">
        <v>33.700000000000003</v>
      </c>
      <c r="I151">
        <v>51.2</v>
      </c>
      <c r="J151">
        <v>13.5</v>
      </c>
      <c r="K151" s="18">
        <v>9.5254401459096396</v>
      </c>
      <c r="L151">
        <v>9.57</v>
      </c>
      <c r="M151" s="19">
        <v>4.4559854090360673E-2</v>
      </c>
      <c r="P151" s="9">
        <v>6</v>
      </c>
      <c r="Q151" s="9" t="s">
        <v>43</v>
      </c>
      <c r="R151" s="9">
        <v>9.66</v>
      </c>
      <c r="S151" s="9">
        <v>5.13</v>
      </c>
      <c r="T151" s="9">
        <v>-0.04</v>
      </c>
      <c r="U151" s="9">
        <v>0.03</v>
      </c>
      <c r="V151" s="9">
        <v>4.5999999999999996</v>
      </c>
      <c r="W151" s="9">
        <v>-0.06</v>
      </c>
      <c r="X151" s="9">
        <v>55.5</v>
      </c>
      <c r="Y151" s="9">
        <v>15</v>
      </c>
      <c r="Z151" s="9">
        <v>33.299999999999997</v>
      </c>
      <c r="AA151" s="9">
        <v>35.200000000000003</v>
      </c>
      <c r="AB151" s="9">
        <v>80.8</v>
      </c>
    </row>
    <row r="152" spans="1:28">
      <c r="A152">
        <v>5.26</v>
      </c>
      <c r="B152">
        <v>-0.03</v>
      </c>
      <c r="C152">
        <v>0</v>
      </c>
      <c r="D152">
        <v>4.6399999999999997</v>
      </c>
      <c r="E152">
        <v>-0.19</v>
      </c>
      <c r="F152">
        <v>65.400000000000006</v>
      </c>
      <c r="G152">
        <v>22.5</v>
      </c>
      <c r="H152">
        <v>35.1</v>
      </c>
      <c r="I152">
        <v>47</v>
      </c>
      <c r="J152">
        <v>8.4</v>
      </c>
      <c r="K152" s="18">
        <v>9.662316625412684</v>
      </c>
      <c r="L152">
        <v>9.66</v>
      </c>
      <c r="M152" s="19">
        <v>-2.3166254126838481E-3</v>
      </c>
      <c r="P152" s="9">
        <v>6</v>
      </c>
      <c r="Q152" s="9" t="s">
        <v>44</v>
      </c>
      <c r="R152" s="9">
        <v>9.7899999999999991</v>
      </c>
      <c r="S152" s="9">
        <v>5.4</v>
      </c>
      <c r="T152" s="9">
        <v>-7.0000000000000007E-2</v>
      </c>
      <c r="U152" s="9">
        <v>-0.06</v>
      </c>
      <c r="V152" s="9">
        <v>4.5999999999999996</v>
      </c>
      <c r="W152" s="9">
        <v>-0.03</v>
      </c>
      <c r="X152" s="9">
        <v>61</v>
      </c>
      <c r="Y152" s="9">
        <v>25.4</v>
      </c>
      <c r="Z152" s="9">
        <v>34.4</v>
      </c>
      <c r="AA152" s="9">
        <v>36.6</v>
      </c>
      <c r="AB152" s="9">
        <v>81.400000000000006</v>
      </c>
    </row>
    <row r="153" spans="1:28">
      <c r="A153">
        <v>5.47</v>
      </c>
      <c r="B153">
        <v>-0.13</v>
      </c>
      <c r="C153">
        <v>-0.03</v>
      </c>
      <c r="D153">
        <v>4.6399999999999997</v>
      </c>
      <c r="E153">
        <v>-0.03</v>
      </c>
      <c r="F153">
        <v>64.2</v>
      </c>
      <c r="G153">
        <v>20.8</v>
      </c>
      <c r="H153">
        <v>35.200000000000003</v>
      </c>
      <c r="I153">
        <v>43.8</v>
      </c>
      <c r="J153">
        <v>12.9</v>
      </c>
      <c r="K153" s="18">
        <v>9.8973780719139572</v>
      </c>
      <c r="L153">
        <v>9.91</v>
      </c>
      <c r="M153" s="19">
        <v>1.26219280860429E-2</v>
      </c>
      <c r="P153" s="9">
        <v>6</v>
      </c>
      <c r="Q153" s="9" t="s">
        <v>45</v>
      </c>
      <c r="R153" s="9">
        <v>9.81</v>
      </c>
      <c r="S153" s="9">
        <v>5.28</v>
      </c>
      <c r="T153" s="9">
        <v>-0.02</v>
      </c>
      <c r="U153" s="9">
        <v>-0.08</v>
      </c>
      <c r="V153" s="9">
        <v>4.5999999999999996</v>
      </c>
      <c r="W153" s="9">
        <v>0.02</v>
      </c>
      <c r="X153" s="9">
        <v>55.2</v>
      </c>
      <c r="Y153" s="9">
        <v>13.2</v>
      </c>
      <c r="Z153" s="9">
        <v>33</v>
      </c>
      <c r="AA153" s="9">
        <v>33.700000000000003</v>
      </c>
      <c r="AB153" s="9">
        <v>82</v>
      </c>
    </row>
    <row r="154" spans="1:28">
      <c r="A154">
        <v>5.43</v>
      </c>
      <c r="B154">
        <v>-0.15</v>
      </c>
      <c r="C154">
        <v>-0.16</v>
      </c>
      <c r="D154">
        <v>4.6399999999999997</v>
      </c>
      <c r="E154">
        <v>-0.1</v>
      </c>
      <c r="F154">
        <v>64.5</v>
      </c>
      <c r="G154">
        <v>21</v>
      </c>
      <c r="H154">
        <v>33.4</v>
      </c>
      <c r="I154">
        <v>50.5</v>
      </c>
      <c r="J154">
        <v>7.5</v>
      </c>
      <c r="K154" s="18">
        <v>9.6554488421909337</v>
      </c>
      <c r="L154">
        <v>9.67</v>
      </c>
      <c r="M154" s="19">
        <v>1.455115780906624E-2</v>
      </c>
      <c r="P154" s="9">
        <v>6</v>
      </c>
      <c r="Q154" s="9" t="s">
        <v>47</v>
      </c>
      <c r="R154" s="9">
        <v>9.7799999999999994</v>
      </c>
      <c r="S154" s="9">
        <v>5.03</v>
      </c>
      <c r="T154" s="9">
        <v>-0.01</v>
      </c>
      <c r="U154" s="9">
        <v>0.13</v>
      </c>
      <c r="V154" s="9">
        <v>4.5999999999999996</v>
      </c>
      <c r="W154" s="9">
        <v>0.01</v>
      </c>
      <c r="X154" s="9">
        <v>49.8</v>
      </c>
      <c r="Y154" s="9">
        <v>8.4</v>
      </c>
      <c r="Z154" s="9">
        <v>33.700000000000003</v>
      </c>
      <c r="AA154" s="9">
        <v>32.200000000000003</v>
      </c>
      <c r="AB154" s="9">
        <v>81.599999999999994</v>
      </c>
    </row>
    <row r="155" spans="1:28">
      <c r="A155">
        <v>5.24</v>
      </c>
      <c r="B155">
        <v>-0.08</v>
      </c>
      <c r="C155">
        <v>-0.2</v>
      </c>
      <c r="D155">
        <v>4.6399999999999997</v>
      </c>
      <c r="E155">
        <v>-7.0000000000000007E-2</v>
      </c>
      <c r="F155">
        <v>61.4</v>
      </c>
      <c r="G155">
        <v>29.8</v>
      </c>
      <c r="H155">
        <v>35.200000000000003</v>
      </c>
      <c r="I155">
        <v>46.1</v>
      </c>
      <c r="J155">
        <v>8.9</v>
      </c>
      <c r="K155" s="18">
        <v>9.5028547011587321</v>
      </c>
      <c r="L155">
        <v>9.49</v>
      </c>
      <c r="M155" s="19">
        <v>-1.2854701158731885E-2</v>
      </c>
      <c r="P155" s="9">
        <v>6</v>
      </c>
      <c r="Q155" s="9" t="s">
        <v>49</v>
      </c>
      <c r="R155" s="9">
        <v>9.77</v>
      </c>
      <c r="S155" s="9">
        <v>5.12</v>
      </c>
      <c r="T155" s="9">
        <v>-0.08</v>
      </c>
      <c r="U155" s="9">
        <v>0.12</v>
      </c>
      <c r="V155" s="9">
        <v>4.5999999999999996</v>
      </c>
      <c r="W155" s="9">
        <v>0</v>
      </c>
      <c r="X155" s="9">
        <v>46.9</v>
      </c>
      <c r="Y155" s="9">
        <v>14.4</v>
      </c>
      <c r="Z155" s="9">
        <v>34.200000000000003</v>
      </c>
      <c r="AA155" s="9">
        <v>32.200000000000003</v>
      </c>
      <c r="AB155" s="9">
        <v>81.7</v>
      </c>
    </row>
    <row r="156" spans="1:28">
      <c r="A156">
        <v>5.31</v>
      </c>
      <c r="B156">
        <v>0.01</v>
      </c>
      <c r="C156">
        <v>-0.09</v>
      </c>
      <c r="D156">
        <v>4.6399999999999997</v>
      </c>
      <c r="E156">
        <v>0.02</v>
      </c>
      <c r="F156">
        <v>63.4</v>
      </c>
      <c r="G156">
        <v>26</v>
      </c>
      <c r="H156">
        <v>36.1</v>
      </c>
      <c r="I156">
        <v>66.400000000000006</v>
      </c>
      <c r="J156">
        <v>17.7</v>
      </c>
      <c r="K156" s="18">
        <v>9.8598828586049656</v>
      </c>
      <c r="L156">
        <v>9.8000000000000007</v>
      </c>
      <c r="M156" s="19">
        <v>-5.9882858604964895E-2</v>
      </c>
      <c r="P156" s="9">
        <v>6</v>
      </c>
      <c r="Q156" s="9" t="s">
        <v>51</v>
      </c>
      <c r="R156" s="9">
        <v>9.98</v>
      </c>
      <c r="S156" s="9">
        <v>4.4800000000000004</v>
      </c>
      <c r="T156" s="9">
        <v>0.16</v>
      </c>
      <c r="U156" s="9">
        <v>0.66</v>
      </c>
      <c r="V156" s="9">
        <v>4.5999999999999996</v>
      </c>
      <c r="W156" s="9">
        <v>7.0000000000000007E-2</v>
      </c>
      <c r="X156" s="9">
        <v>53.1</v>
      </c>
      <c r="Y156" s="9">
        <v>9.5</v>
      </c>
      <c r="Z156" s="9">
        <v>35.200000000000003</v>
      </c>
      <c r="AA156" s="9">
        <v>34.1</v>
      </c>
      <c r="AB156" s="9">
        <v>80.400000000000006</v>
      </c>
    </row>
    <row r="157" spans="1:28">
      <c r="A157">
        <v>5.03</v>
      </c>
      <c r="B157">
        <v>-0.04</v>
      </c>
      <c r="C157">
        <v>0.11</v>
      </c>
      <c r="D157">
        <v>4.6399999999999997</v>
      </c>
      <c r="E157">
        <v>0.03</v>
      </c>
      <c r="F157">
        <v>56.5</v>
      </c>
      <c r="G157">
        <v>16.7</v>
      </c>
      <c r="H157">
        <v>35.5</v>
      </c>
      <c r="I157">
        <v>66.3</v>
      </c>
      <c r="J157">
        <v>29.3</v>
      </c>
      <c r="K157" s="18">
        <v>9.7637042365964852</v>
      </c>
      <c r="L157">
        <v>9.75</v>
      </c>
      <c r="M157" s="19">
        <v>-1.3704236596485231E-2</v>
      </c>
      <c r="P157" s="9">
        <v>6</v>
      </c>
      <c r="Q157" s="9" t="s">
        <v>53</v>
      </c>
      <c r="R157" s="9">
        <v>10.02</v>
      </c>
      <c r="S157" s="9">
        <v>5.0199999999999996</v>
      </c>
      <c r="T157" s="9">
        <v>-0.06</v>
      </c>
      <c r="U157" s="9">
        <v>0.38</v>
      </c>
      <c r="V157" s="9">
        <v>4.5999999999999996</v>
      </c>
      <c r="W157" s="9">
        <v>0.06</v>
      </c>
      <c r="X157" s="9">
        <v>48.2</v>
      </c>
      <c r="Y157" s="9">
        <v>10.4</v>
      </c>
      <c r="Z157" s="9">
        <v>34</v>
      </c>
      <c r="AA157" s="9">
        <v>33.9</v>
      </c>
      <c r="AB157" s="9">
        <v>80.900000000000006</v>
      </c>
    </row>
    <row r="158" spans="1:28">
      <c r="A158">
        <v>4.84</v>
      </c>
      <c r="B158">
        <v>0.2</v>
      </c>
      <c r="C158">
        <v>0.27</v>
      </c>
      <c r="D158">
        <v>4.6399999999999997</v>
      </c>
      <c r="E158">
        <v>0.05</v>
      </c>
      <c r="F158">
        <v>53.1</v>
      </c>
      <c r="G158">
        <v>13.6</v>
      </c>
      <c r="H158">
        <v>34.700000000000003</v>
      </c>
      <c r="I158">
        <v>63.7</v>
      </c>
      <c r="J158">
        <v>21.1</v>
      </c>
      <c r="K158" s="18">
        <v>10.013777534218027</v>
      </c>
      <c r="L158">
        <v>10.01</v>
      </c>
      <c r="M158" s="19">
        <v>-3.7775342180275118E-3</v>
      </c>
      <c r="P158" s="9">
        <v>6</v>
      </c>
      <c r="Q158" s="9" t="s">
        <v>55</v>
      </c>
      <c r="R158" s="9">
        <v>9.35</v>
      </c>
      <c r="S158" s="9">
        <v>5.31</v>
      </c>
      <c r="T158" s="9">
        <v>-0.14000000000000001</v>
      </c>
      <c r="U158" s="9">
        <v>-0.31</v>
      </c>
      <c r="V158" s="9">
        <v>4.5999999999999996</v>
      </c>
      <c r="W158" s="9">
        <v>-0.08</v>
      </c>
      <c r="X158" s="9">
        <v>69.900000000000006</v>
      </c>
      <c r="Y158" s="9">
        <v>22</v>
      </c>
      <c r="Z158" s="9">
        <v>33.5</v>
      </c>
      <c r="AA158" s="9">
        <v>38.6</v>
      </c>
      <c r="AB158" s="9">
        <v>82.9</v>
      </c>
    </row>
    <row r="159" spans="1:28">
      <c r="A159">
        <v>5.15</v>
      </c>
      <c r="B159">
        <v>0.01</v>
      </c>
      <c r="C159">
        <v>0.01</v>
      </c>
      <c r="D159">
        <v>4.6399999999999997</v>
      </c>
      <c r="E159">
        <v>-0.02</v>
      </c>
      <c r="F159">
        <v>60.4</v>
      </c>
      <c r="G159">
        <v>18.399999999999999</v>
      </c>
      <c r="H159">
        <v>33.799999999999997</v>
      </c>
      <c r="I159">
        <v>61.2</v>
      </c>
      <c r="J159">
        <v>19.600000000000001</v>
      </c>
      <c r="K159" s="18">
        <v>9.7932501186265348</v>
      </c>
      <c r="L159">
        <v>9.81</v>
      </c>
      <c r="M159" s="19">
        <v>1.6749881373465669E-2</v>
      </c>
      <c r="P159" s="9">
        <v>6</v>
      </c>
      <c r="Q159" s="9" t="s">
        <v>57</v>
      </c>
      <c r="R159" s="9">
        <v>9.6199999999999992</v>
      </c>
      <c r="S159" s="9">
        <v>4.9800000000000004</v>
      </c>
      <c r="T159" s="9">
        <v>-7.0000000000000007E-2</v>
      </c>
      <c r="U159" s="9">
        <v>0.12</v>
      </c>
      <c r="V159" s="9">
        <v>4.5999999999999996</v>
      </c>
      <c r="W159" s="9">
        <v>0</v>
      </c>
      <c r="X159" s="9">
        <v>71.8</v>
      </c>
      <c r="Y159" s="9">
        <v>31.9</v>
      </c>
      <c r="Z159" s="9">
        <v>33.5</v>
      </c>
      <c r="AA159" s="9">
        <v>39.4</v>
      </c>
      <c r="AB159" s="9">
        <v>81.900000000000006</v>
      </c>
    </row>
    <row r="160" spans="1:28">
      <c r="A160">
        <v>5.22</v>
      </c>
      <c r="B160">
        <v>7.0000000000000007E-2</v>
      </c>
      <c r="C160">
        <v>-0.15</v>
      </c>
      <c r="D160">
        <v>4.6399999999999997</v>
      </c>
      <c r="E160">
        <v>-0.06</v>
      </c>
      <c r="F160">
        <v>62.2</v>
      </c>
      <c r="G160">
        <v>20.100000000000001</v>
      </c>
      <c r="H160">
        <v>34.9</v>
      </c>
      <c r="I160">
        <v>65.099999999999994</v>
      </c>
      <c r="J160">
        <v>18.899999999999999</v>
      </c>
      <c r="K160" s="18">
        <v>9.710055106255739</v>
      </c>
      <c r="L160">
        <v>9.73</v>
      </c>
      <c r="M160" s="19">
        <v>1.9944893744261449E-2</v>
      </c>
      <c r="P160" s="9">
        <v>6</v>
      </c>
      <c r="Q160" s="9" t="s">
        <v>58</v>
      </c>
      <c r="R160" s="9">
        <v>9.94</v>
      </c>
      <c r="S160" s="9">
        <v>5.33</v>
      </c>
      <c r="T160" s="9">
        <v>-0.02</v>
      </c>
      <c r="U160" s="9">
        <v>0.03</v>
      </c>
      <c r="V160" s="9">
        <v>4.5999999999999996</v>
      </c>
      <c r="W160" s="9">
        <v>-0.01</v>
      </c>
      <c r="X160" s="9">
        <v>66.599999999999994</v>
      </c>
      <c r="Y160" s="9">
        <v>23.7</v>
      </c>
      <c r="Z160" s="9">
        <v>33.9</v>
      </c>
      <c r="AA160" s="9">
        <v>36</v>
      </c>
      <c r="AB160" s="9">
        <v>81</v>
      </c>
    </row>
    <row r="161" spans="1:28">
      <c r="A161">
        <v>5.36</v>
      </c>
      <c r="B161">
        <v>0.06</v>
      </c>
      <c r="C161">
        <v>0.01</v>
      </c>
      <c r="D161">
        <v>4.6399999999999997</v>
      </c>
      <c r="E161">
        <v>0.02</v>
      </c>
      <c r="F161">
        <v>58.6</v>
      </c>
      <c r="G161">
        <v>17.600000000000001</v>
      </c>
      <c r="H161">
        <v>36.1</v>
      </c>
      <c r="I161">
        <v>58.7</v>
      </c>
      <c r="J161">
        <v>22.5</v>
      </c>
      <c r="K161" s="18">
        <v>10.075008169541817</v>
      </c>
      <c r="L161">
        <v>10.09</v>
      </c>
      <c r="M161" s="19">
        <v>1.499183045818242E-2</v>
      </c>
      <c r="P161" s="9">
        <v>6</v>
      </c>
      <c r="Q161" s="9" t="s">
        <v>60</v>
      </c>
      <c r="R161" s="9">
        <v>10.07</v>
      </c>
      <c r="S161" s="9">
        <v>5.58</v>
      </c>
      <c r="T161" s="9">
        <v>-0.14000000000000001</v>
      </c>
      <c r="U161" s="9">
        <v>-0.03</v>
      </c>
      <c r="V161" s="9">
        <v>4.5999999999999996</v>
      </c>
      <c r="W161" s="9">
        <v>0.05</v>
      </c>
      <c r="X161" s="9">
        <v>65.400000000000006</v>
      </c>
      <c r="Y161" s="9">
        <v>21.9</v>
      </c>
      <c r="Z161" s="9">
        <v>34.200000000000003</v>
      </c>
      <c r="AA161" s="9">
        <v>35.700000000000003</v>
      </c>
      <c r="AB161" s="9">
        <v>79.900000000000006</v>
      </c>
    </row>
    <row r="162" spans="1:28">
      <c r="A162">
        <v>5.33</v>
      </c>
      <c r="B162">
        <v>0.17</v>
      </c>
      <c r="C162">
        <v>0.13</v>
      </c>
      <c r="D162">
        <v>4.6399999999999997</v>
      </c>
      <c r="E162">
        <v>0.01</v>
      </c>
      <c r="F162">
        <v>46.8</v>
      </c>
      <c r="G162">
        <v>12.6</v>
      </c>
      <c r="H162">
        <v>35.5</v>
      </c>
      <c r="I162">
        <v>57</v>
      </c>
      <c r="J162">
        <v>27.4</v>
      </c>
      <c r="K162" s="18">
        <v>10.296100621036633</v>
      </c>
      <c r="L162">
        <v>10.29</v>
      </c>
      <c r="M162" s="19">
        <v>-6.1006210366336688E-3</v>
      </c>
      <c r="P162" s="9">
        <v>6</v>
      </c>
      <c r="Q162" s="9" t="s">
        <v>66</v>
      </c>
      <c r="R162" s="9">
        <v>9.94</v>
      </c>
      <c r="S162" s="9">
        <v>5.54</v>
      </c>
      <c r="T162" s="9">
        <v>-0.15</v>
      </c>
      <c r="U162" s="9">
        <v>-0.14000000000000001</v>
      </c>
      <c r="V162" s="9">
        <v>4.5999999999999996</v>
      </c>
      <c r="W162" s="9">
        <v>0.08</v>
      </c>
      <c r="X162" s="9">
        <v>67.8</v>
      </c>
      <c r="Y162" s="9">
        <v>18.7</v>
      </c>
      <c r="Z162" s="9">
        <v>33.299999999999997</v>
      </c>
      <c r="AA162" s="9">
        <v>31.8</v>
      </c>
      <c r="AB162" s="9">
        <v>80.8</v>
      </c>
    </row>
    <row r="163" spans="1:28">
      <c r="A163">
        <v>5.53</v>
      </c>
      <c r="B163">
        <v>0.03</v>
      </c>
      <c r="C163">
        <v>-0.02</v>
      </c>
      <c r="D163">
        <v>4.6399999999999997</v>
      </c>
      <c r="E163">
        <v>-0.02</v>
      </c>
      <c r="F163">
        <v>54</v>
      </c>
      <c r="G163">
        <v>15.9</v>
      </c>
      <c r="H163">
        <v>34.700000000000003</v>
      </c>
      <c r="I163">
        <v>55.1</v>
      </c>
      <c r="J163">
        <v>14.7</v>
      </c>
      <c r="K163" s="18">
        <v>10.167520719816883</v>
      </c>
      <c r="L163">
        <v>10.17</v>
      </c>
      <c r="M163" s="19">
        <v>2.4792801831168276E-3</v>
      </c>
      <c r="P163" s="9">
        <v>6</v>
      </c>
      <c r="Q163" s="9" t="s">
        <v>67</v>
      </c>
      <c r="R163" s="9">
        <v>9.5500000000000007</v>
      </c>
      <c r="S163" s="9">
        <v>5.27</v>
      </c>
      <c r="T163" s="9">
        <v>-0.08</v>
      </c>
      <c r="U163" s="9">
        <v>-0.17</v>
      </c>
      <c r="V163" s="9">
        <v>4.5999999999999996</v>
      </c>
      <c r="W163" s="9">
        <v>-0.04</v>
      </c>
      <c r="X163" s="9">
        <v>64</v>
      </c>
      <c r="Y163" s="9">
        <v>29.4</v>
      </c>
      <c r="Z163" s="9">
        <v>34.6</v>
      </c>
      <c r="AA163" s="9">
        <v>36.299999999999997</v>
      </c>
      <c r="AB163" s="9">
        <v>82.6</v>
      </c>
    </row>
    <row r="164" spans="1:28">
      <c r="A164">
        <v>5.96</v>
      </c>
      <c r="B164">
        <v>-0.03</v>
      </c>
      <c r="C164">
        <v>-0.44</v>
      </c>
      <c r="D164">
        <v>4.6399999999999997</v>
      </c>
      <c r="E164">
        <v>0.09</v>
      </c>
      <c r="F164">
        <v>54.7</v>
      </c>
      <c r="G164">
        <v>21.4</v>
      </c>
      <c r="H164">
        <v>37.200000000000003</v>
      </c>
      <c r="I164">
        <v>50.3</v>
      </c>
      <c r="J164">
        <v>11.8</v>
      </c>
      <c r="K164" s="18">
        <v>10.188596389605619</v>
      </c>
      <c r="L164">
        <v>10.14</v>
      </c>
      <c r="M164" s="19">
        <v>-4.8596389605618739E-2</v>
      </c>
      <c r="P164" s="9">
        <v>6</v>
      </c>
      <c r="Q164" s="9" t="s">
        <v>69</v>
      </c>
      <c r="R164" s="9">
        <v>9.91</v>
      </c>
      <c r="S164" s="9">
        <v>5.38</v>
      </c>
      <c r="T164" s="9">
        <v>0</v>
      </c>
      <c r="U164" s="9">
        <v>-0.09</v>
      </c>
      <c r="V164" s="9">
        <v>4.5999999999999996</v>
      </c>
      <c r="W164" s="9">
        <v>0.03</v>
      </c>
      <c r="X164" s="9">
        <v>64.8</v>
      </c>
      <c r="Y164" s="9">
        <v>25.5</v>
      </c>
      <c r="Z164" s="9">
        <v>34.9</v>
      </c>
      <c r="AA164" s="9">
        <v>35.9</v>
      </c>
      <c r="AB164" s="9">
        <v>80.400000000000006</v>
      </c>
    </row>
    <row r="165" spans="1:28">
      <c r="A165">
        <v>5.95</v>
      </c>
      <c r="B165">
        <v>-0.05</v>
      </c>
      <c r="C165">
        <v>-0.5</v>
      </c>
      <c r="D165">
        <v>4.6399999999999997</v>
      </c>
      <c r="E165">
        <v>-0.09</v>
      </c>
      <c r="F165">
        <v>53.8</v>
      </c>
      <c r="G165">
        <v>17.899999999999999</v>
      </c>
      <c r="H165">
        <v>36</v>
      </c>
      <c r="I165">
        <v>58.1</v>
      </c>
      <c r="J165">
        <v>15.2</v>
      </c>
      <c r="K165" s="18">
        <v>9.9406792954896712</v>
      </c>
      <c r="L165">
        <v>9.94</v>
      </c>
      <c r="M165" s="19">
        <v>-6.7929548967171627E-4</v>
      </c>
      <c r="P165" s="9">
        <v>6</v>
      </c>
      <c r="Q165" s="9" t="s">
        <v>71</v>
      </c>
      <c r="R165" s="9">
        <v>9.85</v>
      </c>
      <c r="S165" s="9">
        <v>5.13</v>
      </c>
      <c r="T165" s="9">
        <v>-0.04</v>
      </c>
      <c r="U165" s="9">
        <v>0.1</v>
      </c>
      <c r="V165" s="9">
        <v>4.5999999999999996</v>
      </c>
      <c r="W165" s="9">
        <v>0.05</v>
      </c>
      <c r="X165" s="9">
        <v>59.4</v>
      </c>
      <c r="Y165" s="9">
        <v>16.7</v>
      </c>
      <c r="Z165" s="9">
        <v>34.700000000000003</v>
      </c>
      <c r="AA165" s="9">
        <v>35.299999999999997</v>
      </c>
      <c r="AB165" s="9">
        <v>82.1</v>
      </c>
    </row>
    <row r="166" spans="1:28">
      <c r="A166">
        <v>6.09</v>
      </c>
      <c r="B166">
        <v>-0.16</v>
      </c>
      <c r="C166">
        <v>-0.67</v>
      </c>
      <c r="D166">
        <v>4.6399999999999997</v>
      </c>
      <c r="E166">
        <v>-7.0000000000000007E-2</v>
      </c>
      <c r="F166">
        <v>55.5</v>
      </c>
      <c r="G166">
        <v>20.399999999999999</v>
      </c>
      <c r="H166">
        <v>35</v>
      </c>
      <c r="I166">
        <v>57.8</v>
      </c>
      <c r="J166">
        <v>23.5</v>
      </c>
      <c r="K166" s="18">
        <v>9.8203944299337067</v>
      </c>
      <c r="L166">
        <v>9.82</v>
      </c>
      <c r="M166" s="19">
        <v>-3.9442993370641943E-4</v>
      </c>
      <c r="P166" s="9">
        <v>6</v>
      </c>
      <c r="Q166" s="9" t="s">
        <v>72</v>
      </c>
      <c r="R166" s="9">
        <v>10.02</v>
      </c>
      <c r="S166" s="9">
        <v>4.92</v>
      </c>
      <c r="T166" s="9">
        <v>0.19</v>
      </c>
      <c r="U166" s="9">
        <v>0.25</v>
      </c>
      <c r="V166" s="9">
        <v>4.5999999999999996</v>
      </c>
      <c r="W166" s="9">
        <v>0.05</v>
      </c>
      <c r="X166" s="9">
        <v>55.8</v>
      </c>
      <c r="Y166" s="9">
        <v>14.5</v>
      </c>
      <c r="Z166" s="9">
        <v>33.4</v>
      </c>
      <c r="AA166" s="9">
        <v>35.799999999999997</v>
      </c>
      <c r="AB166" s="9">
        <v>80.599999999999994</v>
      </c>
    </row>
    <row r="167" spans="1:28">
      <c r="A167">
        <v>6.4</v>
      </c>
      <c r="B167">
        <v>-0.31</v>
      </c>
      <c r="C167">
        <v>-0.55000000000000004</v>
      </c>
      <c r="D167">
        <v>4.6399999999999997</v>
      </c>
      <c r="E167">
        <v>7.0000000000000007E-2</v>
      </c>
      <c r="F167">
        <v>66.8</v>
      </c>
      <c r="G167">
        <v>23.5</v>
      </c>
      <c r="H167">
        <v>34.4</v>
      </c>
      <c r="I167">
        <v>55.6</v>
      </c>
      <c r="J167">
        <v>15.6</v>
      </c>
      <c r="K167" s="18">
        <v>10.222402790197632</v>
      </c>
      <c r="L167">
        <v>10.26</v>
      </c>
      <c r="M167" s="19">
        <v>3.759720980236736E-2</v>
      </c>
      <c r="P167" s="9">
        <v>6</v>
      </c>
      <c r="Q167" s="9" t="s">
        <v>74</v>
      </c>
      <c r="R167" s="9">
        <v>9.94</v>
      </c>
      <c r="S167" s="9">
        <v>5.26</v>
      </c>
      <c r="T167" s="9">
        <v>0.02</v>
      </c>
      <c r="U167" s="9">
        <v>0.01</v>
      </c>
      <c r="V167" s="9">
        <v>4.5999999999999996</v>
      </c>
      <c r="W167" s="9">
        <v>0.04</v>
      </c>
      <c r="X167" s="9">
        <v>64.400000000000006</v>
      </c>
      <c r="Y167" s="9">
        <v>15.4</v>
      </c>
      <c r="Z167" s="9">
        <v>34</v>
      </c>
      <c r="AA167" s="9">
        <v>35.1</v>
      </c>
      <c r="AB167" s="9">
        <v>80.2</v>
      </c>
    </row>
    <row r="168" spans="1:28">
      <c r="A168">
        <v>5.61</v>
      </c>
      <c r="B168">
        <v>7.0000000000000007E-2</v>
      </c>
      <c r="C168">
        <v>-0.18</v>
      </c>
      <c r="D168">
        <v>4.6399999999999997</v>
      </c>
      <c r="E168">
        <v>-0.08</v>
      </c>
      <c r="F168">
        <v>57.9</v>
      </c>
      <c r="G168">
        <v>35.200000000000003</v>
      </c>
      <c r="H168">
        <v>33.4</v>
      </c>
      <c r="I168">
        <v>45.2</v>
      </c>
      <c r="J168">
        <v>12.5</v>
      </c>
      <c r="K168" s="18">
        <v>10.055137102255239</v>
      </c>
      <c r="L168">
        <v>10.07</v>
      </c>
      <c r="M168" s="19">
        <v>1.4862897744761128E-2</v>
      </c>
      <c r="P168" s="9">
        <v>6</v>
      </c>
      <c r="Q168" s="9" t="s">
        <v>75</v>
      </c>
      <c r="R168" s="9">
        <v>9.89</v>
      </c>
      <c r="S168" s="9">
        <v>5.32</v>
      </c>
      <c r="T168" s="9">
        <v>7.0000000000000007E-2</v>
      </c>
      <c r="U168" s="9">
        <v>-0.14000000000000001</v>
      </c>
      <c r="V168" s="9">
        <v>4.5999999999999996</v>
      </c>
      <c r="W168" s="9">
        <v>0.02</v>
      </c>
      <c r="X168" s="9">
        <v>61.9</v>
      </c>
      <c r="Y168" s="9">
        <v>20.2</v>
      </c>
      <c r="Z168" s="9">
        <v>34.5</v>
      </c>
      <c r="AA168" s="9">
        <v>33.5</v>
      </c>
      <c r="AB168" s="9">
        <v>81.900000000000006</v>
      </c>
    </row>
    <row r="169" spans="1:28">
      <c r="A169">
        <v>5.43</v>
      </c>
      <c r="B169">
        <v>0.04</v>
      </c>
      <c r="C169">
        <v>-0.14000000000000001</v>
      </c>
      <c r="D169">
        <v>4.6399999999999997</v>
      </c>
      <c r="E169">
        <v>-0.06</v>
      </c>
      <c r="F169">
        <v>56.2</v>
      </c>
      <c r="G169">
        <v>18</v>
      </c>
      <c r="H169">
        <v>34.5</v>
      </c>
      <c r="I169">
        <v>50.9</v>
      </c>
      <c r="J169">
        <v>14.3</v>
      </c>
      <c r="K169" s="18">
        <v>9.9123173884620641</v>
      </c>
      <c r="L169">
        <v>9.92</v>
      </c>
      <c r="M169" s="19">
        <v>7.6826115379358129E-3</v>
      </c>
      <c r="P169" s="9">
        <v>6</v>
      </c>
      <c r="Q169" s="9" t="s">
        <v>79</v>
      </c>
      <c r="R169" s="9">
        <v>10.130000000000001</v>
      </c>
      <c r="S169" s="9">
        <v>5.36</v>
      </c>
      <c r="T169" s="9">
        <v>0.06</v>
      </c>
      <c r="U169" s="9">
        <v>0.03</v>
      </c>
      <c r="V169" s="9">
        <v>4.5999999999999996</v>
      </c>
      <c r="W169" s="9">
        <v>0.06</v>
      </c>
      <c r="X169" s="9">
        <v>60.9</v>
      </c>
      <c r="Y169" s="9">
        <v>17.100000000000001</v>
      </c>
      <c r="Z169" s="9">
        <v>35.5</v>
      </c>
      <c r="AA169" s="9">
        <v>32.200000000000003</v>
      </c>
      <c r="AB169" s="9">
        <v>78</v>
      </c>
    </row>
    <row r="170" spans="1:28">
      <c r="A170">
        <v>5.73</v>
      </c>
      <c r="B170">
        <v>-0.19</v>
      </c>
      <c r="C170">
        <v>-0.1</v>
      </c>
      <c r="D170">
        <v>4.6399999999999997</v>
      </c>
      <c r="E170">
        <v>-0.13</v>
      </c>
      <c r="F170">
        <v>55.2</v>
      </c>
      <c r="G170">
        <v>19.5</v>
      </c>
      <c r="H170">
        <v>33.6</v>
      </c>
      <c r="I170">
        <v>49.6</v>
      </c>
      <c r="J170">
        <v>23.5</v>
      </c>
      <c r="K170" s="18">
        <v>9.9606770539354486</v>
      </c>
      <c r="L170">
        <v>9.9600000000000009</v>
      </c>
      <c r="M170" s="19">
        <v>-6.7705393544770232E-4</v>
      </c>
      <c r="P170" s="9">
        <v>6</v>
      </c>
      <c r="Q170" s="9" t="s">
        <v>80</v>
      </c>
      <c r="R170" s="9">
        <v>10.34</v>
      </c>
      <c r="S170" s="9">
        <v>5.39</v>
      </c>
      <c r="T170" s="9">
        <v>0.17</v>
      </c>
      <c r="U170" s="9">
        <v>0.13</v>
      </c>
      <c r="V170" s="9">
        <v>4.5999999999999996</v>
      </c>
      <c r="W170" s="9">
        <v>0.05</v>
      </c>
      <c r="X170" s="9">
        <v>49.8</v>
      </c>
      <c r="Y170" s="9">
        <v>12.8</v>
      </c>
      <c r="Z170" s="9">
        <v>35</v>
      </c>
      <c r="AA170" s="9">
        <v>33.799999999999997</v>
      </c>
      <c r="AB170" s="9">
        <v>78.5</v>
      </c>
    </row>
    <row r="171" spans="1:28">
      <c r="A171">
        <v>6.11</v>
      </c>
      <c r="B171">
        <v>-0.12</v>
      </c>
      <c r="C171">
        <v>-0.35</v>
      </c>
      <c r="D171">
        <v>4.6399999999999997</v>
      </c>
      <c r="E171">
        <v>-0.04</v>
      </c>
      <c r="F171">
        <v>54.4</v>
      </c>
      <c r="G171">
        <v>27.3</v>
      </c>
      <c r="H171">
        <v>36</v>
      </c>
      <c r="I171">
        <v>49.4</v>
      </c>
      <c r="J171">
        <v>19.600000000000001</v>
      </c>
      <c r="K171" s="18">
        <v>10.219298375331061</v>
      </c>
      <c r="L171">
        <v>10.25</v>
      </c>
      <c r="M171" s="19">
        <v>3.0701624668939331E-2</v>
      </c>
      <c r="P171" s="9">
        <v>6</v>
      </c>
      <c r="Q171" s="9" t="s">
        <v>81</v>
      </c>
      <c r="R171" s="9">
        <v>10.18</v>
      </c>
      <c r="S171" s="9">
        <v>5.56</v>
      </c>
      <c r="T171" s="9">
        <v>0.02</v>
      </c>
      <c r="U171" s="9">
        <v>-0.03</v>
      </c>
      <c r="V171" s="9">
        <v>4.5999999999999996</v>
      </c>
      <c r="W171" s="9">
        <v>0.01</v>
      </c>
      <c r="X171" s="9">
        <v>56.6</v>
      </c>
      <c r="Y171" s="9">
        <v>15.2</v>
      </c>
      <c r="Z171" s="9">
        <v>34.5</v>
      </c>
      <c r="AA171" s="9">
        <v>33.6</v>
      </c>
      <c r="AB171" s="9">
        <v>80.5</v>
      </c>
    </row>
    <row r="172" spans="1:28">
      <c r="A172">
        <v>6.05</v>
      </c>
      <c r="B172">
        <v>-7.0000000000000007E-2</v>
      </c>
      <c r="C172">
        <v>-0.33</v>
      </c>
      <c r="D172">
        <v>4.6399999999999997</v>
      </c>
      <c r="E172">
        <v>-0.04</v>
      </c>
      <c r="F172">
        <v>54.7</v>
      </c>
      <c r="G172">
        <v>35.9</v>
      </c>
      <c r="H172">
        <v>35.6</v>
      </c>
      <c r="I172">
        <v>53.1</v>
      </c>
      <c r="J172">
        <v>16.100000000000001</v>
      </c>
      <c r="K172" s="18">
        <v>10.22696361033962</v>
      </c>
      <c r="L172">
        <v>10.23</v>
      </c>
      <c r="M172" s="19">
        <v>3.0363896603802232E-3</v>
      </c>
      <c r="P172" s="9">
        <v>6</v>
      </c>
      <c r="Q172" s="9" t="s">
        <v>82</v>
      </c>
      <c r="R172" s="9">
        <v>10.220000000000001</v>
      </c>
      <c r="S172" s="9">
        <v>6</v>
      </c>
      <c r="T172" s="9">
        <v>-0.02</v>
      </c>
      <c r="U172" s="9">
        <v>-0.43</v>
      </c>
      <c r="V172" s="9">
        <v>4.5999999999999996</v>
      </c>
      <c r="W172" s="9">
        <v>0.09</v>
      </c>
      <c r="X172" s="9">
        <v>56.8</v>
      </c>
      <c r="Y172" s="9">
        <v>22.6</v>
      </c>
      <c r="Z172" s="9">
        <v>36.700000000000003</v>
      </c>
      <c r="AA172" s="9">
        <v>35.9</v>
      </c>
      <c r="AB172" s="9">
        <v>76.599999999999994</v>
      </c>
    </row>
    <row r="173" spans="1:28">
      <c r="A173">
        <v>5.87</v>
      </c>
      <c r="B173">
        <v>0.02</v>
      </c>
      <c r="C173">
        <v>-0.45</v>
      </c>
      <c r="D173">
        <v>4.6399999999999997</v>
      </c>
      <c r="E173">
        <v>-0.08</v>
      </c>
      <c r="F173">
        <v>59.2</v>
      </c>
      <c r="G173">
        <v>18.899999999999999</v>
      </c>
      <c r="H173">
        <v>34.299999999999997</v>
      </c>
      <c r="I173">
        <v>65.3</v>
      </c>
      <c r="J173">
        <v>25.8</v>
      </c>
      <c r="K173" s="18">
        <v>9.9998892409119691</v>
      </c>
      <c r="L173">
        <v>10.01</v>
      </c>
      <c r="M173" s="19">
        <v>1.0110759088030719E-2</v>
      </c>
      <c r="P173" s="9">
        <v>6</v>
      </c>
      <c r="Q173" s="9" t="s">
        <v>83</v>
      </c>
      <c r="R173" s="9">
        <v>10</v>
      </c>
      <c r="S173" s="9">
        <v>6.03</v>
      </c>
      <c r="T173" s="9">
        <v>-0.06</v>
      </c>
      <c r="U173" s="9">
        <v>-0.5</v>
      </c>
      <c r="V173" s="9">
        <v>4.5999999999999996</v>
      </c>
      <c r="W173" s="9">
        <v>-0.08</v>
      </c>
      <c r="X173" s="9">
        <v>56.3</v>
      </c>
      <c r="Y173" s="9">
        <v>15.3</v>
      </c>
      <c r="Z173" s="9">
        <v>34.700000000000003</v>
      </c>
      <c r="AA173" s="9">
        <v>34.6</v>
      </c>
      <c r="AB173" s="9">
        <v>77.400000000000006</v>
      </c>
    </row>
    <row r="174" spans="1:28">
      <c r="A174">
        <v>6.05</v>
      </c>
      <c r="B174">
        <v>-0.16</v>
      </c>
      <c r="C174">
        <v>-0.38</v>
      </c>
      <c r="D174">
        <v>4.6399999999999997</v>
      </c>
      <c r="E174">
        <v>-0.06</v>
      </c>
      <c r="F174">
        <v>61.5</v>
      </c>
      <c r="G174">
        <v>16.5</v>
      </c>
      <c r="H174">
        <v>31.8</v>
      </c>
      <c r="I174">
        <v>56.8</v>
      </c>
      <c r="J174">
        <v>31.6</v>
      </c>
      <c r="K174" s="18">
        <v>10.107807264145523</v>
      </c>
      <c r="L174">
        <v>10.1</v>
      </c>
      <c r="M174" s="19">
        <v>-7.8072641455229075E-3</v>
      </c>
      <c r="P174" s="9">
        <v>6</v>
      </c>
      <c r="Q174" s="9" t="s">
        <v>84</v>
      </c>
      <c r="R174" s="9">
        <v>9.68</v>
      </c>
      <c r="S174" s="9">
        <v>6.04</v>
      </c>
      <c r="T174" s="9">
        <v>-0.16</v>
      </c>
      <c r="U174" s="9">
        <v>-0.67</v>
      </c>
      <c r="V174" s="9">
        <v>4.5999999999999996</v>
      </c>
      <c r="W174" s="9">
        <v>-0.14000000000000001</v>
      </c>
      <c r="X174" s="9">
        <v>57.1</v>
      </c>
      <c r="Y174" s="9">
        <v>21.9</v>
      </c>
      <c r="Z174" s="9">
        <v>33.700000000000003</v>
      </c>
      <c r="AA174" s="9">
        <v>33.5</v>
      </c>
      <c r="AB174" s="9">
        <v>82.8</v>
      </c>
    </row>
    <row r="175" spans="1:28">
      <c r="A175">
        <v>5.91</v>
      </c>
      <c r="B175">
        <v>0.05</v>
      </c>
      <c r="C175">
        <v>-0.28999999999999998</v>
      </c>
      <c r="D175">
        <v>4.6399999999999997</v>
      </c>
      <c r="E175">
        <v>0.04</v>
      </c>
      <c r="F175">
        <v>52.3</v>
      </c>
      <c r="G175">
        <v>14</v>
      </c>
      <c r="H175">
        <v>34.5</v>
      </c>
      <c r="I175">
        <v>54.7</v>
      </c>
      <c r="J175">
        <v>19.7</v>
      </c>
      <c r="K175" s="18">
        <v>10.359730126537091</v>
      </c>
      <c r="L175">
        <v>10.36</v>
      </c>
      <c r="M175" s="19">
        <v>2.6987346290852088E-4</v>
      </c>
      <c r="P175" s="9">
        <v>6</v>
      </c>
      <c r="Q175" s="9" t="s">
        <v>85</v>
      </c>
      <c r="R175" s="9">
        <v>9.92</v>
      </c>
      <c r="S175" s="9">
        <v>6.36</v>
      </c>
      <c r="T175" s="9">
        <v>-0.28999999999999998</v>
      </c>
      <c r="U175" s="9">
        <v>-0.55000000000000004</v>
      </c>
      <c r="V175" s="9">
        <v>4.5999999999999996</v>
      </c>
      <c r="W175" s="9">
        <v>-0.13</v>
      </c>
      <c r="X175" s="9">
        <v>70.8</v>
      </c>
      <c r="Y175" s="9">
        <v>19.600000000000001</v>
      </c>
      <c r="Z175" s="9">
        <v>34.5</v>
      </c>
      <c r="AA175" s="9">
        <v>37.9</v>
      </c>
      <c r="AB175" s="9">
        <v>84.3</v>
      </c>
    </row>
    <row r="176" spans="1:28">
      <c r="A176">
        <v>6.92</v>
      </c>
      <c r="B176">
        <v>-0.2</v>
      </c>
      <c r="C176">
        <v>-0.71</v>
      </c>
      <c r="D176">
        <v>4.6399999999999997</v>
      </c>
      <c r="E176">
        <v>-0.11</v>
      </c>
      <c r="F176">
        <v>55.6</v>
      </c>
      <c r="G176">
        <v>18</v>
      </c>
      <c r="H176">
        <v>35.1</v>
      </c>
      <c r="I176">
        <v>51.2</v>
      </c>
      <c r="J176">
        <v>18.8</v>
      </c>
      <c r="K176" s="18">
        <v>10.534724598102974</v>
      </c>
      <c r="L176">
        <v>10.51</v>
      </c>
      <c r="M176" s="19">
        <v>-2.4724598102974227E-2</v>
      </c>
      <c r="P176" s="9">
        <v>6</v>
      </c>
      <c r="Q176" s="9" t="s">
        <v>86</v>
      </c>
      <c r="R176" s="9">
        <v>10.02</v>
      </c>
      <c r="S176" s="9">
        <v>5.65</v>
      </c>
      <c r="T176" s="9">
        <v>0.06</v>
      </c>
      <c r="U176" s="9">
        <v>-0.2</v>
      </c>
      <c r="V176" s="9">
        <v>4.5999999999999996</v>
      </c>
      <c r="W176" s="9">
        <v>-0.11</v>
      </c>
      <c r="X176" s="9">
        <v>63.7</v>
      </c>
      <c r="Y176" s="9">
        <v>33.1</v>
      </c>
      <c r="Z176" s="9">
        <v>32.299999999999997</v>
      </c>
      <c r="AA176" s="9">
        <v>37.1</v>
      </c>
      <c r="AB176" s="9">
        <v>80</v>
      </c>
    </row>
    <row r="177" spans="1:28">
      <c r="A177">
        <v>6.6</v>
      </c>
      <c r="B177">
        <v>-0.23</v>
      </c>
      <c r="C177">
        <v>-0.77</v>
      </c>
      <c r="D177">
        <v>4.6399999999999997</v>
      </c>
      <c r="E177">
        <v>-0.04</v>
      </c>
      <c r="F177">
        <v>55.8</v>
      </c>
      <c r="G177">
        <v>28.1</v>
      </c>
      <c r="H177">
        <v>34.4</v>
      </c>
      <c r="I177">
        <v>54.7</v>
      </c>
      <c r="J177">
        <v>24.2</v>
      </c>
      <c r="K177" s="18">
        <v>10.187119259074453</v>
      </c>
      <c r="L177">
        <v>10.210000000000001</v>
      </c>
      <c r="M177" s="19">
        <v>2.2880740925547371E-2</v>
      </c>
      <c r="P177" s="9">
        <v>6</v>
      </c>
      <c r="Q177" s="9" t="s">
        <v>88</v>
      </c>
      <c r="R177" s="9">
        <v>9.9499999999999993</v>
      </c>
      <c r="S177" s="9">
        <v>5.5</v>
      </c>
      <c r="T177" s="9">
        <v>0.04</v>
      </c>
      <c r="U177" s="9">
        <v>-0.15</v>
      </c>
      <c r="V177" s="9">
        <v>4.5999999999999996</v>
      </c>
      <c r="W177" s="9">
        <v>-0.06</v>
      </c>
      <c r="X177" s="9">
        <v>57.3</v>
      </c>
      <c r="Y177" s="9">
        <v>18.600000000000001</v>
      </c>
      <c r="Z177" s="9">
        <v>33.299999999999997</v>
      </c>
      <c r="AA177" s="9">
        <v>37.4</v>
      </c>
      <c r="AB177" s="9">
        <v>79.8</v>
      </c>
    </row>
    <row r="178" spans="1:28">
      <c r="A178">
        <v>6.4</v>
      </c>
      <c r="B178">
        <v>-0.08</v>
      </c>
      <c r="C178">
        <v>-0.62</v>
      </c>
      <c r="D178">
        <v>4.6399999999999997</v>
      </c>
      <c r="E178">
        <v>0.03</v>
      </c>
      <c r="F178">
        <v>62</v>
      </c>
      <c r="G178">
        <v>31.1</v>
      </c>
      <c r="H178">
        <v>35</v>
      </c>
      <c r="I178">
        <v>52.3</v>
      </c>
      <c r="J178">
        <v>36.1</v>
      </c>
      <c r="K178" s="18">
        <v>10.339496959337655</v>
      </c>
      <c r="L178">
        <v>10.32</v>
      </c>
      <c r="M178" s="19">
        <v>-1.9496959337654829E-2</v>
      </c>
      <c r="P178" s="9">
        <v>6</v>
      </c>
      <c r="Q178" s="9" t="s">
        <v>89</v>
      </c>
      <c r="R178" s="9">
        <v>10.199999999999999</v>
      </c>
      <c r="S178" s="9">
        <v>5.87</v>
      </c>
      <c r="T178" s="9">
        <v>-0.17</v>
      </c>
      <c r="U178" s="9">
        <v>-0.11</v>
      </c>
      <c r="V178" s="9">
        <v>4.5999999999999996</v>
      </c>
      <c r="W178" s="9">
        <v>0</v>
      </c>
      <c r="X178" s="9">
        <v>57</v>
      </c>
      <c r="Y178" s="9">
        <v>18.2</v>
      </c>
      <c r="Z178" s="9">
        <v>35.299999999999997</v>
      </c>
      <c r="AA178" s="9">
        <v>33.6</v>
      </c>
      <c r="AB178" s="9">
        <v>82.7</v>
      </c>
    </row>
    <row r="179" spans="1:28">
      <c r="A179">
        <v>6.43</v>
      </c>
      <c r="B179">
        <v>-0.22</v>
      </c>
      <c r="C179">
        <v>-0.6</v>
      </c>
      <c r="D179">
        <v>4.6399999999999997</v>
      </c>
      <c r="E179">
        <v>-0.03</v>
      </c>
      <c r="F179">
        <v>64.900000000000006</v>
      </c>
      <c r="G179">
        <v>29.1</v>
      </c>
      <c r="H179">
        <v>35.1</v>
      </c>
      <c r="I179">
        <v>58.3</v>
      </c>
      <c r="J179">
        <v>22.1</v>
      </c>
      <c r="K179" s="18">
        <v>10.188297375731358</v>
      </c>
      <c r="L179">
        <v>10.199999999999999</v>
      </c>
      <c r="M179" s="19">
        <v>1.170262426864177E-2</v>
      </c>
      <c r="P179" s="9">
        <v>6</v>
      </c>
      <c r="Q179" s="9" t="s">
        <v>90</v>
      </c>
      <c r="R179" s="9">
        <v>10.19</v>
      </c>
      <c r="S179" s="9">
        <v>6.16</v>
      </c>
      <c r="T179" s="9">
        <v>-0.11</v>
      </c>
      <c r="U179" s="9">
        <v>-0.36</v>
      </c>
      <c r="V179" s="9">
        <v>4.5999999999999996</v>
      </c>
      <c r="W179" s="9">
        <v>-0.11</v>
      </c>
      <c r="X179" s="9">
        <v>55.1</v>
      </c>
      <c r="Y179" s="9">
        <v>24.8</v>
      </c>
      <c r="Z179" s="9">
        <v>35.299999999999997</v>
      </c>
      <c r="AA179" s="9">
        <v>32.799999999999997</v>
      </c>
      <c r="AB179" s="9">
        <v>74.5</v>
      </c>
    </row>
    <row r="180" spans="1:28">
      <c r="A180">
        <v>6.05</v>
      </c>
      <c r="B180">
        <v>-0.1</v>
      </c>
      <c r="C180">
        <v>-0.75</v>
      </c>
      <c r="D180">
        <v>4.6399999999999997</v>
      </c>
      <c r="E180">
        <v>-0.08</v>
      </c>
      <c r="F180">
        <v>55.9</v>
      </c>
      <c r="G180">
        <v>15.7</v>
      </c>
      <c r="H180">
        <v>34.9</v>
      </c>
      <c r="I180">
        <v>61.2</v>
      </c>
      <c r="J180">
        <v>17.7</v>
      </c>
      <c r="K180" s="18">
        <v>9.7560320179373345</v>
      </c>
      <c r="L180">
        <v>9.76</v>
      </c>
      <c r="M180" s="19">
        <v>3.9679820626652429E-3</v>
      </c>
      <c r="P180" s="9">
        <v>6</v>
      </c>
      <c r="Q180" s="9" t="s">
        <v>91</v>
      </c>
      <c r="R180" s="9">
        <v>10.33</v>
      </c>
      <c r="S180" s="9">
        <v>6.16</v>
      </c>
      <c r="T180" s="9">
        <v>-0.06</v>
      </c>
      <c r="U180" s="9">
        <v>-0.36</v>
      </c>
      <c r="V180" s="9">
        <v>4.5999999999999996</v>
      </c>
      <c r="W180" s="9">
        <v>-0.02</v>
      </c>
      <c r="X180" s="9">
        <v>54.1</v>
      </c>
      <c r="Y180" s="9">
        <v>33.700000000000003</v>
      </c>
      <c r="Z180" s="9">
        <v>34.200000000000003</v>
      </c>
      <c r="AA180" s="9">
        <v>35.5</v>
      </c>
      <c r="AB180" s="9">
        <v>78.3</v>
      </c>
    </row>
    <row r="181" spans="1:28">
      <c r="A181">
        <v>6.59</v>
      </c>
      <c r="B181">
        <v>-0.06</v>
      </c>
      <c r="C181">
        <v>-0.88</v>
      </c>
      <c r="D181">
        <v>4.6399999999999997</v>
      </c>
      <c r="E181">
        <v>0.02</v>
      </c>
      <c r="F181">
        <v>49</v>
      </c>
      <c r="G181">
        <v>16</v>
      </c>
      <c r="H181">
        <v>34.6</v>
      </c>
      <c r="I181">
        <v>51.5</v>
      </c>
      <c r="J181">
        <v>17.3</v>
      </c>
      <c r="K181" s="18">
        <v>10.315151009350993</v>
      </c>
      <c r="L181">
        <v>10.26</v>
      </c>
      <c r="M181" s="19">
        <v>-5.5151009350993263E-2</v>
      </c>
      <c r="P181" s="9">
        <v>6</v>
      </c>
      <c r="Q181" s="9" t="s">
        <v>92</v>
      </c>
      <c r="R181" s="9">
        <v>10.029999999999999</v>
      </c>
      <c r="S181" s="9">
        <v>5.97</v>
      </c>
      <c r="T181" s="9">
        <v>0</v>
      </c>
      <c r="U181" s="9">
        <v>-0.47</v>
      </c>
      <c r="V181" s="9">
        <v>4.5999999999999996</v>
      </c>
      <c r="W181" s="9">
        <v>-0.08</v>
      </c>
      <c r="X181" s="9">
        <v>61.4</v>
      </c>
      <c r="Y181" s="9">
        <v>18.3</v>
      </c>
      <c r="Z181" s="9">
        <v>33.299999999999997</v>
      </c>
      <c r="AA181" s="9">
        <v>35.299999999999997</v>
      </c>
      <c r="AB181" s="9">
        <v>79</v>
      </c>
    </row>
    <row r="182" spans="1:28">
      <c r="A182">
        <v>6.64</v>
      </c>
      <c r="B182">
        <v>0.25</v>
      </c>
      <c r="C182">
        <v>-1.59</v>
      </c>
      <c r="D182">
        <v>4.6399999999999997</v>
      </c>
      <c r="E182">
        <v>-0.04</v>
      </c>
      <c r="F182">
        <v>57.8</v>
      </c>
      <c r="G182">
        <v>28.9</v>
      </c>
      <c r="H182">
        <v>34.4</v>
      </c>
      <c r="I182">
        <v>53.4</v>
      </c>
      <c r="J182">
        <v>19.899999999999999</v>
      </c>
      <c r="K182" s="18">
        <v>9.8796015227645917</v>
      </c>
      <c r="L182">
        <v>9.89</v>
      </c>
      <c r="M182" s="19">
        <v>1.0398477235408876E-2</v>
      </c>
      <c r="P182" s="9">
        <v>6</v>
      </c>
      <c r="Q182" s="9" t="s">
        <v>93</v>
      </c>
      <c r="R182" s="9">
        <v>9.89</v>
      </c>
      <c r="S182" s="9">
        <v>6.04</v>
      </c>
      <c r="T182" s="9">
        <v>-0.16</v>
      </c>
      <c r="U182" s="9">
        <v>-0.4</v>
      </c>
      <c r="V182" s="9">
        <v>4.5999999999999996</v>
      </c>
      <c r="W182" s="9">
        <v>-0.2</v>
      </c>
      <c r="X182" s="9">
        <v>66.099999999999994</v>
      </c>
      <c r="Y182" s="9">
        <v>15.5</v>
      </c>
      <c r="Z182" s="9">
        <v>30.2</v>
      </c>
      <c r="AA182" s="9">
        <v>31.6</v>
      </c>
      <c r="AB182" s="9">
        <v>76.900000000000006</v>
      </c>
    </row>
    <row r="183" spans="1:28">
      <c r="A183">
        <v>6.26</v>
      </c>
      <c r="B183">
        <v>-0.31</v>
      </c>
      <c r="C183">
        <v>-0.25</v>
      </c>
      <c r="D183">
        <v>4.5999999999999996</v>
      </c>
      <c r="E183">
        <v>-0.1</v>
      </c>
      <c r="F183">
        <v>49.1</v>
      </c>
      <c r="G183">
        <v>11.7</v>
      </c>
      <c r="H183">
        <v>32.700000000000003</v>
      </c>
      <c r="I183">
        <v>55.3</v>
      </c>
      <c r="J183">
        <v>22.5</v>
      </c>
      <c r="K183" s="18">
        <v>10.235588348481123</v>
      </c>
      <c r="L183">
        <v>10.210000000000001</v>
      </c>
      <c r="M183" s="19">
        <v>-2.5588348481122125E-2</v>
      </c>
      <c r="P183" s="9">
        <v>6</v>
      </c>
      <c r="Q183" s="9" t="s">
        <v>94</v>
      </c>
      <c r="R183" s="9">
        <v>10.35</v>
      </c>
      <c r="S183" s="9">
        <v>5.99</v>
      </c>
      <c r="T183" s="9">
        <v>0.04</v>
      </c>
      <c r="U183" s="9">
        <v>-0.3</v>
      </c>
      <c r="V183" s="9">
        <v>4.5999999999999996</v>
      </c>
      <c r="W183" s="9">
        <v>0.06</v>
      </c>
      <c r="X183" s="9">
        <v>55.4</v>
      </c>
      <c r="Y183" s="9">
        <v>19.3</v>
      </c>
      <c r="Z183" s="9">
        <v>34.299999999999997</v>
      </c>
      <c r="AA183" s="9">
        <v>36.5</v>
      </c>
      <c r="AB183" s="9">
        <v>82.3</v>
      </c>
    </row>
    <row r="184" spans="1:28">
      <c r="A184">
        <v>6.26</v>
      </c>
      <c r="B184">
        <v>-0.32</v>
      </c>
      <c r="C184">
        <v>-0.81</v>
      </c>
      <c r="D184">
        <v>4.5999999999999996</v>
      </c>
      <c r="E184">
        <v>-0.25</v>
      </c>
      <c r="F184">
        <v>61.1</v>
      </c>
      <c r="G184">
        <v>22.2</v>
      </c>
      <c r="H184">
        <v>32.200000000000003</v>
      </c>
      <c r="I184">
        <v>58.5</v>
      </c>
      <c r="J184">
        <v>30.1</v>
      </c>
      <c r="K184" s="18">
        <v>9.4895267765522764</v>
      </c>
      <c r="L184">
        <v>9.49</v>
      </c>
      <c r="M184" s="19">
        <v>4.7322344772382507E-4</v>
      </c>
      <c r="P184" s="9">
        <v>6</v>
      </c>
      <c r="Q184" s="9" t="s">
        <v>95</v>
      </c>
      <c r="R184" s="9">
        <v>10.42</v>
      </c>
      <c r="S184" s="9">
        <v>7.07</v>
      </c>
      <c r="T184" s="9">
        <v>-0.2</v>
      </c>
      <c r="U184" s="9">
        <v>-0.71</v>
      </c>
      <c r="V184" s="9">
        <v>4.5999999999999996</v>
      </c>
      <c r="W184" s="9">
        <v>-0.16</v>
      </c>
      <c r="X184" s="9">
        <v>58.9</v>
      </c>
      <c r="Y184" s="9">
        <v>26.2</v>
      </c>
      <c r="Z184" s="9">
        <v>36.4</v>
      </c>
      <c r="AA184" s="9">
        <v>39.1</v>
      </c>
      <c r="AB184" s="9">
        <v>83.3</v>
      </c>
    </row>
    <row r="185" spans="1:28">
      <c r="A185">
        <v>6.04</v>
      </c>
      <c r="B185">
        <v>-0.32</v>
      </c>
      <c r="C185">
        <v>-0.6</v>
      </c>
      <c r="D185">
        <v>4.5999999999999996</v>
      </c>
      <c r="E185">
        <v>-0.1</v>
      </c>
      <c r="F185">
        <v>62.5</v>
      </c>
      <c r="G185">
        <v>21.7</v>
      </c>
      <c r="H185">
        <v>33.5</v>
      </c>
      <c r="I185">
        <v>63.8</v>
      </c>
      <c r="J185">
        <v>26.5</v>
      </c>
      <c r="K185" s="18">
        <v>9.6141542676596234</v>
      </c>
      <c r="L185">
        <v>9.6300000000000008</v>
      </c>
      <c r="M185" s="19">
        <v>1.5845732340377339E-2</v>
      </c>
      <c r="P185" s="9">
        <v>6</v>
      </c>
      <c r="Q185" s="9" t="s">
        <v>96</v>
      </c>
      <c r="R185" s="9">
        <v>10.17</v>
      </c>
      <c r="S185" s="9">
        <v>6.71</v>
      </c>
      <c r="T185" s="9">
        <v>-0.24</v>
      </c>
      <c r="U185" s="9">
        <v>-0.79</v>
      </c>
      <c r="V185" s="9">
        <v>4.5999999999999996</v>
      </c>
      <c r="W185" s="9">
        <v>-0.1</v>
      </c>
      <c r="X185" s="9">
        <v>57.7</v>
      </c>
      <c r="Y185" s="9">
        <v>26.8</v>
      </c>
      <c r="Z185" s="9">
        <v>35.4</v>
      </c>
      <c r="AA185" s="9">
        <v>34.6</v>
      </c>
      <c r="AB185" s="9">
        <v>83.1</v>
      </c>
    </row>
    <row r="186" spans="1:28">
      <c r="A186">
        <v>5.98</v>
      </c>
      <c r="B186">
        <v>-0.17</v>
      </c>
      <c r="C186">
        <v>-0.34</v>
      </c>
      <c r="D186">
        <v>4.5999999999999996</v>
      </c>
      <c r="E186">
        <v>-7.0000000000000007E-2</v>
      </c>
      <c r="F186">
        <v>64.400000000000006</v>
      </c>
      <c r="G186">
        <v>22.9</v>
      </c>
      <c r="H186">
        <v>33.1</v>
      </c>
      <c r="I186">
        <v>51.9</v>
      </c>
      <c r="J186">
        <v>21.7</v>
      </c>
      <c r="K186" s="18">
        <v>9.9964263630400048</v>
      </c>
      <c r="L186">
        <v>10.01</v>
      </c>
      <c r="M186" s="19">
        <v>1.3573636959995028E-2</v>
      </c>
      <c r="P186" s="9">
        <v>6</v>
      </c>
      <c r="Q186" s="9" t="s">
        <v>97</v>
      </c>
      <c r="R186" s="9">
        <v>10.3</v>
      </c>
      <c r="S186" s="9">
        <v>6.46</v>
      </c>
      <c r="T186" s="9">
        <v>-0.1</v>
      </c>
      <c r="U186" s="9">
        <v>-0.61</v>
      </c>
      <c r="V186" s="9">
        <v>4.5999999999999996</v>
      </c>
      <c r="W186" s="9">
        <v>-0.05</v>
      </c>
      <c r="X186" s="9">
        <v>62.1</v>
      </c>
      <c r="Y186" s="9">
        <v>36.200000000000003</v>
      </c>
      <c r="Z186" s="9">
        <v>33.200000000000003</v>
      </c>
      <c r="AA186" s="9">
        <v>38.799999999999997</v>
      </c>
      <c r="AB186" s="9">
        <v>83.4</v>
      </c>
    </row>
    <row r="187" spans="1:28">
      <c r="A187">
        <v>6.83</v>
      </c>
      <c r="B187">
        <v>-0.62</v>
      </c>
      <c r="C187">
        <v>-0.75</v>
      </c>
      <c r="D187">
        <v>4.5999999999999996</v>
      </c>
      <c r="E187">
        <v>-0.21</v>
      </c>
      <c r="F187">
        <v>61.2</v>
      </c>
      <c r="G187">
        <v>31.9</v>
      </c>
      <c r="H187">
        <v>34.299999999999997</v>
      </c>
      <c r="I187">
        <v>50.5</v>
      </c>
      <c r="J187">
        <v>16.899999999999999</v>
      </c>
      <c r="K187" s="18">
        <v>9.8274791961365722</v>
      </c>
      <c r="L187">
        <v>9.85</v>
      </c>
      <c r="M187" s="19">
        <v>2.2520803863427474E-2</v>
      </c>
      <c r="P187" s="9">
        <v>6</v>
      </c>
      <c r="Q187" s="9" t="s">
        <v>98</v>
      </c>
      <c r="R187" s="9">
        <v>10.25</v>
      </c>
      <c r="S187" s="9">
        <v>6.54</v>
      </c>
      <c r="T187" s="9">
        <v>-0.22</v>
      </c>
      <c r="U187" s="9">
        <v>-0.6</v>
      </c>
      <c r="V187" s="9">
        <v>4.5999999999999996</v>
      </c>
      <c r="W187" s="9">
        <v>-0.08</v>
      </c>
      <c r="X187" s="9">
        <v>65.5</v>
      </c>
      <c r="Y187" s="9">
        <v>29.4</v>
      </c>
      <c r="Z187" s="9">
        <v>34.1</v>
      </c>
      <c r="AA187" s="9">
        <v>38.200000000000003</v>
      </c>
      <c r="AB187" s="9">
        <v>81</v>
      </c>
    </row>
    <row r="188" spans="1:28">
      <c r="A188">
        <v>6.2</v>
      </c>
      <c r="B188">
        <v>-0.28999999999999998</v>
      </c>
      <c r="C188">
        <v>-0.49</v>
      </c>
      <c r="D188">
        <v>4.5999999999999996</v>
      </c>
      <c r="E188">
        <v>-0.02</v>
      </c>
      <c r="F188">
        <v>77.3</v>
      </c>
      <c r="G188">
        <v>25.7</v>
      </c>
      <c r="H188">
        <v>34.4</v>
      </c>
      <c r="I188">
        <v>55.8</v>
      </c>
      <c r="J188">
        <v>30.8</v>
      </c>
      <c r="K188" s="18">
        <v>9.957854577731128</v>
      </c>
      <c r="L188">
        <v>9.84</v>
      </c>
      <c r="M188" s="19">
        <v>-0.11785457773112817</v>
      </c>
      <c r="P188" s="9">
        <v>6</v>
      </c>
      <c r="Q188" s="9" t="s">
        <v>99</v>
      </c>
      <c r="R188" s="9">
        <v>9.85</v>
      </c>
      <c r="S188" s="9">
        <v>6.24</v>
      </c>
      <c r="T188" s="9">
        <v>-0.12</v>
      </c>
      <c r="U188" s="9">
        <v>-0.76</v>
      </c>
      <c r="V188" s="9">
        <v>4.5999999999999996</v>
      </c>
      <c r="W188" s="9">
        <v>-0.08</v>
      </c>
      <c r="X188" s="9">
        <v>56.6</v>
      </c>
      <c r="Y188" s="9">
        <v>19.3</v>
      </c>
      <c r="Z188" s="9">
        <v>34.700000000000003</v>
      </c>
      <c r="AA188" s="9">
        <v>36.799999999999997</v>
      </c>
      <c r="AB188" s="9">
        <v>84.2</v>
      </c>
    </row>
    <row r="189" spans="1:28">
      <c r="A189">
        <v>5.49</v>
      </c>
      <c r="B189">
        <v>-0.19</v>
      </c>
      <c r="C189">
        <v>-0.28000000000000003</v>
      </c>
      <c r="D189">
        <v>4.5999999999999996</v>
      </c>
      <c r="E189">
        <v>-0.04</v>
      </c>
      <c r="F189">
        <v>58.2</v>
      </c>
      <c r="G189">
        <v>26.7</v>
      </c>
      <c r="H189">
        <v>34</v>
      </c>
      <c r="I189">
        <v>34.200000000000003</v>
      </c>
      <c r="J189">
        <v>83.3</v>
      </c>
      <c r="K189" s="18">
        <v>9.5626655619884673</v>
      </c>
      <c r="L189">
        <v>9.59</v>
      </c>
      <c r="M189" s="19">
        <v>2.7334438011532569E-2</v>
      </c>
      <c r="P189" s="9">
        <v>6</v>
      </c>
      <c r="Q189" s="9" t="s">
        <v>100</v>
      </c>
      <c r="R189" s="9">
        <v>10.130000000000001</v>
      </c>
      <c r="S189" s="9">
        <v>6.7</v>
      </c>
      <c r="T189" s="9">
        <v>-0.09</v>
      </c>
      <c r="U189" s="9">
        <v>-0.9</v>
      </c>
      <c r="V189" s="9">
        <v>4.5999999999999996</v>
      </c>
      <c r="W189" s="9">
        <v>-0.13</v>
      </c>
      <c r="X189" s="9">
        <v>55.1</v>
      </c>
      <c r="Y189" s="9">
        <v>19.600000000000001</v>
      </c>
      <c r="Z189" s="9">
        <v>34.700000000000003</v>
      </c>
      <c r="AA189" s="9">
        <v>38.700000000000003</v>
      </c>
      <c r="AB189" s="9">
        <v>86.1</v>
      </c>
    </row>
    <row r="190" spans="1:28">
      <c r="A190">
        <v>5.13</v>
      </c>
      <c r="B190">
        <v>-0.04</v>
      </c>
      <c r="C190">
        <v>0.03</v>
      </c>
      <c r="D190">
        <v>4.5999999999999996</v>
      </c>
      <c r="E190">
        <v>-0.06</v>
      </c>
      <c r="F190">
        <v>55.5</v>
      </c>
      <c r="G190">
        <v>15</v>
      </c>
      <c r="H190">
        <v>33.299999999999997</v>
      </c>
      <c r="I190">
        <v>35.200000000000003</v>
      </c>
      <c r="J190">
        <v>80.8</v>
      </c>
      <c r="K190" s="18">
        <v>9.6699322293016863</v>
      </c>
      <c r="L190">
        <v>9.66</v>
      </c>
      <c r="M190" s="19">
        <v>-9.9322293016861352E-3</v>
      </c>
      <c r="P190" s="9">
        <v>6</v>
      </c>
      <c r="Q190" s="9" t="s">
        <v>101</v>
      </c>
      <c r="R190" s="9">
        <v>9.52</v>
      </c>
      <c r="S190" s="9">
        <v>6.59</v>
      </c>
      <c r="T190" s="9">
        <v>0.17</v>
      </c>
      <c r="U190" s="9">
        <v>-1.58</v>
      </c>
      <c r="V190" s="9">
        <v>4.5999999999999996</v>
      </c>
      <c r="W190" s="9">
        <v>-0.27</v>
      </c>
      <c r="X190" s="9">
        <v>60.1</v>
      </c>
      <c r="Y190" s="9">
        <v>24.5</v>
      </c>
      <c r="Z190" s="9">
        <v>34.200000000000003</v>
      </c>
      <c r="AA190" s="9">
        <v>35.799999999999997</v>
      </c>
      <c r="AB190" s="9">
        <v>89.3</v>
      </c>
    </row>
    <row r="191" spans="1:28">
      <c r="A191">
        <v>5.4</v>
      </c>
      <c r="B191">
        <v>-7.0000000000000007E-2</v>
      </c>
      <c r="C191">
        <v>-0.06</v>
      </c>
      <c r="D191">
        <v>4.5999999999999996</v>
      </c>
      <c r="E191">
        <v>-0.03</v>
      </c>
      <c r="F191">
        <v>61</v>
      </c>
      <c r="G191">
        <v>25.4</v>
      </c>
      <c r="H191">
        <v>34.4</v>
      </c>
      <c r="I191">
        <v>36.6</v>
      </c>
      <c r="J191">
        <v>81.400000000000006</v>
      </c>
      <c r="K191" s="18">
        <v>9.821036755912214</v>
      </c>
      <c r="L191">
        <v>9.7899999999999991</v>
      </c>
      <c r="M191" s="19">
        <v>-3.1036755912214886E-2</v>
      </c>
      <c r="P191" s="9">
        <v>7</v>
      </c>
      <c r="Q191" s="9" t="s">
        <v>33</v>
      </c>
      <c r="R191" s="9">
        <v>10.31</v>
      </c>
      <c r="S191" s="9">
        <v>6.21</v>
      </c>
      <c r="T191" s="9">
        <v>-0.33</v>
      </c>
      <c r="U191" s="9">
        <v>-0.22</v>
      </c>
      <c r="V191" s="9">
        <v>4.6500000000000004</v>
      </c>
      <c r="W191" s="9">
        <v>-0.02</v>
      </c>
      <c r="X191" s="9">
        <v>53.5</v>
      </c>
      <c r="Y191" s="9">
        <v>13.5</v>
      </c>
      <c r="Z191" s="9">
        <v>32.4</v>
      </c>
      <c r="AA191" s="9">
        <v>32.6</v>
      </c>
      <c r="AB191" s="9">
        <v>84.4</v>
      </c>
    </row>
    <row r="192" spans="1:28">
      <c r="A192">
        <v>5.28</v>
      </c>
      <c r="B192">
        <v>-0.02</v>
      </c>
      <c r="C192">
        <v>-0.08</v>
      </c>
      <c r="D192">
        <v>4.5999999999999996</v>
      </c>
      <c r="E192">
        <v>0.02</v>
      </c>
      <c r="F192">
        <v>55.2</v>
      </c>
      <c r="G192">
        <v>13.2</v>
      </c>
      <c r="H192">
        <v>33</v>
      </c>
      <c r="I192">
        <v>33.700000000000003</v>
      </c>
      <c r="J192">
        <v>82</v>
      </c>
      <c r="K192" s="18">
        <v>9.8112669482430892</v>
      </c>
      <c r="L192">
        <v>9.81</v>
      </c>
      <c r="M192" s="19">
        <v>-1.2669482430887058E-3</v>
      </c>
      <c r="P192" s="9">
        <v>7</v>
      </c>
      <c r="Q192" s="9" t="s">
        <v>36</v>
      </c>
      <c r="R192" s="9">
        <v>9.85</v>
      </c>
      <c r="S192" s="9">
        <v>6.35</v>
      </c>
      <c r="T192" s="9">
        <v>-0.37</v>
      </c>
      <c r="U192" s="9">
        <v>-0.79</v>
      </c>
      <c r="V192" s="9">
        <v>4.6500000000000004</v>
      </c>
      <c r="W192" s="9">
        <v>-0.01</v>
      </c>
      <c r="X192" s="9">
        <v>61.4</v>
      </c>
      <c r="Y192" s="9">
        <v>28.4</v>
      </c>
      <c r="Z192" s="9">
        <v>33.5</v>
      </c>
      <c r="AA192" s="9">
        <v>34.200000000000003</v>
      </c>
      <c r="AB192" s="9">
        <v>84.8</v>
      </c>
    </row>
    <row r="193" spans="1:28">
      <c r="A193">
        <v>5.03</v>
      </c>
      <c r="B193">
        <v>-0.01</v>
      </c>
      <c r="C193">
        <v>0.13</v>
      </c>
      <c r="D193">
        <v>4.5999999999999996</v>
      </c>
      <c r="E193">
        <v>0.01</v>
      </c>
      <c r="F193">
        <v>49.8</v>
      </c>
      <c r="G193">
        <v>8.4</v>
      </c>
      <c r="H193">
        <v>33.700000000000003</v>
      </c>
      <c r="I193">
        <v>32.200000000000003</v>
      </c>
      <c r="J193">
        <v>81.599999999999994</v>
      </c>
      <c r="K193" s="18">
        <v>9.7790161970957872</v>
      </c>
      <c r="L193">
        <v>9.7799999999999994</v>
      </c>
      <c r="M193" s="19">
        <v>9.8380290421218319E-4</v>
      </c>
      <c r="P193" s="9">
        <v>7</v>
      </c>
      <c r="Q193" s="9" t="s">
        <v>37</v>
      </c>
      <c r="R193" s="9">
        <v>9.6199999999999992</v>
      </c>
      <c r="S193" s="9">
        <v>5.99</v>
      </c>
      <c r="T193" s="9">
        <v>-0.35</v>
      </c>
      <c r="U193" s="9">
        <v>-0.62</v>
      </c>
      <c r="V193" s="9">
        <v>4.6500000000000004</v>
      </c>
      <c r="W193" s="9">
        <v>-7.0000000000000007E-2</v>
      </c>
      <c r="X193" s="9">
        <v>63.7</v>
      </c>
      <c r="Y193" s="9">
        <v>22.2</v>
      </c>
      <c r="Z193" s="9">
        <v>34</v>
      </c>
      <c r="AA193" s="9">
        <v>31.4</v>
      </c>
      <c r="AB193" s="9">
        <v>87.1</v>
      </c>
    </row>
    <row r="194" spans="1:28">
      <c r="A194">
        <v>5.12</v>
      </c>
      <c r="B194">
        <v>-0.08</v>
      </c>
      <c r="C194">
        <v>0.12</v>
      </c>
      <c r="D194">
        <v>4.5999999999999996</v>
      </c>
      <c r="E194">
        <v>0</v>
      </c>
      <c r="F194">
        <v>46.9</v>
      </c>
      <c r="G194">
        <v>14.4</v>
      </c>
      <c r="H194">
        <v>34.200000000000003</v>
      </c>
      <c r="I194">
        <v>32.200000000000003</v>
      </c>
      <c r="J194">
        <v>81.7</v>
      </c>
      <c r="K194" s="18">
        <v>9.772890027923415</v>
      </c>
      <c r="L194">
        <v>9.77</v>
      </c>
      <c r="M194" s="19">
        <v>-2.8900279234154169E-3</v>
      </c>
      <c r="P194" s="9">
        <v>7</v>
      </c>
      <c r="Q194" s="9" t="s">
        <v>39</v>
      </c>
      <c r="R194" s="9">
        <v>10.11</v>
      </c>
      <c r="S194" s="9">
        <v>5.91</v>
      </c>
      <c r="T194" s="9">
        <v>-0.16</v>
      </c>
      <c r="U194" s="9">
        <v>-0.33</v>
      </c>
      <c r="V194" s="9">
        <v>4.6500000000000004</v>
      </c>
      <c r="W194" s="9">
        <v>0.03</v>
      </c>
      <c r="X194" s="9">
        <v>64.099999999999994</v>
      </c>
      <c r="Y194" s="9">
        <v>24.4</v>
      </c>
      <c r="Z194" s="9">
        <v>32.5</v>
      </c>
      <c r="AA194" s="9">
        <v>33.4</v>
      </c>
      <c r="AB194" s="9">
        <v>86</v>
      </c>
    </row>
    <row r="195" spans="1:28">
      <c r="A195">
        <v>4.4800000000000004</v>
      </c>
      <c r="B195">
        <v>0.16</v>
      </c>
      <c r="C195">
        <v>0.66</v>
      </c>
      <c r="D195">
        <v>4.5999999999999996</v>
      </c>
      <c r="E195">
        <v>7.0000000000000007E-2</v>
      </c>
      <c r="F195">
        <v>53.1</v>
      </c>
      <c r="G195">
        <v>9.5</v>
      </c>
      <c r="H195">
        <v>35.200000000000003</v>
      </c>
      <c r="I195">
        <v>34.1</v>
      </c>
      <c r="J195">
        <v>80.400000000000006</v>
      </c>
      <c r="K195" s="18">
        <v>9.9752781022189705</v>
      </c>
      <c r="L195">
        <v>9.98</v>
      </c>
      <c r="M195" s="19">
        <v>4.7218977810299378E-3</v>
      </c>
      <c r="P195" s="9">
        <v>7</v>
      </c>
      <c r="Q195" s="9" t="s">
        <v>40</v>
      </c>
      <c r="R195" s="9">
        <v>10.01</v>
      </c>
      <c r="S195" s="9">
        <v>6.72</v>
      </c>
      <c r="T195" s="9">
        <v>-0.63</v>
      </c>
      <c r="U195" s="9">
        <v>-0.72</v>
      </c>
      <c r="V195" s="9">
        <v>4.6500000000000004</v>
      </c>
      <c r="W195" s="9">
        <v>-0.01</v>
      </c>
      <c r="X195" s="9">
        <v>62.9</v>
      </c>
      <c r="Y195" s="9">
        <v>32.299999999999997</v>
      </c>
      <c r="Z195" s="9">
        <v>33</v>
      </c>
      <c r="AA195" s="9">
        <v>37.9</v>
      </c>
      <c r="AB195" s="9">
        <v>85.1</v>
      </c>
    </row>
    <row r="196" spans="1:28">
      <c r="A196">
        <v>5.0199999999999996</v>
      </c>
      <c r="B196">
        <v>-0.06</v>
      </c>
      <c r="C196">
        <v>0.38</v>
      </c>
      <c r="D196">
        <v>4.5999999999999996</v>
      </c>
      <c r="E196">
        <v>0.06</v>
      </c>
      <c r="F196">
        <v>48.2</v>
      </c>
      <c r="G196">
        <v>10.4</v>
      </c>
      <c r="H196">
        <v>34</v>
      </c>
      <c r="I196">
        <v>33.9</v>
      </c>
      <c r="J196">
        <v>80.900000000000006</v>
      </c>
      <c r="K196" s="18">
        <v>10.018492945189427</v>
      </c>
      <c r="L196">
        <v>10.02</v>
      </c>
      <c r="M196" s="19">
        <v>1.5070548105722281E-3</v>
      </c>
      <c r="P196" s="9">
        <v>7</v>
      </c>
      <c r="Q196" s="9" t="s">
        <v>41</v>
      </c>
      <c r="R196" s="9">
        <v>9.75</v>
      </c>
      <c r="S196" s="9">
        <v>6.12</v>
      </c>
      <c r="T196" s="9">
        <v>-0.31</v>
      </c>
      <c r="U196" s="9">
        <v>-0.49</v>
      </c>
      <c r="V196" s="9">
        <v>4.6500000000000004</v>
      </c>
      <c r="W196" s="9">
        <v>-0.06</v>
      </c>
      <c r="X196" s="9">
        <v>77.900000000000006</v>
      </c>
      <c r="Y196" s="9">
        <v>29.1</v>
      </c>
      <c r="Z196" s="9">
        <v>33.700000000000003</v>
      </c>
      <c r="AA196" s="9">
        <v>37.4</v>
      </c>
      <c r="AB196" s="9">
        <v>87.1</v>
      </c>
    </row>
    <row r="197" spans="1:28">
      <c r="A197">
        <v>5.31</v>
      </c>
      <c r="B197">
        <v>-0.14000000000000001</v>
      </c>
      <c r="C197">
        <v>-0.31</v>
      </c>
      <c r="D197">
        <v>4.5999999999999996</v>
      </c>
      <c r="E197">
        <v>-0.08</v>
      </c>
      <c r="F197">
        <v>69.900000000000006</v>
      </c>
      <c r="G197">
        <v>22</v>
      </c>
      <c r="H197">
        <v>33.5</v>
      </c>
      <c r="I197">
        <v>38.6</v>
      </c>
      <c r="J197">
        <v>82.9</v>
      </c>
      <c r="K197" s="18">
        <v>9.3555950687598397</v>
      </c>
      <c r="L197">
        <v>9.35</v>
      </c>
      <c r="M197" s="19">
        <v>-5.5950687598400606E-3</v>
      </c>
      <c r="P197" s="9">
        <v>7</v>
      </c>
      <c r="Q197" s="9" t="s">
        <v>42</v>
      </c>
      <c r="R197" s="9">
        <v>9.6199999999999992</v>
      </c>
      <c r="S197" s="9">
        <v>5.43</v>
      </c>
      <c r="T197" s="9">
        <v>-0.2</v>
      </c>
      <c r="U197" s="9">
        <v>-0.28000000000000003</v>
      </c>
      <c r="V197" s="9">
        <v>4.6500000000000004</v>
      </c>
      <c r="W197" s="9">
        <v>0.01</v>
      </c>
      <c r="X197" s="9">
        <v>59.8</v>
      </c>
      <c r="Y197" s="9">
        <v>27.9</v>
      </c>
      <c r="Z197" s="9">
        <v>33.799999999999997</v>
      </c>
      <c r="AA197" s="9">
        <v>31.3</v>
      </c>
      <c r="AB197" s="9">
        <v>84.8</v>
      </c>
    </row>
    <row r="198" spans="1:28">
      <c r="A198">
        <v>4.9800000000000004</v>
      </c>
      <c r="B198">
        <v>-7.0000000000000007E-2</v>
      </c>
      <c r="C198">
        <v>0.12</v>
      </c>
      <c r="D198">
        <v>4.5999999999999996</v>
      </c>
      <c r="E198">
        <v>0</v>
      </c>
      <c r="F198">
        <v>71.8</v>
      </c>
      <c r="G198">
        <v>31.9</v>
      </c>
      <c r="H198">
        <v>33.5</v>
      </c>
      <c r="I198">
        <v>39.4</v>
      </c>
      <c r="J198">
        <v>81.900000000000006</v>
      </c>
      <c r="K198" s="18">
        <v>9.5973661183769163</v>
      </c>
      <c r="L198">
        <v>9.6199999999999992</v>
      </c>
      <c r="M198" s="19">
        <v>2.2633881623082885E-2</v>
      </c>
      <c r="P198" s="9">
        <v>7</v>
      </c>
      <c r="Q198" s="9" t="s">
        <v>43</v>
      </c>
      <c r="R198" s="9">
        <v>9.67</v>
      </c>
      <c r="S198" s="9">
        <v>5.07</v>
      </c>
      <c r="T198" s="9">
        <v>-0.04</v>
      </c>
      <c r="U198" s="9">
        <v>0.02</v>
      </c>
      <c r="V198" s="9">
        <v>4.6500000000000004</v>
      </c>
      <c r="W198" s="9">
        <v>-0.04</v>
      </c>
      <c r="X198" s="9">
        <v>55.7</v>
      </c>
      <c r="Y198" s="9">
        <v>17.2</v>
      </c>
      <c r="Z198" s="9">
        <v>32.1</v>
      </c>
      <c r="AA198" s="9">
        <v>32.200000000000003</v>
      </c>
      <c r="AB198" s="9">
        <v>82.7</v>
      </c>
    </row>
    <row r="199" spans="1:28">
      <c r="A199">
        <v>5.33</v>
      </c>
      <c r="B199">
        <v>-0.02</v>
      </c>
      <c r="C199">
        <v>0.03</v>
      </c>
      <c r="D199">
        <v>4.5999999999999996</v>
      </c>
      <c r="E199">
        <v>-0.01</v>
      </c>
      <c r="F199">
        <v>66.599999999999994</v>
      </c>
      <c r="G199">
        <v>23.7</v>
      </c>
      <c r="H199">
        <v>33.9</v>
      </c>
      <c r="I199">
        <v>36</v>
      </c>
      <c r="J199">
        <v>81</v>
      </c>
      <c r="K199" s="18">
        <v>9.9097616739437466</v>
      </c>
      <c r="L199">
        <v>9.94</v>
      </c>
      <c r="M199" s="19">
        <v>3.0238326056252873E-2</v>
      </c>
      <c r="P199" s="9">
        <v>7</v>
      </c>
      <c r="Q199" s="9" t="s">
        <v>44</v>
      </c>
      <c r="R199" s="9">
        <v>9.82</v>
      </c>
      <c r="S199" s="9">
        <v>5.38</v>
      </c>
      <c r="T199" s="9">
        <v>-0.08</v>
      </c>
      <c r="U199" s="9">
        <v>-0.09</v>
      </c>
      <c r="V199" s="9">
        <v>4.6500000000000004</v>
      </c>
      <c r="W199" s="9">
        <v>-0.06</v>
      </c>
      <c r="X199" s="9">
        <v>61.7</v>
      </c>
      <c r="Y199" s="9">
        <v>27.6</v>
      </c>
      <c r="Z199" s="9">
        <v>33.6</v>
      </c>
      <c r="AA199" s="9">
        <v>34.6</v>
      </c>
      <c r="AB199" s="9">
        <v>83.1</v>
      </c>
    </row>
    <row r="200" spans="1:28">
      <c r="A200">
        <v>5.58</v>
      </c>
      <c r="B200">
        <v>-0.14000000000000001</v>
      </c>
      <c r="C200">
        <v>-0.03</v>
      </c>
      <c r="D200">
        <v>4.5999999999999996</v>
      </c>
      <c r="E200">
        <v>0.05</v>
      </c>
      <c r="F200">
        <v>65.400000000000006</v>
      </c>
      <c r="G200">
        <v>21.9</v>
      </c>
      <c r="H200">
        <v>34.200000000000003</v>
      </c>
      <c r="I200">
        <v>35.700000000000003</v>
      </c>
      <c r="J200">
        <v>79.900000000000006</v>
      </c>
      <c r="K200" s="18">
        <v>10.036813337219899</v>
      </c>
      <c r="L200">
        <v>10.07</v>
      </c>
      <c r="M200" s="19">
        <v>3.3186662780101628E-2</v>
      </c>
      <c r="P200" s="9">
        <v>7</v>
      </c>
      <c r="Q200" s="9" t="s">
        <v>45</v>
      </c>
      <c r="R200" s="9">
        <v>9.77</v>
      </c>
      <c r="S200" s="9">
        <v>5.2</v>
      </c>
      <c r="T200" s="9">
        <v>-0.02</v>
      </c>
      <c r="U200" s="9">
        <v>-0.08</v>
      </c>
      <c r="V200" s="9">
        <v>4.6500000000000004</v>
      </c>
      <c r="W200" s="9">
        <v>0.01</v>
      </c>
      <c r="X200" s="9">
        <v>55.5</v>
      </c>
      <c r="Y200" s="9">
        <v>14.5</v>
      </c>
      <c r="Z200" s="9">
        <v>32.299999999999997</v>
      </c>
      <c r="AA200" s="9">
        <v>32.6</v>
      </c>
      <c r="AB200" s="9">
        <v>83.8</v>
      </c>
    </row>
    <row r="201" spans="1:28">
      <c r="A201">
        <v>5.54</v>
      </c>
      <c r="B201">
        <v>-0.15</v>
      </c>
      <c r="C201">
        <v>-0.14000000000000001</v>
      </c>
      <c r="D201">
        <v>4.5999999999999996</v>
      </c>
      <c r="E201">
        <v>0.08</v>
      </c>
      <c r="F201">
        <v>67.8</v>
      </c>
      <c r="G201">
        <v>18.7</v>
      </c>
      <c r="H201">
        <v>33.299999999999997</v>
      </c>
      <c r="I201">
        <v>31.8</v>
      </c>
      <c r="J201">
        <v>80.8</v>
      </c>
      <c r="K201" s="18">
        <v>9.9104019710252889</v>
      </c>
      <c r="L201">
        <v>9.94</v>
      </c>
      <c r="M201" s="19">
        <v>2.9598028974710644E-2</v>
      </c>
      <c r="P201" s="9">
        <v>7</v>
      </c>
      <c r="Q201" s="9" t="s">
        <v>47</v>
      </c>
      <c r="R201" s="9">
        <v>9.76</v>
      </c>
      <c r="S201" s="9">
        <v>5.0199999999999996</v>
      </c>
      <c r="T201" s="9">
        <v>-0.01</v>
      </c>
      <c r="U201" s="9">
        <v>0.11</v>
      </c>
      <c r="V201" s="9">
        <v>4.6500000000000004</v>
      </c>
      <c r="W201" s="9">
        <v>-0.02</v>
      </c>
      <c r="X201" s="9">
        <v>48.1</v>
      </c>
      <c r="Y201" s="9">
        <v>9.6999999999999993</v>
      </c>
      <c r="Z201" s="9">
        <v>33.200000000000003</v>
      </c>
      <c r="AA201" s="9">
        <v>30.5</v>
      </c>
      <c r="AB201" s="9">
        <v>83.5</v>
      </c>
    </row>
    <row r="202" spans="1:28">
      <c r="A202">
        <v>5.27</v>
      </c>
      <c r="B202">
        <v>-0.08</v>
      </c>
      <c r="C202">
        <v>-0.17</v>
      </c>
      <c r="D202">
        <v>4.5999999999999996</v>
      </c>
      <c r="E202">
        <v>-0.04</v>
      </c>
      <c r="F202">
        <v>64</v>
      </c>
      <c r="G202">
        <v>29.4</v>
      </c>
      <c r="H202">
        <v>34.6</v>
      </c>
      <c r="I202">
        <v>36.299999999999997</v>
      </c>
      <c r="J202">
        <v>82.6</v>
      </c>
      <c r="K202" s="18">
        <v>9.5487110750565201</v>
      </c>
      <c r="L202">
        <v>9.5500000000000007</v>
      </c>
      <c r="M202" s="19">
        <v>1.2889249434806516E-3</v>
      </c>
      <c r="P202" s="9">
        <v>7</v>
      </c>
      <c r="Q202" s="9" t="s">
        <v>49</v>
      </c>
      <c r="R202" s="9">
        <v>9.7899999999999991</v>
      </c>
      <c r="S202" s="9">
        <v>5.0999999999999996</v>
      </c>
      <c r="T202" s="9">
        <v>-0.06</v>
      </c>
      <c r="U202" s="9">
        <v>0.11</v>
      </c>
      <c r="V202" s="9">
        <v>4.6500000000000004</v>
      </c>
      <c r="W202" s="9">
        <v>-0.02</v>
      </c>
      <c r="X202" s="9">
        <v>47.7</v>
      </c>
      <c r="Y202" s="9">
        <v>16</v>
      </c>
      <c r="Z202" s="9">
        <v>33.5</v>
      </c>
      <c r="AA202" s="9">
        <v>32.200000000000003</v>
      </c>
      <c r="AB202" s="9">
        <v>83.4</v>
      </c>
    </row>
    <row r="203" spans="1:28">
      <c r="A203">
        <v>5.38</v>
      </c>
      <c r="B203">
        <v>0</v>
      </c>
      <c r="C203">
        <v>-0.09</v>
      </c>
      <c r="D203">
        <v>4.5999999999999996</v>
      </c>
      <c r="E203">
        <v>0.03</v>
      </c>
      <c r="F203">
        <v>64.8</v>
      </c>
      <c r="G203">
        <v>25.5</v>
      </c>
      <c r="H203">
        <v>34.9</v>
      </c>
      <c r="I203">
        <v>35.9</v>
      </c>
      <c r="J203">
        <v>80.400000000000006</v>
      </c>
      <c r="K203" s="18">
        <v>9.8890480112838066</v>
      </c>
      <c r="L203">
        <v>9.91</v>
      </c>
      <c r="M203" s="19">
        <v>2.0951988716193526E-2</v>
      </c>
      <c r="P203" s="9">
        <v>7</v>
      </c>
      <c r="Q203" s="9" t="s">
        <v>51</v>
      </c>
      <c r="R203" s="9">
        <v>9.91</v>
      </c>
      <c r="S203" s="9">
        <v>4.46</v>
      </c>
      <c r="T203" s="9">
        <v>0.17</v>
      </c>
      <c r="U203" s="9">
        <v>0.63</v>
      </c>
      <c r="V203" s="9">
        <v>4.6500000000000004</v>
      </c>
      <c r="W203" s="9">
        <v>-0.01</v>
      </c>
      <c r="X203" s="9">
        <v>53.8</v>
      </c>
      <c r="Y203" s="9">
        <v>11.6</v>
      </c>
      <c r="Z203" s="9">
        <v>34.4</v>
      </c>
      <c r="AA203" s="9">
        <v>32</v>
      </c>
      <c r="AB203" s="9">
        <v>82.3</v>
      </c>
    </row>
    <row r="204" spans="1:28">
      <c r="A204">
        <v>5.13</v>
      </c>
      <c r="B204">
        <v>-0.04</v>
      </c>
      <c r="C204">
        <v>0.1</v>
      </c>
      <c r="D204">
        <v>4.5999999999999996</v>
      </c>
      <c r="E204">
        <v>0.05</v>
      </c>
      <c r="F204">
        <v>59.4</v>
      </c>
      <c r="G204">
        <v>16.7</v>
      </c>
      <c r="H204">
        <v>34.700000000000003</v>
      </c>
      <c r="I204">
        <v>35.299999999999997</v>
      </c>
      <c r="J204">
        <v>82.1</v>
      </c>
      <c r="K204" s="18">
        <v>9.8267368971767048</v>
      </c>
      <c r="L204">
        <v>9.85</v>
      </c>
      <c r="M204" s="19">
        <v>2.3263102823294801E-2</v>
      </c>
      <c r="P204" s="9">
        <v>7</v>
      </c>
      <c r="Q204" s="9" t="s">
        <v>53</v>
      </c>
      <c r="R204" s="9">
        <v>9.92</v>
      </c>
      <c r="S204" s="9">
        <v>5</v>
      </c>
      <c r="T204" s="9">
        <v>-0.06</v>
      </c>
      <c r="U204" s="9">
        <v>0.36</v>
      </c>
      <c r="V204" s="9">
        <v>4.6500000000000004</v>
      </c>
      <c r="W204" s="9">
        <v>-0.04</v>
      </c>
      <c r="X204" s="9">
        <v>48.2</v>
      </c>
      <c r="Y204" s="9">
        <v>13.5</v>
      </c>
      <c r="Z204" s="9">
        <v>33.4</v>
      </c>
      <c r="AA204" s="9">
        <v>31.9</v>
      </c>
      <c r="AB204" s="9">
        <v>82.6</v>
      </c>
    </row>
    <row r="205" spans="1:28">
      <c r="A205">
        <v>4.92</v>
      </c>
      <c r="B205">
        <v>0.19</v>
      </c>
      <c r="C205">
        <v>0.25</v>
      </c>
      <c r="D205">
        <v>4.5999999999999996</v>
      </c>
      <c r="E205">
        <v>0.05</v>
      </c>
      <c r="F205">
        <v>55.8</v>
      </c>
      <c r="G205">
        <v>14.5</v>
      </c>
      <c r="H205">
        <v>33.4</v>
      </c>
      <c r="I205">
        <v>35.799999999999997</v>
      </c>
      <c r="J205">
        <v>80.599999999999994</v>
      </c>
      <c r="K205" s="18">
        <v>10.021602184403026</v>
      </c>
      <c r="L205">
        <v>10.02</v>
      </c>
      <c r="M205" s="19">
        <v>-1.6021844030262855E-3</v>
      </c>
      <c r="P205" s="9">
        <v>7</v>
      </c>
      <c r="Q205" s="9" t="s">
        <v>55</v>
      </c>
      <c r="R205" s="9">
        <v>9.5500000000000007</v>
      </c>
      <c r="S205" s="9">
        <v>5.32</v>
      </c>
      <c r="T205" s="9">
        <v>-0.15</v>
      </c>
      <c r="U205" s="9">
        <v>-0.31</v>
      </c>
      <c r="V205" s="9">
        <v>4.6500000000000004</v>
      </c>
      <c r="W205" s="9">
        <v>0.08</v>
      </c>
      <c r="X205" s="9">
        <v>70.400000000000006</v>
      </c>
      <c r="Y205" s="9">
        <v>24.2</v>
      </c>
      <c r="Z205" s="9">
        <v>34.200000000000003</v>
      </c>
      <c r="AA205" s="9">
        <v>36.1</v>
      </c>
      <c r="AB205" s="9">
        <v>84.8</v>
      </c>
    </row>
    <row r="206" spans="1:28">
      <c r="A206">
        <v>5.26</v>
      </c>
      <c r="B206">
        <v>0.02</v>
      </c>
      <c r="C206">
        <v>0.01</v>
      </c>
      <c r="D206">
        <v>4.5999999999999996</v>
      </c>
      <c r="E206">
        <v>0.04</v>
      </c>
      <c r="F206">
        <v>64.400000000000006</v>
      </c>
      <c r="G206">
        <v>15.4</v>
      </c>
      <c r="H206">
        <v>34</v>
      </c>
      <c r="I206">
        <v>35.1</v>
      </c>
      <c r="J206">
        <v>80.2</v>
      </c>
      <c r="K206" s="18">
        <v>9.9176823550230786</v>
      </c>
      <c r="L206">
        <v>9.94</v>
      </c>
      <c r="M206" s="19">
        <v>2.2317644976920903E-2</v>
      </c>
      <c r="P206" s="9">
        <v>7</v>
      </c>
      <c r="Q206" s="9" t="s">
        <v>57</v>
      </c>
      <c r="R206" s="9">
        <v>9.65</v>
      </c>
      <c r="S206" s="9">
        <v>4.95</v>
      </c>
      <c r="T206" s="9">
        <v>-7.0000000000000007E-2</v>
      </c>
      <c r="U206" s="9">
        <v>0.11</v>
      </c>
      <c r="V206" s="9">
        <v>4.6500000000000004</v>
      </c>
      <c r="W206" s="9">
        <v>0.04</v>
      </c>
      <c r="X206" s="9">
        <v>72.3</v>
      </c>
      <c r="Y206" s="9">
        <v>33.200000000000003</v>
      </c>
      <c r="Z206" s="9">
        <v>33.1</v>
      </c>
      <c r="AA206" s="9">
        <v>38.5</v>
      </c>
      <c r="AB206" s="9">
        <v>83.8</v>
      </c>
    </row>
    <row r="207" spans="1:28">
      <c r="A207">
        <v>5.32</v>
      </c>
      <c r="B207">
        <v>7.0000000000000007E-2</v>
      </c>
      <c r="C207">
        <v>-0.14000000000000001</v>
      </c>
      <c r="D207">
        <v>4.5999999999999996</v>
      </c>
      <c r="E207">
        <v>0.02</v>
      </c>
      <c r="F207">
        <v>61.9</v>
      </c>
      <c r="G207">
        <v>20.2</v>
      </c>
      <c r="H207">
        <v>34.5</v>
      </c>
      <c r="I207">
        <v>33.5</v>
      </c>
      <c r="J207">
        <v>81.900000000000006</v>
      </c>
      <c r="K207" s="18">
        <v>9.8516564011169372</v>
      </c>
      <c r="L207">
        <v>9.89</v>
      </c>
      <c r="M207" s="19">
        <v>3.8343598883063379E-2</v>
      </c>
      <c r="P207" s="9">
        <v>7</v>
      </c>
      <c r="Q207" s="9" t="s">
        <v>58</v>
      </c>
      <c r="R207" s="9">
        <v>9.8800000000000008</v>
      </c>
      <c r="S207" s="9">
        <v>5.19</v>
      </c>
      <c r="T207" s="9">
        <v>-0.01</v>
      </c>
      <c r="U207" s="9">
        <v>0.04</v>
      </c>
      <c r="V207" s="9">
        <v>4.6500000000000004</v>
      </c>
      <c r="W207" s="9">
        <v>0.01</v>
      </c>
      <c r="X207" s="9">
        <v>67</v>
      </c>
      <c r="Y207" s="9">
        <v>27.5</v>
      </c>
      <c r="Z207" s="9">
        <v>33.6</v>
      </c>
      <c r="AA207" s="9">
        <v>32.799999999999997</v>
      </c>
      <c r="AB207" s="9">
        <v>82.9</v>
      </c>
    </row>
    <row r="208" spans="1:28">
      <c r="A208">
        <v>5.36</v>
      </c>
      <c r="B208">
        <v>0.06</v>
      </c>
      <c r="C208">
        <v>0.03</v>
      </c>
      <c r="D208">
        <v>4.5999999999999996</v>
      </c>
      <c r="E208">
        <v>0.06</v>
      </c>
      <c r="F208">
        <v>60.9</v>
      </c>
      <c r="G208">
        <v>17.100000000000001</v>
      </c>
      <c r="H208">
        <v>35.5</v>
      </c>
      <c r="I208">
        <v>32.200000000000003</v>
      </c>
      <c r="J208">
        <v>78</v>
      </c>
      <c r="K208" s="18">
        <v>10.087706333717074</v>
      </c>
      <c r="L208">
        <v>10.130000000000001</v>
      </c>
      <c r="M208" s="19">
        <v>4.2293666282926523E-2</v>
      </c>
      <c r="P208" s="9">
        <v>7</v>
      </c>
      <c r="Q208" s="9" t="s">
        <v>60</v>
      </c>
      <c r="R208" s="9">
        <v>9.94</v>
      </c>
      <c r="S208" s="9">
        <v>5.47</v>
      </c>
      <c r="T208" s="9">
        <v>-0.14000000000000001</v>
      </c>
      <c r="U208" s="9">
        <v>-0.04</v>
      </c>
      <c r="V208" s="9">
        <v>4.6500000000000004</v>
      </c>
      <c r="W208" s="9">
        <v>-0.01</v>
      </c>
      <c r="X208" s="9">
        <v>67.599999999999994</v>
      </c>
      <c r="Y208" s="9">
        <v>24.3</v>
      </c>
      <c r="Z208" s="9">
        <v>32.9</v>
      </c>
      <c r="AA208" s="9">
        <v>33.6</v>
      </c>
      <c r="AB208" s="9">
        <v>81.8</v>
      </c>
    </row>
    <row r="209" spans="1:28">
      <c r="A209">
        <v>5.39</v>
      </c>
      <c r="B209">
        <v>0.17</v>
      </c>
      <c r="C209">
        <v>0.13</v>
      </c>
      <c r="D209">
        <v>4.5999999999999996</v>
      </c>
      <c r="E209">
        <v>0.05</v>
      </c>
      <c r="F209">
        <v>49.8</v>
      </c>
      <c r="G209">
        <v>12.8</v>
      </c>
      <c r="H209">
        <v>35</v>
      </c>
      <c r="I209">
        <v>33.799999999999997</v>
      </c>
      <c r="J209">
        <v>78.5</v>
      </c>
      <c r="K209" s="18">
        <v>10.347308878639749</v>
      </c>
      <c r="L209">
        <v>10.34</v>
      </c>
      <c r="M209" s="19">
        <v>-7.3088786397494943E-3</v>
      </c>
      <c r="P209" s="9">
        <v>7</v>
      </c>
      <c r="Q209" s="9" t="s">
        <v>66</v>
      </c>
      <c r="R209" s="9">
        <v>9.89</v>
      </c>
      <c r="S209" s="9">
        <v>5.46</v>
      </c>
      <c r="T209" s="9">
        <v>-0.16</v>
      </c>
      <c r="U209" s="9">
        <v>-0.14000000000000001</v>
      </c>
      <c r="V209" s="9">
        <v>4.6500000000000004</v>
      </c>
      <c r="W209" s="9">
        <v>0.06</v>
      </c>
      <c r="X209" s="9">
        <v>69</v>
      </c>
      <c r="Y209" s="9">
        <v>22.5</v>
      </c>
      <c r="Z209" s="9">
        <v>33.200000000000003</v>
      </c>
      <c r="AA209" s="9">
        <v>33.4</v>
      </c>
      <c r="AB209" s="9">
        <v>82.6</v>
      </c>
    </row>
    <row r="210" spans="1:28">
      <c r="A210">
        <v>5.56</v>
      </c>
      <c r="B210">
        <v>0.02</v>
      </c>
      <c r="C210">
        <v>-0.03</v>
      </c>
      <c r="D210">
        <v>4.5999999999999996</v>
      </c>
      <c r="E210">
        <v>0.01</v>
      </c>
      <c r="F210">
        <v>56.6</v>
      </c>
      <c r="G210">
        <v>15.2</v>
      </c>
      <c r="H210">
        <v>34.5</v>
      </c>
      <c r="I210">
        <v>33.6</v>
      </c>
      <c r="J210">
        <v>80.5</v>
      </c>
      <c r="K210" s="18">
        <v>10.156677978375354</v>
      </c>
      <c r="L210">
        <v>10.18</v>
      </c>
      <c r="M210" s="19">
        <v>2.3322021624645473E-2</v>
      </c>
      <c r="P210" s="9">
        <v>7</v>
      </c>
      <c r="Q210" s="9" t="s">
        <v>67</v>
      </c>
      <c r="R210" s="9">
        <v>9.69</v>
      </c>
      <c r="S210" s="9">
        <v>5.27</v>
      </c>
      <c r="T210" s="9">
        <v>-0.08</v>
      </c>
      <c r="U210" s="9">
        <v>-0.17</v>
      </c>
      <c r="V210" s="9">
        <v>4.6500000000000004</v>
      </c>
      <c r="W210" s="9">
        <v>0.08</v>
      </c>
      <c r="X210" s="9">
        <v>64.5</v>
      </c>
      <c r="Y210" s="9">
        <v>31.2</v>
      </c>
      <c r="Z210" s="9">
        <v>34</v>
      </c>
      <c r="AA210" s="9">
        <v>36.200000000000003</v>
      </c>
      <c r="AB210" s="9">
        <v>84.6</v>
      </c>
    </row>
    <row r="211" spans="1:28">
      <c r="A211">
        <v>6</v>
      </c>
      <c r="B211">
        <v>-0.02</v>
      </c>
      <c r="C211">
        <v>-0.43</v>
      </c>
      <c r="D211">
        <v>4.5999999999999996</v>
      </c>
      <c r="E211">
        <v>0.09</v>
      </c>
      <c r="F211">
        <v>56.8</v>
      </c>
      <c r="G211">
        <v>22.6</v>
      </c>
      <c r="H211">
        <v>36.700000000000003</v>
      </c>
      <c r="I211">
        <v>35.9</v>
      </c>
      <c r="J211">
        <v>76.599999999999994</v>
      </c>
      <c r="K211" s="18">
        <v>10.203169451173174</v>
      </c>
      <c r="L211">
        <v>10.220000000000001</v>
      </c>
      <c r="M211" s="19">
        <v>1.683054882682633E-2</v>
      </c>
      <c r="P211" s="9">
        <v>7</v>
      </c>
      <c r="Q211" s="9" t="s">
        <v>69</v>
      </c>
      <c r="R211" s="9">
        <v>9.93</v>
      </c>
      <c r="S211" s="9">
        <v>5.39</v>
      </c>
      <c r="T211" s="9">
        <v>0</v>
      </c>
      <c r="U211" s="9">
        <v>-0.1</v>
      </c>
      <c r="V211" s="9">
        <v>4.6500000000000004</v>
      </c>
      <c r="W211" s="9">
        <v>7.0000000000000007E-2</v>
      </c>
      <c r="X211" s="9">
        <v>65.5</v>
      </c>
      <c r="Y211" s="9">
        <v>24.6</v>
      </c>
      <c r="Z211" s="9">
        <v>34.799999999999997</v>
      </c>
      <c r="AA211" s="9">
        <v>36.200000000000003</v>
      </c>
      <c r="AB211" s="9">
        <v>82.7</v>
      </c>
    </row>
    <row r="212" spans="1:28">
      <c r="A212">
        <v>6.03</v>
      </c>
      <c r="B212">
        <v>-0.06</v>
      </c>
      <c r="C212">
        <v>-0.5</v>
      </c>
      <c r="D212">
        <v>4.5999999999999996</v>
      </c>
      <c r="E212">
        <v>-0.08</v>
      </c>
      <c r="F212">
        <v>56.3</v>
      </c>
      <c r="G212">
        <v>15.3</v>
      </c>
      <c r="H212">
        <v>34.700000000000003</v>
      </c>
      <c r="I212">
        <v>34.6</v>
      </c>
      <c r="J212">
        <v>77.400000000000006</v>
      </c>
      <c r="K212" s="18">
        <v>9.9828041756516352</v>
      </c>
      <c r="L212">
        <v>10</v>
      </c>
      <c r="M212" s="19">
        <v>1.7195824348364752E-2</v>
      </c>
      <c r="P212" s="9">
        <v>7</v>
      </c>
      <c r="Q212" s="9" t="s">
        <v>71</v>
      </c>
      <c r="R212" s="9">
        <v>9.8000000000000007</v>
      </c>
      <c r="S212" s="9">
        <v>5.07</v>
      </c>
      <c r="T212" s="9">
        <v>-0.04</v>
      </c>
      <c r="U212" s="9">
        <v>0.08</v>
      </c>
      <c r="V212" s="9">
        <v>4.6500000000000004</v>
      </c>
      <c r="W212" s="9">
        <v>0.03</v>
      </c>
      <c r="X212" s="9">
        <v>59.7</v>
      </c>
      <c r="Y212" s="9">
        <v>17.7</v>
      </c>
      <c r="Z212" s="9">
        <v>34.299999999999997</v>
      </c>
      <c r="AA212" s="9">
        <v>34.6</v>
      </c>
      <c r="AB212" s="9">
        <v>83.8</v>
      </c>
    </row>
    <row r="213" spans="1:28">
      <c r="A213">
        <v>6.04</v>
      </c>
      <c r="B213">
        <v>-0.16</v>
      </c>
      <c r="C213">
        <v>-0.67</v>
      </c>
      <c r="D213">
        <v>4.5999999999999996</v>
      </c>
      <c r="E213">
        <v>-0.14000000000000001</v>
      </c>
      <c r="F213">
        <v>57.1</v>
      </c>
      <c r="G213">
        <v>21.9</v>
      </c>
      <c r="H213">
        <v>33.700000000000003</v>
      </c>
      <c r="I213">
        <v>33.5</v>
      </c>
      <c r="J213">
        <v>82.8</v>
      </c>
      <c r="K213" s="18">
        <v>9.6623122118963796</v>
      </c>
      <c r="L213">
        <v>9.68</v>
      </c>
      <c r="M213" s="19">
        <v>1.768778810362015E-2</v>
      </c>
      <c r="P213" s="9">
        <v>7</v>
      </c>
      <c r="Q213" s="9" t="s">
        <v>72</v>
      </c>
      <c r="R213" s="9">
        <v>10.029999999999999</v>
      </c>
      <c r="S213" s="9">
        <v>4.92</v>
      </c>
      <c r="T213" s="9">
        <v>0.19</v>
      </c>
      <c r="U213" s="9">
        <v>0.23</v>
      </c>
      <c r="V213" s="9">
        <v>4.6500000000000004</v>
      </c>
      <c r="W213" s="9">
        <v>0.04</v>
      </c>
      <c r="X213" s="9">
        <v>57</v>
      </c>
      <c r="Y213" s="9">
        <v>16.8</v>
      </c>
      <c r="Z213" s="9">
        <v>33.200000000000003</v>
      </c>
      <c r="AA213" s="9">
        <v>31.1</v>
      </c>
      <c r="AB213" s="9">
        <v>82.6</v>
      </c>
    </row>
    <row r="214" spans="1:28">
      <c r="A214">
        <v>6.36</v>
      </c>
      <c r="B214">
        <v>-0.28999999999999998</v>
      </c>
      <c r="C214">
        <v>-0.55000000000000004</v>
      </c>
      <c r="D214">
        <v>4.5999999999999996</v>
      </c>
      <c r="E214">
        <v>-0.13</v>
      </c>
      <c r="F214">
        <v>70.8</v>
      </c>
      <c r="G214">
        <v>19.600000000000001</v>
      </c>
      <c r="H214">
        <v>34.5</v>
      </c>
      <c r="I214">
        <v>37.9</v>
      </c>
      <c r="J214">
        <v>84.3</v>
      </c>
      <c r="K214" s="18">
        <v>9.9580386124883997</v>
      </c>
      <c r="L214">
        <v>9.92</v>
      </c>
      <c r="M214" s="19">
        <v>-3.8038612488399792E-2</v>
      </c>
      <c r="P214" s="9">
        <v>7</v>
      </c>
      <c r="Q214" s="9" t="s">
        <v>74</v>
      </c>
      <c r="R214" s="9">
        <v>9.99</v>
      </c>
      <c r="S214" s="9">
        <v>5.22</v>
      </c>
      <c r="T214" s="9">
        <v>0.02</v>
      </c>
      <c r="U214" s="9">
        <v>0.01</v>
      </c>
      <c r="V214" s="9">
        <v>4.6500000000000004</v>
      </c>
      <c r="W214" s="9">
        <v>0.08</v>
      </c>
      <c r="X214" s="9">
        <v>64.599999999999994</v>
      </c>
      <c r="Y214" s="9">
        <v>18.100000000000001</v>
      </c>
      <c r="Z214" s="9">
        <v>33.4</v>
      </c>
      <c r="AA214" s="9">
        <v>34.799999999999997</v>
      </c>
      <c r="AB214" s="9">
        <v>82.1</v>
      </c>
    </row>
    <row r="215" spans="1:28">
      <c r="A215">
        <v>5.65</v>
      </c>
      <c r="B215">
        <v>0.06</v>
      </c>
      <c r="C215">
        <v>-0.2</v>
      </c>
      <c r="D215">
        <v>4.5999999999999996</v>
      </c>
      <c r="E215">
        <v>-0.11</v>
      </c>
      <c r="F215">
        <v>63.7</v>
      </c>
      <c r="G215">
        <v>33.1</v>
      </c>
      <c r="H215">
        <v>32.299999999999997</v>
      </c>
      <c r="I215">
        <v>37.1</v>
      </c>
      <c r="J215">
        <v>80</v>
      </c>
      <c r="K215" s="18">
        <v>9.9942444702544684</v>
      </c>
      <c r="L215">
        <v>10.02</v>
      </c>
      <c r="M215" s="19">
        <v>2.5755529745531192E-2</v>
      </c>
      <c r="P215" s="9">
        <v>7</v>
      </c>
      <c r="Q215" s="9" t="s">
        <v>75</v>
      </c>
      <c r="R215" s="9">
        <v>9.9700000000000006</v>
      </c>
      <c r="S215" s="9">
        <v>5.28</v>
      </c>
      <c r="T215" s="9">
        <v>0.08</v>
      </c>
      <c r="U215" s="9">
        <v>-0.14000000000000001</v>
      </c>
      <c r="V215" s="9">
        <v>4.6500000000000004</v>
      </c>
      <c r="W215" s="9">
        <v>0.08</v>
      </c>
      <c r="X215" s="9">
        <v>62.6</v>
      </c>
      <c r="Y215" s="9">
        <v>19.5</v>
      </c>
      <c r="Z215" s="9">
        <v>33.799999999999997</v>
      </c>
      <c r="AA215" s="9">
        <v>32.299999999999997</v>
      </c>
      <c r="AB215" s="9">
        <v>83.6</v>
      </c>
    </row>
    <row r="216" spans="1:28">
      <c r="A216">
        <v>5.5</v>
      </c>
      <c r="B216">
        <v>0.04</v>
      </c>
      <c r="C216">
        <v>-0.15</v>
      </c>
      <c r="D216">
        <v>4.5999999999999996</v>
      </c>
      <c r="E216">
        <v>-0.06</v>
      </c>
      <c r="F216">
        <v>57.3</v>
      </c>
      <c r="G216">
        <v>18.600000000000001</v>
      </c>
      <c r="H216">
        <v>33.299999999999997</v>
      </c>
      <c r="I216">
        <v>37.4</v>
      </c>
      <c r="J216">
        <v>79.8</v>
      </c>
      <c r="K216" s="18">
        <v>9.9353929746685825</v>
      </c>
      <c r="L216">
        <v>9.9499999999999993</v>
      </c>
      <c r="M216" s="19">
        <v>1.4607025331416779E-2</v>
      </c>
      <c r="P216" s="9">
        <v>7</v>
      </c>
      <c r="Q216" s="9" t="s">
        <v>79</v>
      </c>
      <c r="R216" s="9">
        <v>10.029999999999999</v>
      </c>
      <c r="S216" s="9">
        <v>5.28</v>
      </c>
      <c r="T216" s="9">
        <v>7.0000000000000007E-2</v>
      </c>
      <c r="U216" s="9">
        <v>0.04</v>
      </c>
      <c r="V216" s="9">
        <v>4.6500000000000004</v>
      </c>
      <c r="W216" s="9">
        <v>-0.03</v>
      </c>
      <c r="X216" s="9">
        <v>62.8</v>
      </c>
      <c r="Y216" s="9">
        <v>17.8</v>
      </c>
      <c r="Z216" s="9">
        <v>34.799999999999997</v>
      </c>
      <c r="AA216" s="9">
        <v>30.5</v>
      </c>
      <c r="AB216" s="9">
        <v>80.3</v>
      </c>
    </row>
    <row r="217" spans="1:28">
      <c r="A217">
        <v>5.87</v>
      </c>
      <c r="B217">
        <v>-0.17</v>
      </c>
      <c r="C217">
        <v>-0.11</v>
      </c>
      <c r="D217">
        <v>4.5999999999999996</v>
      </c>
      <c r="E217">
        <v>0</v>
      </c>
      <c r="F217">
        <v>57</v>
      </c>
      <c r="G217">
        <v>18.2</v>
      </c>
      <c r="H217">
        <v>35.299999999999997</v>
      </c>
      <c r="I217">
        <v>33.6</v>
      </c>
      <c r="J217">
        <v>82.7</v>
      </c>
      <c r="K217" s="18">
        <v>10.173362026550684</v>
      </c>
      <c r="L217">
        <v>10.199999999999999</v>
      </c>
      <c r="M217" s="19">
        <v>2.6637973449314956E-2</v>
      </c>
      <c r="P217" s="9">
        <v>7</v>
      </c>
      <c r="Q217" s="9" t="s">
        <v>80</v>
      </c>
      <c r="R217" s="9">
        <v>10.24</v>
      </c>
      <c r="S217" s="9">
        <v>5.32</v>
      </c>
      <c r="T217" s="9">
        <v>0.16</v>
      </c>
      <c r="U217" s="9">
        <v>0.12</v>
      </c>
      <c r="V217" s="9">
        <v>4.6500000000000004</v>
      </c>
      <c r="W217" s="9">
        <v>-0.02</v>
      </c>
      <c r="X217" s="9">
        <v>50.2</v>
      </c>
      <c r="Y217" s="9">
        <v>13.8</v>
      </c>
      <c r="Z217" s="9">
        <v>34.1</v>
      </c>
      <c r="AA217" s="9">
        <v>31.6</v>
      </c>
      <c r="AB217" s="9">
        <v>80.7</v>
      </c>
    </row>
    <row r="218" spans="1:28">
      <c r="A218">
        <v>6.16</v>
      </c>
      <c r="B218">
        <v>-0.11</v>
      </c>
      <c r="C218">
        <v>-0.36</v>
      </c>
      <c r="D218">
        <v>4.5999999999999996</v>
      </c>
      <c r="E218">
        <v>-0.11</v>
      </c>
      <c r="F218">
        <v>55.1</v>
      </c>
      <c r="G218">
        <v>24.8</v>
      </c>
      <c r="H218">
        <v>35.299999999999997</v>
      </c>
      <c r="I218">
        <v>32.799999999999997</v>
      </c>
      <c r="J218">
        <v>74.5</v>
      </c>
      <c r="K218" s="18">
        <v>10.163256950724024</v>
      </c>
      <c r="L218">
        <v>10.19</v>
      </c>
      <c r="M218" s="19">
        <v>2.6743049275975039E-2</v>
      </c>
      <c r="P218" s="9">
        <v>7</v>
      </c>
      <c r="Q218" s="9" t="s">
        <v>81</v>
      </c>
      <c r="R218" s="9">
        <v>10.16</v>
      </c>
      <c r="S218" s="9">
        <v>5.52</v>
      </c>
      <c r="T218" s="9">
        <v>0.02</v>
      </c>
      <c r="U218" s="9">
        <v>-0.03</v>
      </c>
      <c r="V218" s="9">
        <v>4.6500000000000004</v>
      </c>
      <c r="W218" s="9">
        <v>-0.02</v>
      </c>
      <c r="X218" s="9">
        <v>56.8</v>
      </c>
      <c r="Y218" s="9">
        <v>15.5</v>
      </c>
      <c r="Z218" s="9">
        <v>33.700000000000003</v>
      </c>
      <c r="AA218" s="9">
        <v>32.799999999999997</v>
      </c>
      <c r="AB218" s="9">
        <v>82.4</v>
      </c>
    </row>
    <row r="219" spans="1:28">
      <c r="A219">
        <v>6.16</v>
      </c>
      <c r="B219">
        <v>-0.06</v>
      </c>
      <c r="C219">
        <v>-0.36</v>
      </c>
      <c r="D219">
        <v>4.5999999999999996</v>
      </c>
      <c r="E219">
        <v>-0.02</v>
      </c>
      <c r="F219">
        <v>54.1</v>
      </c>
      <c r="G219">
        <v>33.700000000000003</v>
      </c>
      <c r="H219">
        <v>34.200000000000003</v>
      </c>
      <c r="I219">
        <v>35.5</v>
      </c>
      <c r="J219">
        <v>78.3</v>
      </c>
      <c r="K219" s="18">
        <v>10.305592938309472</v>
      </c>
      <c r="L219">
        <v>10.33</v>
      </c>
      <c r="M219" s="19">
        <v>2.4407061690528309E-2</v>
      </c>
      <c r="P219" s="9">
        <v>7</v>
      </c>
      <c r="Q219" s="9" t="s">
        <v>82</v>
      </c>
      <c r="R219" s="9">
        <v>10.02</v>
      </c>
      <c r="S219" s="9">
        <v>5.88</v>
      </c>
      <c r="T219" s="9">
        <v>-0.02</v>
      </c>
      <c r="U219" s="9">
        <v>-0.43</v>
      </c>
      <c r="V219" s="9">
        <v>4.6500000000000004</v>
      </c>
      <c r="W219" s="9">
        <v>-0.06</v>
      </c>
      <c r="X219" s="9">
        <v>56.3</v>
      </c>
      <c r="Y219" s="9">
        <v>20.8</v>
      </c>
      <c r="Z219" s="9">
        <v>35.5</v>
      </c>
      <c r="AA219" s="9">
        <v>37.1</v>
      </c>
      <c r="AB219" s="9">
        <v>79</v>
      </c>
    </row>
    <row r="220" spans="1:28">
      <c r="A220">
        <v>5.97</v>
      </c>
      <c r="B220">
        <v>0</v>
      </c>
      <c r="C220">
        <v>-0.47</v>
      </c>
      <c r="D220">
        <v>4.5999999999999996</v>
      </c>
      <c r="E220">
        <v>-0.08</v>
      </c>
      <c r="F220">
        <v>61.4</v>
      </c>
      <c r="G220">
        <v>18.3</v>
      </c>
      <c r="H220">
        <v>33.299999999999997</v>
      </c>
      <c r="I220">
        <v>35.299999999999997</v>
      </c>
      <c r="J220">
        <v>79</v>
      </c>
      <c r="K220" s="18">
        <v>10.016781317560582</v>
      </c>
      <c r="L220">
        <v>10.029999999999999</v>
      </c>
      <c r="M220" s="19">
        <v>1.3218682439417151E-2</v>
      </c>
      <c r="P220" s="9">
        <v>7</v>
      </c>
      <c r="Q220" s="9" t="s">
        <v>83</v>
      </c>
      <c r="R220" s="9">
        <v>10.19</v>
      </c>
      <c r="S220" s="9">
        <v>6.06</v>
      </c>
      <c r="T220" s="9">
        <v>-0.08</v>
      </c>
      <c r="U220" s="9">
        <v>-0.52</v>
      </c>
      <c r="V220" s="9">
        <v>4.6500000000000004</v>
      </c>
      <c r="W220" s="9">
        <v>0.08</v>
      </c>
      <c r="X220" s="9">
        <v>57.5</v>
      </c>
      <c r="Y220" s="9">
        <v>17.899999999999999</v>
      </c>
      <c r="Z220" s="9">
        <v>35.200000000000003</v>
      </c>
      <c r="AA220" s="9">
        <v>32.700000000000003</v>
      </c>
      <c r="AB220" s="9">
        <v>79.8</v>
      </c>
    </row>
    <row r="221" spans="1:28">
      <c r="A221">
        <v>6.04</v>
      </c>
      <c r="B221">
        <v>-0.16</v>
      </c>
      <c r="C221">
        <v>-0.4</v>
      </c>
      <c r="D221">
        <v>4.5999999999999996</v>
      </c>
      <c r="E221">
        <v>-0.2</v>
      </c>
      <c r="F221">
        <v>66.099999999999994</v>
      </c>
      <c r="G221">
        <v>15.5</v>
      </c>
      <c r="H221">
        <v>30.2</v>
      </c>
      <c r="I221">
        <v>31.6</v>
      </c>
      <c r="J221">
        <v>76.900000000000006</v>
      </c>
      <c r="K221" s="18">
        <v>9.9030511636883674</v>
      </c>
      <c r="L221">
        <v>9.89</v>
      </c>
      <c r="M221" s="19">
        <v>-1.3051163688366785E-2</v>
      </c>
      <c r="P221" s="9">
        <v>7</v>
      </c>
      <c r="Q221" s="9" t="s">
        <v>84</v>
      </c>
      <c r="R221" s="9">
        <v>9.93</v>
      </c>
      <c r="S221" s="9">
        <v>6.09</v>
      </c>
      <c r="T221" s="9">
        <v>-0.16</v>
      </c>
      <c r="U221" s="9">
        <v>-0.67</v>
      </c>
      <c r="V221" s="9">
        <v>4.6500000000000004</v>
      </c>
      <c r="W221" s="9">
        <v>0</v>
      </c>
      <c r="X221" s="9">
        <v>58</v>
      </c>
      <c r="Y221" s="9">
        <v>23.6</v>
      </c>
      <c r="Z221" s="9">
        <v>33.700000000000003</v>
      </c>
      <c r="AA221" s="9">
        <v>31</v>
      </c>
      <c r="AB221" s="9">
        <v>84.6</v>
      </c>
    </row>
    <row r="222" spans="1:28">
      <c r="A222">
        <v>5.99</v>
      </c>
      <c r="B222">
        <v>0.04</v>
      </c>
      <c r="C222">
        <v>-0.3</v>
      </c>
      <c r="D222">
        <v>4.5999999999999996</v>
      </c>
      <c r="E222">
        <v>0.06</v>
      </c>
      <c r="F222">
        <v>55.4</v>
      </c>
      <c r="G222">
        <v>19.3</v>
      </c>
      <c r="H222">
        <v>34.299999999999997</v>
      </c>
      <c r="I222">
        <v>36.5</v>
      </c>
      <c r="J222">
        <v>82.3</v>
      </c>
      <c r="K222" s="18">
        <v>10.384453537753499</v>
      </c>
      <c r="L222">
        <v>10.35</v>
      </c>
      <c r="M222" s="19">
        <v>-3.4453537753499575E-2</v>
      </c>
      <c r="P222" s="9">
        <v>7</v>
      </c>
      <c r="Q222" s="9" t="s">
        <v>85</v>
      </c>
      <c r="R222" s="9">
        <v>9.94</v>
      </c>
      <c r="S222" s="9">
        <v>6.24</v>
      </c>
      <c r="T222" s="9">
        <v>-0.27</v>
      </c>
      <c r="U222" s="9">
        <v>-0.52</v>
      </c>
      <c r="V222" s="9">
        <v>4.6500000000000004</v>
      </c>
      <c r="W222" s="9">
        <v>-0.06</v>
      </c>
      <c r="X222" s="9">
        <v>71.5</v>
      </c>
      <c r="Y222" s="9">
        <v>25.6</v>
      </c>
      <c r="Z222" s="9">
        <v>33.5</v>
      </c>
      <c r="AA222" s="9">
        <v>35.799999999999997</v>
      </c>
      <c r="AB222" s="9">
        <v>86.3</v>
      </c>
    </row>
    <row r="223" spans="1:28">
      <c r="A223">
        <v>7.07</v>
      </c>
      <c r="B223">
        <v>-0.2</v>
      </c>
      <c r="C223">
        <v>-0.71</v>
      </c>
      <c r="D223">
        <v>4.5999999999999996</v>
      </c>
      <c r="E223">
        <v>-0.16</v>
      </c>
      <c r="F223">
        <v>58.9</v>
      </c>
      <c r="G223">
        <v>26.2</v>
      </c>
      <c r="H223">
        <v>36.4</v>
      </c>
      <c r="I223">
        <v>39.1</v>
      </c>
      <c r="J223">
        <v>83.3</v>
      </c>
      <c r="K223" s="18">
        <v>10.566909789741675</v>
      </c>
      <c r="L223">
        <v>10.42</v>
      </c>
      <c r="M223" s="19">
        <v>-0.14690978974167557</v>
      </c>
      <c r="P223" s="9">
        <v>7</v>
      </c>
      <c r="Q223" s="9" t="s">
        <v>86</v>
      </c>
      <c r="R223" s="9">
        <v>10.17</v>
      </c>
      <c r="S223" s="9">
        <v>5.66</v>
      </c>
      <c r="T223" s="9">
        <v>0.06</v>
      </c>
      <c r="U223" s="9">
        <v>-0.23</v>
      </c>
      <c r="V223" s="9">
        <v>4.6500000000000004</v>
      </c>
      <c r="W223" s="9">
        <v>0.01</v>
      </c>
      <c r="X223" s="9">
        <v>65</v>
      </c>
      <c r="Y223" s="9">
        <v>35.6</v>
      </c>
      <c r="Z223" s="9">
        <v>32.4</v>
      </c>
      <c r="AA223" s="9">
        <v>38.299999999999997</v>
      </c>
      <c r="AB223" s="9">
        <v>81.8</v>
      </c>
    </row>
    <row r="224" spans="1:28">
      <c r="A224">
        <v>6.71</v>
      </c>
      <c r="B224">
        <v>-0.24</v>
      </c>
      <c r="C224">
        <v>-0.79</v>
      </c>
      <c r="D224">
        <v>4.5999999999999996</v>
      </c>
      <c r="E224">
        <v>-0.1</v>
      </c>
      <c r="F224">
        <v>57.7</v>
      </c>
      <c r="G224">
        <v>26.8</v>
      </c>
      <c r="H224">
        <v>35.4</v>
      </c>
      <c r="I224">
        <v>34.6</v>
      </c>
      <c r="J224">
        <v>83.1</v>
      </c>
      <c r="K224" s="18">
        <v>10.150622047542278</v>
      </c>
      <c r="L224">
        <v>10.17</v>
      </c>
      <c r="M224" s="19">
        <v>1.9377952457722003E-2</v>
      </c>
      <c r="P224" s="9">
        <v>7</v>
      </c>
      <c r="Q224" s="9" t="s">
        <v>88</v>
      </c>
      <c r="R224" s="9">
        <v>9.9700000000000006</v>
      </c>
      <c r="S224" s="9">
        <v>5.41</v>
      </c>
      <c r="T224" s="9">
        <v>0.04</v>
      </c>
      <c r="U224" s="9">
        <v>-0.14000000000000001</v>
      </c>
      <c r="V224" s="9">
        <v>4.6500000000000004</v>
      </c>
      <c r="W224" s="9">
        <v>0</v>
      </c>
      <c r="X224" s="9">
        <v>59.3</v>
      </c>
      <c r="Y224" s="9">
        <v>21.4</v>
      </c>
      <c r="Z224" s="9">
        <v>33.4</v>
      </c>
      <c r="AA224" s="9">
        <v>36.700000000000003</v>
      </c>
      <c r="AB224" s="9">
        <v>81.8</v>
      </c>
    </row>
    <row r="225" spans="1:28">
      <c r="A225">
        <v>6.46</v>
      </c>
      <c r="B225">
        <v>-0.1</v>
      </c>
      <c r="C225">
        <v>-0.61</v>
      </c>
      <c r="D225">
        <v>4.5999999999999996</v>
      </c>
      <c r="E225">
        <v>-0.05</v>
      </c>
      <c r="F225">
        <v>62.1</v>
      </c>
      <c r="G225">
        <v>36.200000000000003</v>
      </c>
      <c r="H225">
        <v>33.200000000000003</v>
      </c>
      <c r="I225">
        <v>38.799999999999997</v>
      </c>
      <c r="J225">
        <v>83.4</v>
      </c>
      <c r="K225" s="18">
        <v>10.27938632278852</v>
      </c>
      <c r="L225">
        <v>10.3</v>
      </c>
      <c r="M225" s="19">
        <v>2.0613677211480663E-2</v>
      </c>
      <c r="P225" s="9">
        <v>7</v>
      </c>
      <c r="Q225" s="9" t="s">
        <v>89</v>
      </c>
      <c r="R225" s="9">
        <v>10.36</v>
      </c>
      <c r="S225" s="9">
        <v>5.83</v>
      </c>
      <c r="T225" s="9">
        <v>-0.17</v>
      </c>
      <c r="U225" s="9">
        <v>-0.1</v>
      </c>
      <c r="V225" s="9">
        <v>4.6500000000000004</v>
      </c>
      <c r="W225" s="9">
        <v>0.14000000000000001</v>
      </c>
      <c r="X225" s="9">
        <v>57.1</v>
      </c>
      <c r="Y225" s="9">
        <v>20.2</v>
      </c>
      <c r="Z225" s="9">
        <v>34.4</v>
      </c>
      <c r="AA225" s="9">
        <v>33.700000000000003</v>
      </c>
      <c r="AB225" s="9">
        <v>84.6</v>
      </c>
    </row>
    <row r="226" spans="1:28">
      <c r="A226">
        <v>6.54</v>
      </c>
      <c r="B226">
        <v>-0.22</v>
      </c>
      <c r="C226">
        <v>-0.6</v>
      </c>
      <c r="D226">
        <v>4.5999999999999996</v>
      </c>
      <c r="E226">
        <v>-0.08</v>
      </c>
      <c r="F226">
        <v>65.5</v>
      </c>
      <c r="G226">
        <v>29.4</v>
      </c>
      <c r="H226">
        <v>34.1</v>
      </c>
      <c r="I226">
        <v>38.200000000000003</v>
      </c>
      <c r="J226">
        <v>81</v>
      </c>
      <c r="K226" s="18">
        <v>10.211287170800263</v>
      </c>
      <c r="L226">
        <v>10.25</v>
      </c>
      <c r="M226" s="19">
        <v>3.8712829199736731E-2</v>
      </c>
      <c r="P226" s="9">
        <v>7</v>
      </c>
      <c r="Q226" s="9" t="s">
        <v>90</v>
      </c>
      <c r="R226" s="9">
        <v>10.47</v>
      </c>
      <c r="S226" s="9">
        <v>6.2</v>
      </c>
      <c r="T226" s="9">
        <v>-0.11</v>
      </c>
      <c r="U226" s="9">
        <v>-0.36</v>
      </c>
      <c r="V226" s="9">
        <v>4.6500000000000004</v>
      </c>
      <c r="W226" s="9">
        <v>0.11</v>
      </c>
      <c r="X226" s="9">
        <v>57</v>
      </c>
      <c r="Y226" s="9">
        <v>27.2</v>
      </c>
      <c r="Z226" s="9">
        <v>35.799999999999997</v>
      </c>
      <c r="AA226" s="9">
        <v>31.1</v>
      </c>
      <c r="AB226" s="9">
        <v>77</v>
      </c>
    </row>
    <row r="227" spans="1:28">
      <c r="A227">
        <v>6.24</v>
      </c>
      <c r="B227">
        <v>-0.12</v>
      </c>
      <c r="C227">
        <v>-0.76</v>
      </c>
      <c r="D227">
        <v>4.5999999999999996</v>
      </c>
      <c r="E227">
        <v>-0.08</v>
      </c>
      <c r="F227">
        <v>56.6</v>
      </c>
      <c r="G227">
        <v>19.3</v>
      </c>
      <c r="H227">
        <v>34.700000000000003</v>
      </c>
      <c r="I227">
        <v>36.799999999999997</v>
      </c>
      <c r="J227">
        <v>84.2</v>
      </c>
      <c r="K227" s="18">
        <v>9.8652126015691941</v>
      </c>
      <c r="L227">
        <v>9.85</v>
      </c>
      <c r="M227" s="19">
        <v>-1.5212601569194462E-2</v>
      </c>
      <c r="P227" s="9">
        <v>7</v>
      </c>
      <c r="Q227" s="9" t="s">
        <v>91</v>
      </c>
      <c r="R227" s="9">
        <v>10.210000000000001</v>
      </c>
      <c r="S227" s="9">
        <v>5.99</v>
      </c>
      <c r="T227" s="9">
        <v>-0.05</v>
      </c>
      <c r="U227" s="9">
        <v>-0.35</v>
      </c>
      <c r="V227" s="9">
        <v>4.6500000000000004</v>
      </c>
      <c r="W227" s="9">
        <v>-0.04</v>
      </c>
      <c r="X227" s="9">
        <v>55</v>
      </c>
      <c r="Y227" s="9">
        <v>34.1</v>
      </c>
      <c r="Z227" s="9">
        <v>33.5</v>
      </c>
      <c r="AA227" s="9">
        <v>32.5</v>
      </c>
      <c r="AB227" s="9">
        <v>80.599999999999994</v>
      </c>
    </row>
    <row r="228" spans="1:28">
      <c r="A228">
        <v>6.7</v>
      </c>
      <c r="B228">
        <v>-0.09</v>
      </c>
      <c r="C228">
        <v>-0.9</v>
      </c>
      <c r="D228">
        <v>4.5999999999999996</v>
      </c>
      <c r="E228">
        <v>-0.13</v>
      </c>
      <c r="F228">
        <v>55.1</v>
      </c>
      <c r="G228">
        <v>19.600000000000001</v>
      </c>
      <c r="H228">
        <v>34.700000000000003</v>
      </c>
      <c r="I228">
        <v>38.700000000000003</v>
      </c>
      <c r="J228">
        <v>86.1</v>
      </c>
      <c r="K228" s="18">
        <v>10.170224901697562</v>
      </c>
      <c r="L228">
        <v>10.130000000000001</v>
      </c>
      <c r="M228" s="19">
        <v>-4.0224901697561322E-2</v>
      </c>
      <c r="P228" s="9">
        <v>7</v>
      </c>
      <c r="Q228" s="9" t="s">
        <v>92</v>
      </c>
      <c r="R228" s="9">
        <v>10.18</v>
      </c>
      <c r="S228" s="9">
        <v>5.95</v>
      </c>
      <c r="T228" s="9">
        <v>-0.01</v>
      </c>
      <c r="U228" s="9">
        <v>-0.47</v>
      </c>
      <c r="V228" s="9">
        <v>4.6500000000000004</v>
      </c>
      <c r="W228" s="9">
        <v>0.05</v>
      </c>
      <c r="X228" s="9">
        <v>63</v>
      </c>
      <c r="Y228" s="9">
        <v>19.2</v>
      </c>
      <c r="Z228" s="9">
        <v>33.200000000000003</v>
      </c>
      <c r="AA228" s="9">
        <v>33.700000000000003</v>
      </c>
      <c r="AB228" s="9">
        <v>81</v>
      </c>
    </row>
    <row r="229" spans="1:28">
      <c r="A229">
        <v>6.59</v>
      </c>
      <c r="B229">
        <v>0.17</v>
      </c>
      <c r="C229">
        <v>-1.58</v>
      </c>
      <c r="D229">
        <v>4.5999999999999996</v>
      </c>
      <c r="E229">
        <v>-0.27</v>
      </c>
      <c r="F229">
        <v>60.1</v>
      </c>
      <c r="G229">
        <v>24.5</v>
      </c>
      <c r="H229">
        <v>34.200000000000003</v>
      </c>
      <c r="I229">
        <v>35.799999999999997</v>
      </c>
      <c r="J229">
        <v>89.3</v>
      </c>
      <c r="K229" s="18">
        <v>9.4904135738608879</v>
      </c>
      <c r="L229">
        <v>9.52</v>
      </c>
      <c r="M229" s="19">
        <v>2.9586426139111666E-2</v>
      </c>
      <c r="P229" s="9">
        <v>7</v>
      </c>
      <c r="Q229" s="9" t="s">
        <v>93</v>
      </c>
      <c r="R229" s="9">
        <v>10.130000000000001</v>
      </c>
      <c r="S229" s="9">
        <v>6.03</v>
      </c>
      <c r="T229" s="9">
        <v>-0.17</v>
      </c>
      <c r="U229" s="9">
        <v>-0.39</v>
      </c>
      <c r="V229" s="9">
        <v>4.6500000000000004</v>
      </c>
      <c r="W229" s="9">
        <v>-0.01</v>
      </c>
      <c r="X229" s="9">
        <v>68</v>
      </c>
      <c r="Y229" s="9">
        <v>17.100000000000001</v>
      </c>
      <c r="Z229" s="9">
        <v>31</v>
      </c>
      <c r="AA229" s="9">
        <v>29.9</v>
      </c>
      <c r="AB229" s="9">
        <v>79.099999999999994</v>
      </c>
    </row>
    <row r="230" spans="1:28">
      <c r="A230">
        <v>6.21</v>
      </c>
      <c r="B230">
        <v>-0.33</v>
      </c>
      <c r="C230">
        <v>-0.22</v>
      </c>
      <c r="D230">
        <v>4.6500000000000004</v>
      </c>
      <c r="E230">
        <v>-0.02</v>
      </c>
      <c r="F230">
        <v>53.5</v>
      </c>
      <c r="G230">
        <v>13.5</v>
      </c>
      <c r="H230">
        <v>32.4</v>
      </c>
      <c r="I230">
        <v>32.6</v>
      </c>
      <c r="J230">
        <v>84.4</v>
      </c>
      <c r="K230" s="18">
        <v>10.306439044541069</v>
      </c>
      <c r="L230">
        <v>10.31</v>
      </c>
      <c r="M230" s="19">
        <v>3.5609554589317582E-3</v>
      </c>
      <c r="P230" s="9">
        <v>7</v>
      </c>
      <c r="Q230" s="9" t="s">
        <v>94</v>
      </c>
      <c r="R230" s="9">
        <v>10.31</v>
      </c>
      <c r="S230" s="9">
        <v>5.9</v>
      </c>
      <c r="T230" s="9">
        <v>0.04</v>
      </c>
      <c r="U230" s="9">
        <v>-0.28999999999999998</v>
      </c>
      <c r="V230" s="9">
        <v>4.6500000000000004</v>
      </c>
      <c r="W230" s="9">
        <v>0</v>
      </c>
      <c r="X230" s="9">
        <v>57.9</v>
      </c>
      <c r="Y230" s="9">
        <v>21.5</v>
      </c>
      <c r="Z230" s="9">
        <v>34.1</v>
      </c>
      <c r="AA230" s="9">
        <v>33.299999999999997</v>
      </c>
      <c r="AB230" s="9">
        <v>83.9</v>
      </c>
    </row>
    <row r="231" spans="1:28">
      <c r="A231">
        <v>6.35</v>
      </c>
      <c r="B231">
        <v>-0.37</v>
      </c>
      <c r="C231">
        <v>-0.79</v>
      </c>
      <c r="D231">
        <v>4.6500000000000004</v>
      </c>
      <c r="E231">
        <v>-0.01</v>
      </c>
      <c r="F231">
        <v>61.4</v>
      </c>
      <c r="G231">
        <v>28.4</v>
      </c>
      <c r="H231">
        <v>33.5</v>
      </c>
      <c r="I231">
        <v>34.200000000000003</v>
      </c>
      <c r="J231">
        <v>84.8</v>
      </c>
      <c r="K231" s="18">
        <v>9.8025936689456259</v>
      </c>
      <c r="L231">
        <v>9.85</v>
      </c>
      <c r="M231" s="19">
        <v>4.7406331054373751E-2</v>
      </c>
      <c r="P231" s="9">
        <v>7</v>
      </c>
      <c r="Q231" s="9" t="s">
        <v>95</v>
      </c>
      <c r="R231" s="9">
        <v>10.78</v>
      </c>
      <c r="S231" s="9">
        <v>6.93</v>
      </c>
      <c r="T231" s="9">
        <v>-0.19</v>
      </c>
      <c r="U231" s="9">
        <v>-0.68</v>
      </c>
      <c r="V231" s="9">
        <v>4.6500000000000004</v>
      </c>
      <c r="W231" s="9">
        <v>0.06</v>
      </c>
      <c r="X231" s="9">
        <v>58.9</v>
      </c>
      <c r="Y231" s="9">
        <v>24.8</v>
      </c>
      <c r="Z231" s="9">
        <v>34.5</v>
      </c>
      <c r="AA231" s="9">
        <v>34.799999999999997</v>
      </c>
      <c r="AB231" s="9">
        <v>85.1</v>
      </c>
    </row>
    <row r="232" spans="1:28">
      <c r="A232">
        <v>5.99</v>
      </c>
      <c r="B232">
        <v>-0.35</v>
      </c>
      <c r="C232">
        <v>-0.62</v>
      </c>
      <c r="D232">
        <v>4.6500000000000004</v>
      </c>
      <c r="E232">
        <v>-7.0000000000000007E-2</v>
      </c>
      <c r="F232">
        <v>63.7</v>
      </c>
      <c r="G232">
        <v>22.2</v>
      </c>
      <c r="H232">
        <v>34</v>
      </c>
      <c r="I232">
        <v>31.4</v>
      </c>
      <c r="J232">
        <v>87.1</v>
      </c>
      <c r="K232" s="18">
        <v>9.5718791642508627</v>
      </c>
      <c r="L232">
        <v>9.6199999999999992</v>
      </c>
      <c r="M232" s="19">
        <v>4.8120835749136504E-2</v>
      </c>
      <c r="P232" s="9">
        <v>7</v>
      </c>
      <c r="Q232" s="9" t="s">
        <v>96</v>
      </c>
      <c r="R232" s="9">
        <v>10.41</v>
      </c>
      <c r="S232" s="9">
        <v>6.7</v>
      </c>
      <c r="T232" s="9">
        <v>-0.27</v>
      </c>
      <c r="U232" s="9">
        <v>-0.76</v>
      </c>
      <c r="V232" s="9">
        <v>4.6500000000000004</v>
      </c>
      <c r="W232" s="9">
        <v>7.0000000000000007E-2</v>
      </c>
      <c r="X232" s="9">
        <v>59.3</v>
      </c>
      <c r="Y232" s="9">
        <v>25.6</v>
      </c>
      <c r="Z232" s="9">
        <v>34.5</v>
      </c>
      <c r="AA232" s="9">
        <v>33.799999999999997</v>
      </c>
      <c r="AB232" s="9">
        <v>84.7</v>
      </c>
    </row>
    <row r="233" spans="1:28">
      <c r="A233">
        <v>5.91</v>
      </c>
      <c r="B233">
        <v>-0.16</v>
      </c>
      <c r="C233">
        <v>-0.33</v>
      </c>
      <c r="D233">
        <v>4.6500000000000004</v>
      </c>
      <c r="E233">
        <v>0.03</v>
      </c>
      <c r="F233">
        <v>64.099999999999994</v>
      </c>
      <c r="G233">
        <v>24.4</v>
      </c>
      <c r="H233">
        <v>32.5</v>
      </c>
      <c r="I233">
        <v>33.4</v>
      </c>
      <c r="J233">
        <v>86</v>
      </c>
      <c r="K233" s="18">
        <v>10.087850644745084</v>
      </c>
      <c r="L233">
        <v>10.11</v>
      </c>
      <c r="M233" s="19">
        <v>2.2149355254915903E-2</v>
      </c>
      <c r="P233" s="9">
        <v>7</v>
      </c>
      <c r="Q233" s="9" t="s">
        <v>97</v>
      </c>
      <c r="R233" s="9">
        <v>10.119999999999999</v>
      </c>
      <c r="S233" s="9">
        <v>6.34</v>
      </c>
      <c r="T233" s="9">
        <v>-0.1</v>
      </c>
      <c r="U233" s="9">
        <v>-0.6</v>
      </c>
      <c r="V233" s="9">
        <v>4.6500000000000004</v>
      </c>
      <c r="W233" s="9">
        <v>-0.03</v>
      </c>
      <c r="X233" s="9">
        <v>64.099999999999994</v>
      </c>
      <c r="Y233" s="9">
        <v>38.299999999999997</v>
      </c>
      <c r="Z233" s="9">
        <v>34</v>
      </c>
      <c r="AA233" s="9">
        <v>38.9</v>
      </c>
      <c r="AB233" s="9">
        <v>85.1</v>
      </c>
    </row>
    <row r="234" spans="1:28">
      <c r="A234">
        <v>6.72</v>
      </c>
      <c r="B234">
        <v>-0.63</v>
      </c>
      <c r="C234">
        <v>-0.72</v>
      </c>
      <c r="D234">
        <v>4.6500000000000004</v>
      </c>
      <c r="E234">
        <v>-0.01</v>
      </c>
      <c r="F234">
        <v>62.9</v>
      </c>
      <c r="G234">
        <v>32.299999999999997</v>
      </c>
      <c r="H234">
        <v>33</v>
      </c>
      <c r="I234">
        <v>37.9</v>
      </c>
      <c r="J234">
        <v>85.1</v>
      </c>
      <c r="K234" s="18">
        <v>9.9810965042467217</v>
      </c>
      <c r="L234">
        <v>10.01</v>
      </c>
      <c r="M234" s="19">
        <v>2.8903495753278108E-2</v>
      </c>
      <c r="P234" s="9">
        <v>7</v>
      </c>
      <c r="Q234" s="9" t="s">
        <v>98</v>
      </c>
      <c r="R234" s="9">
        <v>10.25</v>
      </c>
      <c r="S234" s="9">
        <v>6.41</v>
      </c>
      <c r="T234" s="9">
        <v>-0.22</v>
      </c>
      <c r="U234" s="9">
        <v>-0.56999999999999995</v>
      </c>
      <c r="V234" s="9">
        <v>4.6500000000000004</v>
      </c>
      <c r="W234" s="9">
        <v>0.02</v>
      </c>
      <c r="X234" s="9">
        <v>66.599999999999994</v>
      </c>
      <c r="Y234" s="9">
        <v>30.8</v>
      </c>
      <c r="Z234" s="9">
        <v>34.299999999999997</v>
      </c>
      <c r="AA234" s="9">
        <v>37.5</v>
      </c>
      <c r="AB234" s="9">
        <v>82.8</v>
      </c>
    </row>
    <row r="235" spans="1:28">
      <c r="A235">
        <v>6.12</v>
      </c>
      <c r="B235">
        <v>-0.31</v>
      </c>
      <c r="C235">
        <v>-0.49</v>
      </c>
      <c r="D235">
        <v>4.6500000000000004</v>
      </c>
      <c r="E235">
        <v>-0.06</v>
      </c>
      <c r="F235">
        <v>77.900000000000006</v>
      </c>
      <c r="G235">
        <v>29.1</v>
      </c>
      <c r="H235">
        <v>33.700000000000003</v>
      </c>
      <c r="I235">
        <v>37.4</v>
      </c>
      <c r="J235">
        <v>87.1</v>
      </c>
      <c r="K235" s="18">
        <v>9.8615590068203769</v>
      </c>
      <c r="L235">
        <v>9.75</v>
      </c>
      <c r="M235" s="19">
        <v>-0.11155900682037689</v>
      </c>
      <c r="P235" s="9">
        <v>7</v>
      </c>
      <c r="Q235" s="9" t="s">
        <v>99</v>
      </c>
      <c r="R235" s="9">
        <v>10.09</v>
      </c>
      <c r="S235" s="9">
        <v>6.21</v>
      </c>
      <c r="T235" s="9">
        <v>-0.13</v>
      </c>
      <c r="U235" s="9">
        <v>-0.75</v>
      </c>
      <c r="V235" s="9">
        <v>4.6500000000000004</v>
      </c>
      <c r="W235" s="9">
        <v>0.15</v>
      </c>
      <c r="X235" s="9">
        <v>60.1</v>
      </c>
      <c r="Y235" s="9">
        <v>20.7</v>
      </c>
      <c r="Z235" s="9">
        <v>34.5</v>
      </c>
      <c r="AA235" s="9">
        <v>34.1</v>
      </c>
      <c r="AB235" s="9">
        <v>85.9</v>
      </c>
    </row>
    <row r="236" spans="1:28">
      <c r="A236">
        <v>5.43</v>
      </c>
      <c r="B236">
        <v>-0.2</v>
      </c>
      <c r="C236">
        <v>-0.28000000000000003</v>
      </c>
      <c r="D236">
        <v>4.6500000000000004</v>
      </c>
      <c r="E236">
        <v>0.01</v>
      </c>
      <c r="F236">
        <v>59.8</v>
      </c>
      <c r="G236">
        <v>27.9</v>
      </c>
      <c r="H236">
        <v>33.799999999999997</v>
      </c>
      <c r="I236">
        <v>31.3</v>
      </c>
      <c r="J236">
        <v>84.8</v>
      </c>
      <c r="K236" s="18">
        <v>9.5866572393941158</v>
      </c>
      <c r="L236">
        <v>9.6199999999999992</v>
      </c>
      <c r="M236" s="19">
        <v>3.334276060588337E-2</v>
      </c>
      <c r="P236" s="9">
        <v>7</v>
      </c>
      <c r="Q236" s="9" t="s">
        <v>100</v>
      </c>
      <c r="R236" s="9">
        <v>10.31</v>
      </c>
      <c r="S236" s="9">
        <v>6.65</v>
      </c>
      <c r="T236" s="9">
        <v>-0.12</v>
      </c>
      <c r="U236" s="9">
        <v>-0.9</v>
      </c>
      <c r="V236" s="9">
        <v>4.6500000000000004</v>
      </c>
      <c r="W236" s="9">
        <v>0.01</v>
      </c>
      <c r="X236" s="9">
        <v>51.6</v>
      </c>
      <c r="Y236" s="9">
        <v>21.5</v>
      </c>
      <c r="Z236" s="9">
        <v>34.1</v>
      </c>
      <c r="AA236" s="9">
        <v>39</v>
      </c>
      <c r="AB236" s="9">
        <v>87.5</v>
      </c>
    </row>
    <row r="237" spans="1:28">
      <c r="A237">
        <v>5.07</v>
      </c>
      <c r="B237">
        <v>-0.04</v>
      </c>
      <c r="C237">
        <v>0.02</v>
      </c>
      <c r="D237">
        <v>4.6500000000000004</v>
      </c>
      <c r="E237">
        <v>-0.04</v>
      </c>
      <c r="F237">
        <v>55.7</v>
      </c>
      <c r="G237">
        <v>17.2</v>
      </c>
      <c r="H237">
        <v>32.1</v>
      </c>
      <c r="I237">
        <v>32.200000000000003</v>
      </c>
      <c r="J237">
        <v>82.7</v>
      </c>
      <c r="K237" s="18">
        <v>9.675516920489823</v>
      </c>
      <c r="L237">
        <v>9.67</v>
      </c>
      <c r="M237" s="19">
        <v>-5.5169204898231072E-3</v>
      </c>
      <c r="P237" s="9">
        <v>7</v>
      </c>
      <c r="Q237" s="9" t="s">
        <v>101</v>
      </c>
      <c r="R237" s="9">
        <v>9.44</v>
      </c>
      <c r="S237" s="9">
        <v>6.41</v>
      </c>
      <c r="T237" s="9">
        <v>0.11</v>
      </c>
      <c r="U237" s="9">
        <v>-1.48</v>
      </c>
      <c r="V237" s="9">
        <v>4.6500000000000004</v>
      </c>
      <c r="W237" s="9">
        <v>-0.25</v>
      </c>
      <c r="X237" s="9">
        <v>60.2</v>
      </c>
      <c r="Y237" s="9">
        <v>28.8</v>
      </c>
      <c r="Z237" s="9">
        <v>33.9</v>
      </c>
      <c r="AA237" s="9">
        <v>33.9</v>
      </c>
      <c r="AB237" s="9">
        <v>90.1</v>
      </c>
    </row>
    <row r="238" spans="1:28">
      <c r="A238">
        <v>5.38</v>
      </c>
      <c r="B238">
        <v>-0.08</v>
      </c>
      <c r="C238">
        <v>-0.09</v>
      </c>
      <c r="D238">
        <v>4.6500000000000004</v>
      </c>
      <c r="E238">
        <v>-0.06</v>
      </c>
      <c r="F238">
        <v>61.7</v>
      </c>
      <c r="G238">
        <v>27.6</v>
      </c>
      <c r="H238">
        <v>33.6</v>
      </c>
      <c r="I238">
        <v>34.6</v>
      </c>
      <c r="J238">
        <v>83.1</v>
      </c>
      <c r="K238" s="18">
        <v>9.7837610263334973</v>
      </c>
      <c r="L238">
        <v>9.82</v>
      </c>
      <c r="M238" s="19">
        <v>3.6238973666502972E-2</v>
      </c>
      <c r="P238" s="9">
        <v>8</v>
      </c>
      <c r="Q238" s="9" t="s">
        <v>33</v>
      </c>
      <c r="R238" s="9">
        <v>10.28</v>
      </c>
      <c r="S238" s="9">
        <v>6.21</v>
      </c>
      <c r="T238" s="9">
        <v>-0.33</v>
      </c>
      <c r="U238" s="9">
        <v>-0.19</v>
      </c>
      <c r="V238" s="9">
        <v>4.55</v>
      </c>
      <c r="W238" s="9">
        <v>0.03</v>
      </c>
      <c r="X238" s="9">
        <v>56.1</v>
      </c>
      <c r="Y238" s="9">
        <v>16</v>
      </c>
      <c r="Z238" s="9">
        <v>32.200000000000003</v>
      </c>
      <c r="AA238" s="9">
        <v>33.299999999999997</v>
      </c>
      <c r="AB238" s="9">
        <v>87.9</v>
      </c>
    </row>
    <row r="239" spans="1:28">
      <c r="A239">
        <v>5.2</v>
      </c>
      <c r="B239">
        <v>-0.02</v>
      </c>
      <c r="C239">
        <v>-0.08</v>
      </c>
      <c r="D239">
        <v>4.6500000000000004</v>
      </c>
      <c r="E239">
        <v>0.01</v>
      </c>
      <c r="F239">
        <v>55.5</v>
      </c>
      <c r="G239">
        <v>14.5</v>
      </c>
      <c r="H239">
        <v>32.299999999999997</v>
      </c>
      <c r="I239">
        <v>32.6</v>
      </c>
      <c r="J239">
        <v>83.8</v>
      </c>
      <c r="K239" s="18">
        <v>9.7743013874597171</v>
      </c>
      <c r="L239">
        <v>9.77</v>
      </c>
      <c r="M239" s="19">
        <v>-4.3013874597175317E-3</v>
      </c>
      <c r="P239" s="9">
        <v>8</v>
      </c>
      <c r="Q239" s="9" t="s">
        <v>36</v>
      </c>
      <c r="R239" s="9">
        <v>9.85</v>
      </c>
      <c r="S239" s="9">
        <v>6.38</v>
      </c>
      <c r="T239" s="9">
        <v>-0.41</v>
      </c>
      <c r="U239" s="9">
        <v>-0.77</v>
      </c>
      <c r="V239" s="9">
        <v>4.55</v>
      </c>
      <c r="W239" s="9">
        <v>0.11</v>
      </c>
      <c r="X239" s="9">
        <v>63.2</v>
      </c>
      <c r="Y239" s="9">
        <v>29.2</v>
      </c>
      <c r="Z239" s="9">
        <v>31.6</v>
      </c>
      <c r="AA239" s="9">
        <v>32.9</v>
      </c>
      <c r="AB239" s="9">
        <v>88.4</v>
      </c>
    </row>
    <row r="240" spans="1:28">
      <c r="A240">
        <v>5.0199999999999996</v>
      </c>
      <c r="B240">
        <v>-0.01</v>
      </c>
      <c r="C240">
        <v>0.11</v>
      </c>
      <c r="D240">
        <v>4.6500000000000004</v>
      </c>
      <c r="E240">
        <v>-0.02</v>
      </c>
      <c r="F240">
        <v>48.1</v>
      </c>
      <c r="G240">
        <v>9.6999999999999993</v>
      </c>
      <c r="H240">
        <v>33.200000000000003</v>
      </c>
      <c r="I240">
        <v>30.5</v>
      </c>
      <c r="J240">
        <v>83.5</v>
      </c>
      <c r="K240" s="18">
        <v>9.7738024393338225</v>
      </c>
      <c r="L240">
        <v>9.76</v>
      </c>
      <c r="M240" s="19">
        <v>-1.3802439333822747E-2</v>
      </c>
      <c r="P240" s="9">
        <v>8</v>
      </c>
      <c r="Q240" s="9" t="s">
        <v>37</v>
      </c>
      <c r="R240" s="9">
        <v>9.51</v>
      </c>
      <c r="S240" s="9">
        <v>6.02</v>
      </c>
      <c r="T240" s="9">
        <v>-0.37</v>
      </c>
      <c r="U240" s="9">
        <v>-0.64</v>
      </c>
      <c r="V240" s="9">
        <v>4.55</v>
      </c>
      <c r="W240" s="9">
        <v>-0.06</v>
      </c>
      <c r="X240" s="9">
        <v>65.7</v>
      </c>
      <c r="Y240" s="9">
        <v>21.8</v>
      </c>
      <c r="Z240" s="9">
        <v>33.200000000000003</v>
      </c>
      <c r="AA240" s="9">
        <v>32.799999999999997</v>
      </c>
      <c r="AB240" s="9">
        <v>90.2</v>
      </c>
    </row>
    <row r="241" spans="1:28">
      <c r="A241">
        <v>5.0999999999999996</v>
      </c>
      <c r="B241">
        <v>-0.06</v>
      </c>
      <c r="C241">
        <v>0.11</v>
      </c>
      <c r="D241">
        <v>4.6500000000000004</v>
      </c>
      <c r="E241">
        <v>-0.02</v>
      </c>
      <c r="F241">
        <v>47.7</v>
      </c>
      <c r="G241">
        <v>16</v>
      </c>
      <c r="H241">
        <v>33.5</v>
      </c>
      <c r="I241">
        <v>32.200000000000003</v>
      </c>
      <c r="J241">
        <v>83.4</v>
      </c>
      <c r="K241" s="18">
        <v>9.7960401133701556</v>
      </c>
      <c r="L241">
        <v>9.7899999999999991</v>
      </c>
      <c r="M241" s="19">
        <v>-6.0401133701564191E-3</v>
      </c>
      <c r="P241" s="9">
        <v>8</v>
      </c>
      <c r="Q241" s="9" t="s">
        <v>39</v>
      </c>
      <c r="R241" s="9">
        <v>10.1</v>
      </c>
      <c r="S241" s="9">
        <v>5.99</v>
      </c>
      <c r="T241" s="9">
        <v>-0.16</v>
      </c>
      <c r="U241" s="9">
        <v>-0.35</v>
      </c>
      <c r="V241" s="9">
        <v>4.55</v>
      </c>
      <c r="W241" s="9">
        <v>0.06</v>
      </c>
      <c r="X241" s="9">
        <v>65.8</v>
      </c>
      <c r="Y241" s="9">
        <v>26.6</v>
      </c>
      <c r="Z241" s="9">
        <v>32.200000000000003</v>
      </c>
      <c r="AA241" s="9">
        <v>33.9</v>
      </c>
      <c r="AB241" s="9">
        <v>89.4</v>
      </c>
    </row>
    <row r="242" spans="1:28">
      <c r="A242">
        <v>4.46</v>
      </c>
      <c r="B242">
        <v>0.17</v>
      </c>
      <c r="C242">
        <v>0.63</v>
      </c>
      <c r="D242">
        <v>4.6500000000000004</v>
      </c>
      <c r="E242">
        <v>-0.01</v>
      </c>
      <c r="F242">
        <v>53.8</v>
      </c>
      <c r="G242">
        <v>11.6</v>
      </c>
      <c r="H242">
        <v>34.4</v>
      </c>
      <c r="I242">
        <v>32</v>
      </c>
      <c r="J242">
        <v>82.3</v>
      </c>
      <c r="K242" s="18">
        <v>9.9100391024021643</v>
      </c>
      <c r="L242">
        <v>9.91</v>
      </c>
      <c r="M242" s="19">
        <v>-3.9102402164203909E-5</v>
      </c>
      <c r="P242" s="9">
        <v>8</v>
      </c>
      <c r="Q242" s="9" t="s">
        <v>40</v>
      </c>
      <c r="R242" s="9">
        <v>10.01</v>
      </c>
      <c r="S242" s="9">
        <v>6.81</v>
      </c>
      <c r="T242" s="9">
        <v>-0.66</v>
      </c>
      <c r="U242" s="9">
        <v>-0.69</v>
      </c>
      <c r="V242" s="9">
        <v>4.55</v>
      </c>
      <c r="W242" s="9">
        <v>0.04</v>
      </c>
      <c r="X242" s="9">
        <v>64.3</v>
      </c>
      <c r="Y242" s="9">
        <v>32.799999999999997</v>
      </c>
      <c r="Z242" s="9">
        <v>34</v>
      </c>
      <c r="AA242" s="9">
        <v>36</v>
      </c>
      <c r="AB242" s="9">
        <v>88.6</v>
      </c>
    </row>
    <row r="243" spans="1:28">
      <c r="A243">
        <v>5</v>
      </c>
      <c r="B243">
        <v>-0.06</v>
      </c>
      <c r="C243">
        <v>0.36</v>
      </c>
      <c r="D243">
        <v>4.6500000000000004</v>
      </c>
      <c r="E243">
        <v>-0.04</v>
      </c>
      <c r="F243">
        <v>48.2</v>
      </c>
      <c r="G243">
        <v>13.5</v>
      </c>
      <c r="H243">
        <v>33.4</v>
      </c>
      <c r="I243">
        <v>31.9</v>
      </c>
      <c r="J243">
        <v>82.6</v>
      </c>
      <c r="K243" s="18">
        <v>9.9322247384042068</v>
      </c>
      <c r="L243">
        <v>9.92</v>
      </c>
      <c r="M243" s="19">
        <v>-1.2224738404206903E-2</v>
      </c>
      <c r="P243" s="9">
        <v>8</v>
      </c>
      <c r="Q243" s="9" t="s">
        <v>41</v>
      </c>
      <c r="R243" s="9">
        <v>9.75</v>
      </c>
      <c r="S243" s="9">
        <v>6.15</v>
      </c>
      <c r="T243" s="9">
        <v>-0.33</v>
      </c>
      <c r="U243" s="9">
        <v>-0.5</v>
      </c>
      <c r="V243" s="9">
        <v>4.55</v>
      </c>
      <c r="W243" s="9">
        <v>-0.04</v>
      </c>
      <c r="X243" s="9">
        <v>79.2</v>
      </c>
      <c r="Y243" s="9">
        <v>30.6</v>
      </c>
      <c r="Z243" s="9">
        <v>33</v>
      </c>
      <c r="AA243" s="9">
        <v>35.799999999999997</v>
      </c>
      <c r="AB243" s="9">
        <v>90.2</v>
      </c>
    </row>
    <row r="244" spans="1:28">
      <c r="A244">
        <v>5.32</v>
      </c>
      <c r="B244">
        <v>-0.15</v>
      </c>
      <c r="C244">
        <v>-0.31</v>
      </c>
      <c r="D244">
        <v>4.6500000000000004</v>
      </c>
      <c r="E244">
        <v>0.08</v>
      </c>
      <c r="F244">
        <v>70.400000000000006</v>
      </c>
      <c r="G244">
        <v>24.2</v>
      </c>
      <c r="H244">
        <v>34.200000000000003</v>
      </c>
      <c r="I244">
        <v>36.1</v>
      </c>
      <c r="J244">
        <v>84.8</v>
      </c>
      <c r="K244" s="18">
        <v>9.5487770587214325</v>
      </c>
      <c r="L244">
        <v>9.5500000000000007</v>
      </c>
      <c r="M244" s="19">
        <v>1.222941278568257E-3</v>
      </c>
      <c r="P244" s="9">
        <v>8</v>
      </c>
      <c r="Q244" s="9" t="s">
        <v>42</v>
      </c>
      <c r="R244" s="9">
        <v>9.5</v>
      </c>
      <c r="S244" s="9">
        <v>5.48</v>
      </c>
      <c r="T244" s="9">
        <v>-0.21</v>
      </c>
      <c r="U244" s="9">
        <v>-0.32</v>
      </c>
      <c r="V244" s="9">
        <v>4.55</v>
      </c>
      <c r="W244" s="9">
        <v>0.02</v>
      </c>
      <c r="X244" s="9">
        <v>62.8</v>
      </c>
      <c r="Y244" s="9">
        <v>25.8</v>
      </c>
      <c r="Z244" s="9">
        <v>33.5</v>
      </c>
      <c r="AA244" s="9">
        <v>32.200000000000003</v>
      </c>
      <c r="AB244" s="9">
        <v>88.7</v>
      </c>
    </row>
    <row r="245" spans="1:28">
      <c r="A245">
        <v>4.95</v>
      </c>
      <c r="B245">
        <v>-7.0000000000000007E-2</v>
      </c>
      <c r="C245">
        <v>0.11</v>
      </c>
      <c r="D245">
        <v>4.6500000000000004</v>
      </c>
      <c r="E245">
        <v>0.04</v>
      </c>
      <c r="F245">
        <v>72.3</v>
      </c>
      <c r="G245">
        <v>33.200000000000003</v>
      </c>
      <c r="H245">
        <v>33.1</v>
      </c>
      <c r="I245">
        <v>38.5</v>
      </c>
      <c r="J245">
        <v>83.8</v>
      </c>
      <c r="K245" s="18">
        <v>9.6458125350152422</v>
      </c>
      <c r="L245">
        <v>9.65</v>
      </c>
      <c r="M245" s="19">
        <v>4.1874649847581935E-3</v>
      </c>
      <c r="P245" s="9">
        <v>8</v>
      </c>
      <c r="Q245" s="9" t="s">
        <v>43</v>
      </c>
      <c r="R245" s="9">
        <v>9.52</v>
      </c>
      <c r="S245" s="9">
        <v>5.0599999999999996</v>
      </c>
      <c r="T245" s="9">
        <v>-0.05</v>
      </c>
      <c r="U245" s="9">
        <v>0</v>
      </c>
      <c r="V245" s="9">
        <v>4.55</v>
      </c>
      <c r="W245" s="9">
        <v>-0.05</v>
      </c>
      <c r="X245" s="9">
        <v>58.4</v>
      </c>
      <c r="Y245" s="9">
        <v>16.7</v>
      </c>
      <c r="Z245" s="9">
        <v>32.4</v>
      </c>
      <c r="AA245" s="9">
        <v>32.200000000000003</v>
      </c>
      <c r="AB245" s="9">
        <v>86.8</v>
      </c>
    </row>
    <row r="246" spans="1:28">
      <c r="A246">
        <v>5.19</v>
      </c>
      <c r="B246">
        <v>-0.01</v>
      </c>
      <c r="C246">
        <v>0.04</v>
      </c>
      <c r="D246">
        <v>4.6500000000000004</v>
      </c>
      <c r="E246">
        <v>0.01</v>
      </c>
      <c r="F246">
        <v>67</v>
      </c>
      <c r="G246">
        <v>27.5</v>
      </c>
      <c r="H246">
        <v>33.6</v>
      </c>
      <c r="I246">
        <v>32.799999999999997</v>
      </c>
      <c r="J246">
        <v>82.9</v>
      </c>
      <c r="K246" s="18">
        <v>9.855149320056956</v>
      </c>
      <c r="L246">
        <v>9.8800000000000008</v>
      </c>
      <c r="M246" s="19">
        <v>2.4850679943044796E-2</v>
      </c>
      <c r="P246" s="9">
        <v>8</v>
      </c>
      <c r="Q246" s="9" t="s">
        <v>44</v>
      </c>
      <c r="R246" s="9">
        <v>9.82</v>
      </c>
      <c r="S246" s="9">
        <v>5.43</v>
      </c>
      <c r="T246" s="9">
        <v>-0.09</v>
      </c>
      <c r="U246" s="9">
        <v>-0.09</v>
      </c>
      <c r="V246" s="9">
        <v>4.55</v>
      </c>
      <c r="W246" s="9">
        <v>0.03</v>
      </c>
      <c r="X246" s="9">
        <v>63.8</v>
      </c>
      <c r="Y246" s="9">
        <v>25.9</v>
      </c>
      <c r="Z246" s="9">
        <v>33.6</v>
      </c>
      <c r="AA246" s="9">
        <v>36</v>
      </c>
      <c r="AB246" s="9">
        <v>86.4</v>
      </c>
    </row>
    <row r="247" spans="1:28">
      <c r="A247">
        <v>5.47</v>
      </c>
      <c r="B247">
        <v>-0.14000000000000001</v>
      </c>
      <c r="C247">
        <v>-0.04</v>
      </c>
      <c r="D247">
        <v>4.6500000000000004</v>
      </c>
      <c r="E247">
        <v>-0.01</v>
      </c>
      <c r="F247">
        <v>67.599999999999994</v>
      </c>
      <c r="G247">
        <v>24.3</v>
      </c>
      <c r="H247">
        <v>32.9</v>
      </c>
      <c r="I247">
        <v>33.6</v>
      </c>
      <c r="J247">
        <v>81.8</v>
      </c>
      <c r="K247" s="18">
        <v>9.9126942619438321</v>
      </c>
      <c r="L247">
        <v>9.94</v>
      </c>
      <c r="M247" s="19">
        <v>2.7305738056167428E-2</v>
      </c>
      <c r="P247" s="9">
        <v>8</v>
      </c>
      <c r="Q247" s="9" t="s">
        <v>45</v>
      </c>
      <c r="R247" s="9">
        <v>9.68</v>
      </c>
      <c r="S247" s="9">
        <v>5.24</v>
      </c>
      <c r="T247" s="9">
        <v>-0.02</v>
      </c>
      <c r="U247" s="9">
        <v>-0.09</v>
      </c>
      <c r="V247" s="9">
        <v>4.55</v>
      </c>
      <c r="W247" s="9">
        <v>-0.01</v>
      </c>
      <c r="X247" s="9">
        <v>57.4</v>
      </c>
      <c r="Y247" s="9">
        <v>14.5</v>
      </c>
      <c r="Z247" s="9">
        <v>32.9</v>
      </c>
      <c r="AA247" s="9">
        <v>31.8</v>
      </c>
      <c r="AB247" s="9">
        <v>87.3</v>
      </c>
    </row>
    <row r="248" spans="1:28">
      <c r="A248">
        <v>5.46</v>
      </c>
      <c r="B248">
        <v>-0.16</v>
      </c>
      <c r="C248">
        <v>-0.14000000000000001</v>
      </c>
      <c r="D248">
        <v>4.6500000000000004</v>
      </c>
      <c r="E248">
        <v>0.06</v>
      </c>
      <c r="F248">
        <v>69</v>
      </c>
      <c r="G248">
        <v>22.5</v>
      </c>
      <c r="H248">
        <v>33.200000000000003</v>
      </c>
      <c r="I248">
        <v>33.4</v>
      </c>
      <c r="J248">
        <v>82.6</v>
      </c>
      <c r="K248" s="18">
        <v>9.8450552798454485</v>
      </c>
      <c r="L248">
        <v>9.89</v>
      </c>
      <c r="M248" s="19">
        <v>4.4944720154552087E-2</v>
      </c>
      <c r="P248" s="9">
        <v>8</v>
      </c>
      <c r="Q248" s="9" t="s">
        <v>47</v>
      </c>
      <c r="R248" s="9">
        <v>9.67</v>
      </c>
      <c r="S248" s="9">
        <v>5.03</v>
      </c>
      <c r="T248" s="9">
        <v>-0.02</v>
      </c>
      <c r="U248" s="9">
        <v>0.1</v>
      </c>
      <c r="V248" s="9">
        <v>4.55</v>
      </c>
      <c r="W248" s="9">
        <v>0</v>
      </c>
      <c r="X248" s="9">
        <v>51</v>
      </c>
      <c r="Y248" s="9">
        <v>10.5</v>
      </c>
      <c r="Z248" s="9">
        <v>33.1</v>
      </c>
      <c r="AA248" s="9">
        <v>31.9</v>
      </c>
      <c r="AB248" s="9">
        <v>87.2</v>
      </c>
    </row>
    <row r="249" spans="1:28">
      <c r="A249">
        <v>5.27</v>
      </c>
      <c r="B249">
        <v>-0.08</v>
      </c>
      <c r="C249">
        <v>-0.17</v>
      </c>
      <c r="D249">
        <v>4.6500000000000004</v>
      </c>
      <c r="E249">
        <v>0.08</v>
      </c>
      <c r="F249">
        <v>64.5</v>
      </c>
      <c r="G249">
        <v>31.2</v>
      </c>
      <c r="H249">
        <v>34</v>
      </c>
      <c r="I249">
        <v>36.200000000000003</v>
      </c>
      <c r="J249">
        <v>84.6</v>
      </c>
      <c r="K249" s="18">
        <v>9.7164791627885414</v>
      </c>
      <c r="L249">
        <v>9.69</v>
      </c>
      <c r="M249" s="19">
        <v>-2.6479162788541899E-2</v>
      </c>
      <c r="P249" s="9">
        <v>8</v>
      </c>
      <c r="Q249" s="9" t="s">
        <v>49</v>
      </c>
      <c r="R249" s="9">
        <v>9.73</v>
      </c>
      <c r="S249" s="9">
        <v>5.0999999999999996</v>
      </c>
      <c r="T249" s="9">
        <v>-0.06</v>
      </c>
      <c r="U249" s="9">
        <v>0.1</v>
      </c>
      <c r="V249" s="9">
        <v>4.55</v>
      </c>
      <c r="W249" s="9">
        <v>0.02</v>
      </c>
      <c r="X249" s="9">
        <v>51.6</v>
      </c>
      <c r="Y249" s="9">
        <v>17.2</v>
      </c>
      <c r="Z249" s="9">
        <v>32.9</v>
      </c>
      <c r="AA249" s="9">
        <v>32.4</v>
      </c>
      <c r="AB249" s="9">
        <v>87</v>
      </c>
    </row>
    <row r="250" spans="1:28">
      <c r="A250">
        <v>5.39</v>
      </c>
      <c r="B250">
        <v>0</v>
      </c>
      <c r="C250">
        <v>-0.1</v>
      </c>
      <c r="D250">
        <v>4.6500000000000004</v>
      </c>
      <c r="E250">
        <v>7.0000000000000007E-2</v>
      </c>
      <c r="F250">
        <v>65.5</v>
      </c>
      <c r="G250">
        <v>24.6</v>
      </c>
      <c r="H250">
        <v>34.799999999999997</v>
      </c>
      <c r="I250">
        <v>36.200000000000003</v>
      </c>
      <c r="J250">
        <v>82.7</v>
      </c>
      <c r="K250" s="18">
        <v>9.9768157779644788</v>
      </c>
      <c r="L250">
        <v>9.93</v>
      </c>
      <c r="M250" s="19">
        <v>-4.6815777964479111E-2</v>
      </c>
      <c r="P250" s="9">
        <v>8</v>
      </c>
      <c r="Q250" s="9" t="s">
        <v>51</v>
      </c>
      <c r="R250" s="9">
        <v>9.85</v>
      </c>
      <c r="S250" s="9">
        <v>4.49</v>
      </c>
      <c r="T250" s="9">
        <v>0.16</v>
      </c>
      <c r="U250" s="9">
        <v>0.62</v>
      </c>
      <c r="V250" s="9">
        <v>4.55</v>
      </c>
      <c r="W250" s="9">
        <v>0.02</v>
      </c>
      <c r="X250" s="9">
        <v>54.6</v>
      </c>
      <c r="Y250" s="9">
        <v>14.2</v>
      </c>
      <c r="Z250" s="9">
        <v>34</v>
      </c>
      <c r="AA250" s="9">
        <v>33.299999999999997</v>
      </c>
      <c r="AB250" s="9">
        <v>86.1</v>
      </c>
    </row>
    <row r="251" spans="1:28">
      <c r="A251">
        <v>5.07</v>
      </c>
      <c r="B251">
        <v>-0.04</v>
      </c>
      <c r="C251">
        <v>0.08</v>
      </c>
      <c r="D251">
        <v>4.6500000000000004</v>
      </c>
      <c r="E251">
        <v>0.03</v>
      </c>
      <c r="F251">
        <v>59.7</v>
      </c>
      <c r="G251">
        <v>17.7</v>
      </c>
      <c r="H251">
        <v>34.299999999999997</v>
      </c>
      <c r="I251">
        <v>34.6</v>
      </c>
      <c r="J251">
        <v>83.8</v>
      </c>
      <c r="K251" s="18">
        <v>9.7774667236944968</v>
      </c>
      <c r="L251">
        <v>9.8000000000000007</v>
      </c>
      <c r="M251" s="19">
        <v>2.2533276305503946E-2</v>
      </c>
      <c r="P251" s="9">
        <v>8</v>
      </c>
      <c r="Q251" s="9" t="s">
        <v>53</v>
      </c>
      <c r="R251" s="9">
        <v>9.92</v>
      </c>
      <c r="S251" s="9">
        <v>5.08</v>
      </c>
      <c r="T251" s="9">
        <v>-7.0000000000000007E-2</v>
      </c>
      <c r="U251" s="9">
        <v>0.34</v>
      </c>
      <c r="V251" s="9">
        <v>4.55</v>
      </c>
      <c r="W251" s="9">
        <v>0.05</v>
      </c>
      <c r="X251" s="9">
        <v>51.8</v>
      </c>
      <c r="Y251" s="9">
        <v>13.8</v>
      </c>
      <c r="Z251" s="9">
        <v>32.799999999999997</v>
      </c>
      <c r="AA251" s="9">
        <v>32.9</v>
      </c>
      <c r="AB251" s="9">
        <v>86.5</v>
      </c>
    </row>
    <row r="252" spans="1:28">
      <c r="A252">
        <v>4.92</v>
      </c>
      <c r="B252">
        <v>0.19</v>
      </c>
      <c r="C252">
        <v>0.23</v>
      </c>
      <c r="D252">
        <v>4.6500000000000004</v>
      </c>
      <c r="E252">
        <v>0.04</v>
      </c>
      <c r="F252">
        <v>57</v>
      </c>
      <c r="G252">
        <v>16.8</v>
      </c>
      <c r="H252">
        <v>33.200000000000003</v>
      </c>
      <c r="I252">
        <v>31.1</v>
      </c>
      <c r="J252">
        <v>82.6</v>
      </c>
      <c r="K252" s="18">
        <v>10.036927354735488</v>
      </c>
      <c r="L252">
        <v>10.029999999999999</v>
      </c>
      <c r="M252" s="19">
        <v>-6.9273547354882226E-3</v>
      </c>
      <c r="P252" s="9">
        <v>8</v>
      </c>
      <c r="Q252" s="9" t="s">
        <v>55</v>
      </c>
      <c r="R252" s="9">
        <v>9.2100000000000009</v>
      </c>
      <c r="S252" s="9">
        <v>5.28</v>
      </c>
      <c r="T252" s="9">
        <v>-0.15</v>
      </c>
      <c r="U252" s="9">
        <v>-0.28000000000000003</v>
      </c>
      <c r="V252" s="9">
        <v>4.55</v>
      </c>
      <c r="W252" s="9">
        <v>0.03</v>
      </c>
      <c r="X252" s="9">
        <v>72.099999999999994</v>
      </c>
      <c r="Y252" s="9">
        <v>28.4</v>
      </c>
      <c r="Z252" s="9">
        <v>35.5</v>
      </c>
      <c r="AA252" s="9">
        <v>38.700000000000003</v>
      </c>
      <c r="AB252" s="9">
        <v>88.6</v>
      </c>
    </row>
    <row r="253" spans="1:28">
      <c r="A253">
        <v>5.22</v>
      </c>
      <c r="B253">
        <v>0.02</v>
      </c>
      <c r="C253">
        <v>0.01</v>
      </c>
      <c r="D253">
        <v>4.6500000000000004</v>
      </c>
      <c r="E253">
        <v>0.08</v>
      </c>
      <c r="F253">
        <v>64.599999999999994</v>
      </c>
      <c r="G253">
        <v>18.100000000000001</v>
      </c>
      <c r="H253">
        <v>33.4</v>
      </c>
      <c r="I253">
        <v>34.799999999999997</v>
      </c>
      <c r="J253">
        <v>82.1</v>
      </c>
      <c r="K253" s="18">
        <v>9.9674686045979559</v>
      </c>
      <c r="L253">
        <v>9.99</v>
      </c>
      <c r="M253" s="19">
        <v>2.2531395402044296E-2</v>
      </c>
      <c r="P253" s="9">
        <v>8</v>
      </c>
      <c r="Q253" s="9" t="s">
        <v>57</v>
      </c>
      <c r="R253" s="9">
        <v>9.59</v>
      </c>
      <c r="S253" s="9">
        <v>4.97</v>
      </c>
      <c r="T253" s="9">
        <v>-0.08</v>
      </c>
      <c r="U253" s="9">
        <v>0.11</v>
      </c>
      <c r="V253" s="9">
        <v>4.55</v>
      </c>
      <c r="W253" s="9">
        <v>0.03</v>
      </c>
      <c r="X253" s="9">
        <v>73.7</v>
      </c>
      <c r="Y253" s="9">
        <v>28.4</v>
      </c>
      <c r="Z253" s="9">
        <v>33</v>
      </c>
      <c r="AA253" s="9">
        <v>38.4</v>
      </c>
      <c r="AB253" s="9">
        <v>87.5</v>
      </c>
    </row>
    <row r="254" spans="1:28">
      <c r="A254">
        <v>5.28</v>
      </c>
      <c r="B254">
        <v>0.08</v>
      </c>
      <c r="C254">
        <v>-0.14000000000000001</v>
      </c>
      <c r="D254">
        <v>4.6500000000000004</v>
      </c>
      <c r="E254">
        <v>0.08</v>
      </c>
      <c r="F254">
        <v>62.6</v>
      </c>
      <c r="G254">
        <v>19.5</v>
      </c>
      <c r="H254">
        <v>33.799999999999997</v>
      </c>
      <c r="I254">
        <v>32.299999999999997</v>
      </c>
      <c r="J254">
        <v>83.6</v>
      </c>
      <c r="K254" s="18">
        <v>9.9339307788206828</v>
      </c>
      <c r="L254">
        <v>9.9700000000000006</v>
      </c>
      <c r="M254" s="19">
        <v>3.6069221179317879E-2</v>
      </c>
      <c r="P254" s="9">
        <v>8</v>
      </c>
      <c r="Q254" s="9" t="s">
        <v>58</v>
      </c>
      <c r="R254" s="9">
        <v>9.6999999999999993</v>
      </c>
      <c r="S254" s="9">
        <v>5.12</v>
      </c>
      <c r="T254" s="9">
        <v>0</v>
      </c>
      <c r="U254" s="9">
        <v>0.06</v>
      </c>
      <c r="V254" s="9">
        <v>4.55</v>
      </c>
      <c r="W254" s="9">
        <v>0.01</v>
      </c>
      <c r="X254" s="9">
        <v>69.099999999999994</v>
      </c>
      <c r="Y254" s="9">
        <v>27.4</v>
      </c>
      <c r="Z254" s="9">
        <v>33.6</v>
      </c>
      <c r="AA254" s="9">
        <v>33.799999999999997</v>
      </c>
      <c r="AB254" s="9">
        <v>87.1</v>
      </c>
    </row>
    <row r="255" spans="1:28">
      <c r="A255">
        <v>5.28</v>
      </c>
      <c r="B255">
        <v>7.0000000000000007E-2</v>
      </c>
      <c r="C255">
        <v>0.04</v>
      </c>
      <c r="D255">
        <v>4.6500000000000004</v>
      </c>
      <c r="E255">
        <v>-0.03</v>
      </c>
      <c r="F255">
        <v>62.8</v>
      </c>
      <c r="G255">
        <v>17.8</v>
      </c>
      <c r="H255">
        <v>34.799999999999997</v>
      </c>
      <c r="I255">
        <v>30.5</v>
      </c>
      <c r="J255">
        <v>80.3</v>
      </c>
      <c r="K255" s="18">
        <v>9.9916073726037986</v>
      </c>
      <c r="L255">
        <v>10.029999999999999</v>
      </c>
      <c r="M255" s="19">
        <v>3.8392627396200751E-2</v>
      </c>
      <c r="P255" s="9">
        <v>8</v>
      </c>
      <c r="Q255" s="9" t="s">
        <v>60</v>
      </c>
      <c r="R255" s="9">
        <v>9.7100000000000009</v>
      </c>
      <c r="S255" s="9">
        <v>5.43</v>
      </c>
      <c r="T255" s="9">
        <v>-0.14000000000000001</v>
      </c>
      <c r="U255" s="9">
        <v>-0.05</v>
      </c>
      <c r="V255" s="9">
        <v>4.55</v>
      </c>
      <c r="W255" s="9">
        <v>-0.1</v>
      </c>
      <c r="X255" s="9">
        <v>69.900000000000006</v>
      </c>
      <c r="Y255" s="9">
        <v>22.7</v>
      </c>
      <c r="Z255" s="9">
        <v>32.799999999999997</v>
      </c>
      <c r="AA255" s="9">
        <v>32.799999999999997</v>
      </c>
      <c r="AB255" s="9">
        <v>86.2</v>
      </c>
    </row>
    <row r="256" spans="1:28">
      <c r="A256">
        <v>5.32</v>
      </c>
      <c r="B256">
        <v>0.16</v>
      </c>
      <c r="C256">
        <v>0.12</v>
      </c>
      <c r="D256">
        <v>4.6500000000000004</v>
      </c>
      <c r="E256">
        <v>-0.02</v>
      </c>
      <c r="F256">
        <v>50.2</v>
      </c>
      <c r="G256">
        <v>13.8</v>
      </c>
      <c r="H256">
        <v>34.1</v>
      </c>
      <c r="I256">
        <v>31.6</v>
      </c>
      <c r="J256">
        <v>80.7</v>
      </c>
      <c r="K256" s="18">
        <v>10.243739056921555</v>
      </c>
      <c r="L256">
        <v>10.24</v>
      </c>
      <c r="M256" s="19">
        <v>-3.7390569215549618E-3</v>
      </c>
      <c r="P256" s="9">
        <v>8</v>
      </c>
      <c r="Q256" s="9" t="s">
        <v>66</v>
      </c>
      <c r="R256" s="9">
        <v>9.5500000000000007</v>
      </c>
      <c r="S256" s="9">
        <v>5.4</v>
      </c>
      <c r="T256" s="9">
        <v>-0.16</v>
      </c>
      <c r="U256" s="9">
        <v>-0.13</v>
      </c>
      <c r="V256" s="9">
        <v>4.55</v>
      </c>
      <c r="W256" s="9">
        <v>-0.09</v>
      </c>
      <c r="X256" s="9">
        <v>70.2</v>
      </c>
      <c r="Y256" s="9">
        <v>27.2</v>
      </c>
      <c r="Z256" s="9">
        <v>32.700000000000003</v>
      </c>
      <c r="AA256" s="9">
        <v>34.700000000000003</v>
      </c>
      <c r="AB256" s="9">
        <v>86.7</v>
      </c>
    </row>
    <row r="257" spans="1:28">
      <c r="A257">
        <v>5.52</v>
      </c>
      <c r="B257">
        <v>0.02</v>
      </c>
      <c r="C257">
        <v>-0.03</v>
      </c>
      <c r="D257">
        <v>4.6500000000000004</v>
      </c>
      <c r="E257">
        <v>-0.02</v>
      </c>
      <c r="F257">
        <v>56.8</v>
      </c>
      <c r="G257">
        <v>15.5</v>
      </c>
      <c r="H257">
        <v>33.700000000000003</v>
      </c>
      <c r="I257">
        <v>32.799999999999997</v>
      </c>
      <c r="J257">
        <v>82.4</v>
      </c>
      <c r="K257" s="18">
        <v>10.142635639493246</v>
      </c>
      <c r="L257">
        <v>10.16</v>
      </c>
      <c r="M257" s="19">
        <v>1.736436050675394E-2</v>
      </c>
      <c r="P257" s="9">
        <v>8</v>
      </c>
      <c r="Q257" s="9" t="s">
        <v>67</v>
      </c>
      <c r="R257" s="9">
        <v>9.6300000000000008</v>
      </c>
      <c r="S257" s="9">
        <v>5.28</v>
      </c>
      <c r="T257" s="9">
        <v>-0.09</v>
      </c>
      <c r="U257" s="9">
        <v>-0.17</v>
      </c>
      <c r="V257" s="9">
        <v>4.55</v>
      </c>
      <c r="W257" s="9">
        <v>0.05</v>
      </c>
      <c r="X257" s="9">
        <v>65.900000000000006</v>
      </c>
      <c r="Y257" s="9">
        <v>25.3</v>
      </c>
      <c r="Z257" s="9">
        <v>33.4</v>
      </c>
      <c r="AA257" s="9">
        <v>35.299999999999997</v>
      </c>
      <c r="AB257" s="9">
        <v>87.9</v>
      </c>
    </row>
    <row r="258" spans="1:28">
      <c r="A258">
        <v>5.88</v>
      </c>
      <c r="B258">
        <v>-0.02</v>
      </c>
      <c r="C258">
        <v>-0.43</v>
      </c>
      <c r="D258">
        <v>4.6500000000000004</v>
      </c>
      <c r="E258">
        <v>-0.06</v>
      </c>
      <c r="F258">
        <v>56.3</v>
      </c>
      <c r="G258">
        <v>20.8</v>
      </c>
      <c r="H258">
        <v>35.5</v>
      </c>
      <c r="I258">
        <v>37.1</v>
      </c>
      <c r="J258">
        <v>79</v>
      </c>
      <c r="K258" s="18">
        <v>9.9997627624717271</v>
      </c>
      <c r="L258">
        <v>10.02</v>
      </c>
      <c r="M258" s="19">
        <v>2.0237237528272445E-2</v>
      </c>
      <c r="P258" s="9">
        <v>8</v>
      </c>
      <c r="Q258" s="9" t="s">
        <v>69</v>
      </c>
      <c r="R258" s="9">
        <v>9.8000000000000007</v>
      </c>
      <c r="S258" s="9">
        <v>5.4</v>
      </c>
      <c r="T258" s="9">
        <v>-0.01</v>
      </c>
      <c r="U258" s="9">
        <v>-0.12</v>
      </c>
      <c r="V258" s="9">
        <v>4.55</v>
      </c>
      <c r="W258" s="9">
        <v>0.03</v>
      </c>
      <c r="X258" s="9">
        <v>65.900000000000006</v>
      </c>
      <c r="Y258" s="9">
        <v>26.4</v>
      </c>
      <c r="Z258" s="9">
        <v>34.200000000000003</v>
      </c>
      <c r="AA258" s="9">
        <v>35.299999999999997</v>
      </c>
      <c r="AB258" s="9">
        <v>87.3</v>
      </c>
    </row>
    <row r="259" spans="1:28">
      <c r="A259">
        <v>6.06</v>
      </c>
      <c r="B259">
        <v>-0.08</v>
      </c>
      <c r="C259">
        <v>-0.52</v>
      </c>
      <c r="D259">
        <v>4.6500000000000004</v>
      </c>
      <c r="E259">
        <v>0.08</v>
      </c>
      <c r="F259">
        <v>57.5</v>
      </c>
      <c r="G259">
        <v>17.899999999999999</v>
      </c>
      <c r="H259">
        <v>35.200000000000003</v>
      </c>
      <c r="I259">
        <v>32.700000000000003</v>
      </c>
      <c r="J259">
        <v>79.8</v>
      </c>
      <c r="K259" s="18">
        <v>10.166208820061406</v>
      </c>
      <c r="L259">
        <v>10.19</v>
      </c>
      <c r="M259" s="19">
        <v>2.3791179938593032E-2</v>
      </c>
      <c r="P259" s="9">
        <v>8</v>
      </c>
      <c r="Q259" s="9" t="s">
        <v>71</v>
      </c>
      <c r="R259" s="9">
        <v>9.61</v>
      </c>
      <c r="S259" s="9">
        <v>5.0999999999999996</v>
      </c>
      <c r="T259" s="9">
        <v>-0.05</v>
      </c>
      <c r="U259" s="9">
        <v>7.0000000000000007E-2</v>
      </c>
      <c r="V259" s="9">
        <v>4.55</v>
      </c>
      <c r="W259" s="9">
        <v>-0.02</v>
      </c>
      <c r="X259" s="9">
        <v>62.8</v>
      </c>
      <c r="Y259" s="9">
        <v>18.8</v>
      </c>
      <c r="Z259" s="9">
        <v>34.299999999999997</v>
      </c>
      <c r="AA259" s="9">
        <v>35</v>
      </c>
      <c r="AB259" s="9">
        <v>87.5</v>
      </c>
    </row>
    <row r="260" spans="1:28">
      <c r="A260">
        <v>6.09</v>
      </c>
      <c r="B260">
        <v>-0.16</v>
      </c>
      <c r="C260">
        <v>-0.67</v>
      </c>
      <c r="D260">
        <v>4.6500000000000004</v>
      </c>
      <c r="E260">
        <v>0</v>
      </c>
      <c r="F260">
        <v>58</v>
      </c>
      <c r="G260">
        <v>23.6</v>
      </c>
      <c r="H260">
        <v>33.700000000000003</v>
      </c>
      <c r="I260">
        <v>31</v>
      </c>
      <c r="J260">
        <v>84.6</v>
      </c>
      <c r="K260" s="18">
        <v>9.892961467292551</v>
      </c>
      <c r="L260">
        <v>9.93</v>
      </c>
      <c r="M260" s="19">
        <v>3.7038532707448724E-2</v>
      </c>
      <c r="P260" s="9">
        <v>8</v>
      </c>
      <c r="Q260" s="9" t="s">
        <v>72</v>
      </c>
      <c r="R260" s="9">
        <v>9.93</v>
      </c>
      <c r="S260" s="9">
        <v>4.9400000000000004</v>
      </c>
      <c r="T260" s="9">
        <v>0.18</v>
      </c>
      <c r="U260" s="9">
        <v>0.21</v>
      </c>
      <c r="V260" s="9">
        <v>4.55</v>
      </c>
      <c r="W260" s="9">
        <v>0.03</v>
      </c>
      <c r="X260" s="9">
        <v>57.7</v>
      </c>
      <c r="Y260" s="9">
        <v>17.2</v>
      </c>
      <c r="Z260" s="9">
        <v>32.9</v>
      </c>
      <c r="AA260" s="9">
        <v>31.7</v>
      </c>
      <c r="AB260" s="9">
        <v>86.8</v>
      </c>
    </row>
    <row r="261" spans="1:28">
      <c r="A261">
        <v>6.24</v>
      </c>
      <c r="B261">
        <v>-0.27</v>
      </c>
      <c r="C261">
        <v>-0.52</v>
      </c>
      <c r="D261">
        <v>4.6500000000000004</v>
      </c>
      <c r="E261">
        <v>-0.06</v>
      </c>
      <c r="F261">
        <v>71.5</v>
      </c>
      <c r="G261">
        <v>25.6</v>
      </c>
      <c r="H261">
        <v>33.5</v>
      </c>
      <c r="I261">
        <v>35.799999999999997</v>
      </c>
      <c r="J261">
        <v>86.3</v>
      </c>
      <c r="K261" s="18">
        <v>10.006811167166468</v>
      </c>
      <c r="L261">
        <v>9.94</v>
      </c>
      <c r="M261" s="19">
        <v>-6.6811167166468621E-2</v>
      </c>
      <c r="P261" s="9">
        <v>8</v>
      </c>
      <c r="Q261" s="9" t="s">
        <v>74</v>
      </c>
      <c r="R261" s="9">
        <v>9.77</v>
      </c>
      <c r="S261" s="9">
        <v>5.22</v>
      </c>
      <c r="T261" s="9">
        <v>0.02</v>
      </c>
      <c r="U261" s="9">
        <v>-0.01</v>
      </c>
      <c r="V261" s="9">
        <v>4.55</v>
      </c>
      <c r="W261" s="9">
        <v>-0.02</v>
      </c>
      <c r="X261" s="9">
        <v>65.7</v>
      </c>
      <c r="Y261" s="9">
        <v>19.2</v>
      </c>
      <c r="Z261" s="9">
        <v>33.4</v>
      </c>
      <c r="AA261" s="9">
        <v>34.299999999999997</v>
      </c>
      <c r="AB261" s="9">
        <v>85.9</v>
      </c>
    </row>
    <row r="262" spans="1:28">
      <c r="A262">
        <v>5.66</v>
      </c>
      <c r="B262">
        <v>0.06</v>
      </c>
      <c r="C262">
        <v>-0.23</v>
      </c>
      <c r="D262">
        <v>4.6500000000000004</v>
      </c>
      <c r="E262">
        <v>0.01</v>
      </c>
      <c r="F262">
        <v>65</v>
      </c>
      <c r="G262">
        <v>35.6</v>
      </c>
      <c r="H262">
        <v>32.4</v>
      </c>
      <c r="I262">
        <v>38.299999999999997</v>
      </c>
      <c r="J262">
        <v>81.8</v>
      </c>
      <c r="K262" s="18">
        <v>10.133550539457948</v>
      </c>
      <c r="L262">
        <v>10.17</v>
      </c>
      <c r="M262" s="19">
        <v>3.6449460542051781E-2</v>
      </c>
      <c r="P262" s="9">
        <v>8</v>
      </c>
      <c r="Q262" s="9" t="s">
        <v>75</v>
      </c>
      <c r="R262" s="9">
        <v>9.8800000000000008</v>
      </c>
      <c r="S262" s="9">
        <v>5.35</v>
      </c>
      <c r="T262" s="9">
        <v>0.09</v>
      </c>
      <c r="U262" s="9">
        <v>-0.17</v>
      </c>
      <c r="V262" s="9">
        <v>4.55</v>
      </c>
      <c r="W262" s="9">
        <v>0.05</v>
      </c>
      <c r="X262" s="9">
        <v>65</v>
      </c>
      <c r="Y262" s="9">
        <v>16.7</v>
      </c>
      <c r="Z262" s="9">
        <v>33.6</v>
      </c>
      <c r="AA262" s="9">
        <v>31.6</v>
      </c>
      <c r="AB262" s="9">
        <v>87.6</v>
      </c>
    </row>
    <row r="263" spans="1:28">
      <c r="A263">
        <v>5.41</v>
      </c>
      <c r="B263">
        <v>0.04</v>
      </c>
      <c r="C263">
        <v>-0.14000000000000001</v>
      </c>
      <c r="D263">
        <v>4.6500000000000004</v>
      </c>
      <c r="E263">
        <v>0</v>
      </c>
      <c r="F263">
        <v>59.3</v>
      </c>
      <c r="G263">
        <v>21.4</v>
      </c>
      <c r="H263">
        <v>33.4</v>
      </c>
      <c r="I263">
        <v>36.700000000000003</v>
      </c>
      <c r="J263">
        <v>81.8</v>
      </c>
      <c r="K263" s="18">
        <v>9.9548903324888016</v>
      </c>
      <c r="L263">
        <v>9.9700000000000006</v>
      </c>
      <c r="M263" s="19">
        <v>1.5109667511199021E-2</v>
      </c>
      <c r="P263" s="9">
        <v>8</v>
      </c>
      <c r="Q263" s="9" t="s">
        <v>79</v>
      </c>
      <c r="R263" s="9">
        <v>9.89</v>
      </c>
      <c r="S263" s="9">
        <v>5.25</v>
      </c>
      <c r="T263" s="9">
        <v>0.08</v>
      </c>
      <c r="U263" s="9">
        <v>0.05</v>
      </c>
      <c r="V263" s="9">
        <v>4.55</v>
      </c>
      <c r="W263" s="9">
        <v>-0.04</v>
      </c>
      <c r="X263" s="9">
        <v>64.099999999999994</v>
      </c>
      <c r="Y263" s="9">
        <v>17.899999999999999</v>
      </c>
      <c r="Z263" s="9">
        <v>33.6</v>
      </c>
      <c r="AA263" s="9">
        <v>31.3</v>
      </c>
      <c r="AB263" s="9">
        <v>84.9</v>
      </c>
    </row>
    <row r="264" spans="1:28">
      <c r="A264">
        <v>5.83</v>
      </c>
      <c r="B264">
        <v>-0.17</v>
      </c>
      <c r="C264">
        <v>-0.1</v>
      </c>
      <c r="D264">
        <v>4.6500000000000004</v>
      </c>
      <c r="E264">
        <v>0.14000000000000001</v>
      </c>
      <c r="F264">
        <v>57.1</v>
      </c>
      <c r="G264">
        <v>20.2</v>
      </c>
      <c r="H264">
        <v>34.4</v>
      </c>
      <c r="I264">
        <v>33.700000000000003</v>
      </c>
      <c r="J264">
        <v>84.6</v>
      </c>
      <c r="K264" s="18">
        <v>10.333703882205677</v>
      </c>
      <c r="L264">
        <v>10.36</v>
      </c>
      <c r="M264" s="19">
        <v>2.6296117794322171E-2</v>
      </c>
      <c r="P264" s="9">
        <v>8</v>
      </c>
      <c r="Q264" s="9" t="s">
        <v>80</v>
      </c>
      <c r="R264" s="9">
        <v>10.130000000000001</v>
      </c>
      <c r="S264" s="9">
        <v>5.34</v>
      </c>
      <c r="T264" s="9">
        <v>0.16</v>
      </c>
      <c r="U264" s="9">
        <v>0.11</v>
      </c>
      <c r="V264" s="9">
        <v>4.55</v>
      </c>
      <c r="W264" s="9">
        <v>-0.04</v>
      </c>
      <c r="X264" s="9">
        <v>51.5</v>
      </c>
      <c r="Y264" s="9">
        <v>13.1</v>
      </c>
      <c r="Z264" s="9">
        <v>33.700000000000003</v>
      </c>
      <c r="AA264" s="9">
        <v>32.700000000000003</v>
      </c>
      <c r="AB264" s="9">
        <v>85</v>
      </c>
    </row>
    <row r="265" spans="1:28">
      <c r="A265">
        <v>6.2</v>
      </c>
      <c r="B265">
        <v>-0.11</v>
      </c>
      <c r="C265">
        <v>-0.36</v>
      </c>
      <c r="D265">
        <v>4.6500000000000004</v>
      </c>
      <c r="E265">
        <v>0.11</v>
      </c>
      <c r="F265">
        <v>57</v>
      </c>
      <c r="G265">
        <v>27.2</v>
      </c>
      <c r="H265">
        <v>35.799999999999997</v>
      </c>
      <c r="I265">
        <v>31.1</v>
      </c>
      <c r="J265">
        <v>77</v>
      </c>
      <c r="K265" s="18">
        <v>10.45454897688583</v>
      </c>
      <c r="L265">
        <v>10.47</v>
      </c>
      <c r="M265" s="19">
        <v>1.5451023114170681E-2</v>
      </c>
      <c r="P265" s="9">
        <v>8</v>
      </c>
      <c r="Q265" s="9" t="s">
        <v>81</v>
      </c>
      <c r="R265" s="9">
        <v>10.119999999999999</v>
      </c>
      <c r="S265" s="9">
        <v>5.56</v>
      </c>
      <c r="T265" s="9">
        <v>0.02</v>
      </c>
      <c r="U265" s="9">
        <v>-0.04</v>
      </c>
      <c r="V265" s="9">
        <v>4.55</v>
      </c>
      <c r="W265" s="9">
        <v>0.02</v>
      </c>
      <c r="X265" s="9">
        <v>57.9</v>
      </c>
      <c r="Y265" s="9">
        <v>15.4</v>
      </c>
      <c r="Z265" s="9">
        <v>33.6</v>
      </c>
      <c r="AA265" s="9">
        <v>33.299999999999997</v>
      </c>
      <c r="AB265" s="9">
        <v>86.5</v>
      </c>
    </row>
    <row r="266" spans="1:28">
      <c r="A266">
        <v>5.99</v>
      </c>
      <c r="B266">
        <v>-0.05</v>
      </c>
      <c r="C266">
        <v>-0.35</v>
      </c>
      <c r="D266">
        <v>4.6500000000000004</v>
      </c>
      <c r="E266">
        <v>-0.04</v>
      </c>
      <c r="F266">
        <v>55</v>
      </c>
      <c r="G266">
        <v>34.1</v>
      </c>
      <c r="H266">
        <v>33.5</v>
      </c>
      <c r="I266">
        <v>32.5</v>
      </c>
      <c r="J266">
        <v>80.599999999999994</v>
      </c>
      <c r="K266" s="18">
        <v>10.18815335523818</v>
      </c>
      <c r="L266">
        <v>10.210000000000001</v>
      </c>
      <c r="M266" s="19">
        <v>2.1846644761820855E-2</v>
      </c>
      <c r="P266" s="9">
        <v>8</v>
      </c>
      <c r="Q266" s="9" t="s">
        <v>82</v>
      </c>
      <c r="R266" s="9">
        <v>9.91</v>
      </c>
      <c r="S266" s="9">
        <v>5.91</v>
      </c>
      <c r="T266" s="9">
        <v>-0.02</v>
      </c>
      <c r="U266" s="9">
        <v>-0.44</v>
      </c>
      <c r="V266" s="9">
        <v>4.55</v>
      </c>
      <c r="W266" s="9">
        <v>-0.06</v>
      </c>
      <c r="X266" s="9">
        <v>59</v>
      </c>
      <c r="Y266" s="9">
        <v>20.399999999999999</v>
      </c>
      <c r="Z266" s="9">
        <v>35.1</v>
      </c>
      <c r="AA266" s="9">
        <v>36.9</v>
      </c>
      <c r="AB266" s="9">
        <v>83.5</v>
      </c>
    </row>
    <row r="267" spans="1:28">
      <c r="A267">
        <v>5.95</v>
      </c>
      <c r="B267">
        <v>-0.01</v>
      </c>
      <c r="C267">
        <v>-0.47</v>
      </c>
      <c r="D267">
        <v>4.6500000000000004</v>
      </c>
      <c r="E267">
        <v>0.05</v>
      </c>
      <c r="F267">
        <v>63</v>
      </c>
      <c r="G267">
        <v>19.2</v>
      </c>
      <c r="H267">
        <v>33.200000000000003</v>
      </c>
      <c r="I267">
        <v>33.700000000000003</v>
      </c>
      <c r="J267">
        <v>81</v>
      </c>
      <c r="K267" s="18">
        <v>10.157991234664284</v>
      </c>
      <c r="L267">
        <v>10.18</v>
      </c>
      <c r="M267" s="19">
        <v>2.2008765335716163E-2</v>
      </c>
      <c r="P267" s="9">
        <v>8</v>
      </c>
      <c r="Q267" s="9" t="s">
        <v>83</v>
      </c>
      <c r="R267" s="9">
        <v>10.06</v>
      </c>
      <c r="S267" s="9">
        <v>6.11</v>
      </c>
      <c r="T267" s="9">
        <v>-0.11</v>
      </c>
      <c r="U267" s="9">
        <v>-0.52</v>
      </c>
      <c r="V267" s="9">
        <v>4.55</v>
      </c>
      <c r="W267" s="9">
        <v>0.05</v>
      </c>
      <c r="X267" s="9">
        <v>61.5</v>
      </c>
      <c r="Y267" s="9">
        <v>16.7</v>
      </c>
      <c r="Z267" s="9">
        <v>34.299999999999997</v>
      </c>
      <c r="AA267" s="9">
        <v>34.700000000000003</v>
      </c>
      <c r="AB267" s="9">
        <v>84.3</v>
      </c>
    </row>
    <row r="268" spans="1:28">
      <c r="A268">
        <v>6.03</v>
      </c>
      <c r="B268">
        <v>-0.17</v>
      </c>
      <c r="C268">
        <v>-0.39</v>
      </c>
      <c r="D268">
        <v>4.6500000000000004</v>
      </c>
      <c r="E268">
        <v>-0.01</v>
      </c>
      <c r="F268">
        <v>68</v>
      </c>
      <c r="G268">
        <v>17.100000000000001</v>
      </c>
      <c r="H268">
        <v>31</v>
      </c>
      <c r="I268">
        <v>29.9</v>
      </c>
      <c r="J268">
        <v>79.099999999999994</v>
      </c>
      <c r="K268" s="18">
        <v>10.112932547694331</v>
      </c>
      <c r="L268">
        <v>10.130000000000001</v>
      </c>
      <c r="M268" s="19">
        <v>1.7067452305669306E-2</v>
      </c>
      <c r="P268" s="9">
        <v>8</v>
      </c>
      <c r="Q268" s="9" t="s">
        <v>84</v>
      </c>
      <c r="R268" s="9">
        <v>9.86</v>
      </c>
      <c r="S268" s="9">
        <v>6.04</v>
      </c>
      <c r="T268" s="9">
        <v>-0.15</v>
      </c>
      <c r="U268" s="9">
        <v>-0.66</v>
      </c>
      <c r="V268" s="9">
        <v>4.55</v>
      </c>
      <c r="W268" s="9">
        <v>7.0000000000000007E-2</v>
      </c>
      <c r="X268" s="9">
        <v>61.6</v>
      </c>
      <c r="Y268" s="9">
        <v>25.5</v>
      </c>
      <c r="Z268" s="9">
        <v>32.4</v>
      </c>
      <c r="AA268" s="9">
        <v>32</v>
      </c>
      <c r="AB268" s="9">
        <v>87.7</v>
      </c>
    </row>
    <row r="269" spans="1:28">
      <c r="A269">
        <v>5.9</v>
      </c>
      <c r="B269">
        <v>0.04</v>
      </c>
      <c r="C269">
        <v>-0.28999999999999998</v>
      </c>
      <c r="D269">
        <v>4.6500000000000004</v>
      </c>
      <c r="E269">
        <v>0</v>
      </c>
      <c r="F269">
        <v>57.9</v>
      </c>
      <c r="G269">
        <v>21.5</v>
      </c>
      <c r="H269">
        <v>34.1</v>
      </c>
      <c r="I269">
        <v>33.299999999999997</v>
      </c>
      <c r="J269">
        <v>83.9</v>
      </c>
      <c r="K269" s="18">
        <v>10.289877202379229</v>
      </c>
      <c r="L269">
        <v>10.31</v>
      </c>
      <c r="M269" s="19">
        <v>2.0122797620771848E-2</v>
      </c>
      <c r="P269" s="9">
        <v>8</v>
      </c>
      <c r="Q269" s="9" t="s">
        <v>85</v>
      </c>
      <c r="R269" s="9">
        <v>9.94</v>
      </c>
      <c r="S269" s="9">
        <v>6.35</v>
      </c>
      <c r="T269" s="9">
        <v>-0.26</v>
      </c>
      <c r="U269" s="9">
        <v>-0.51</v>
      </c>
      <c r="V269" s="9">
        <v>4.55</v>
      </c>
      <c r="W269" s="9">
        <v>0.08</v>
      </c>
      <c r="X269" s="9">
        <v>72.400000000000006</v>
      </c>
      <c r="Y269" s="9">
        <v>39.5</v>
      </c>
      <c r="Z269" s="9">
        <v>33.5</v>
      </c>
      <c r="AA269" s="9">
        <v>34.5</v>
      </c>
      <c r="AB269" s="9">
        <v>89.7</v>
      </c>
    </row>
    <row r="270" spans="1:28">
      <c r="A270">
        <v>6.93</v>
      </c>
      <c r="B270">
        <v>-0.19</v>
      </c>
      <c r="C270">
        <v>-0.68</v>
      </c>
      <c r="D270">
        <v>4.6500000000000004</v>
      </c>
      <c r="E270">
        <v>0.06</v>
      </c>
      <c r="F270">
        <v>58.9</v>
      </c>
      <c r="G270">
        <v>24.8</v>
      </c>
      <c r="H270">
        <v>34.5</v>
      </c>
      <c r="I270">
        <v>34.799999999999997</v>
      </c>
      <c r="J270">
        <v>85.1</v>
      </c>
      <c r="K270" s="18">
        <v>10.745994222856655</v>
      </c>
      <c r="L270">
        <v>10.78</v>
      </c>
      <c r="M270" s="19">
        <v>3.4005777143343963E-2</v>
      </c>
      <c r="P270" s="9">
        <v>8</v>
      </c>
      <c r="Q270" s="9" t="s">
        <v>86</v>
      </c>
      <c r="R270" s="9">
        <v>10.050000000000001</v>
      </c>
      <c r="S270" s="9">
        <v>5.65</v>
      </c>
      <c r="T270" s="9">
        <v>7.0000000000000007E-2</v>
      </c>
      <c r="U270" s="9">
        <v>-0.24</v>
      </c>
      <c r="V270" s="9">
        <v>4.55</v>
      </c>
      <c r="W270" s="9">
        <v>0.01</v>
      </c>
      <c r="X270" s="9">
        <v>66.2</v>
      </c>
      <c r="Y270" s="9">
        <v>34.799999999999997</v>
      </c>
      <c r="Z270" s="9">
        <v>32.200000000000003</v>
      </c>
      <c r="AA270" s="9">
        <v>38.9</v>
      </c>
      <c r="AB270" s="9">
        <v>85.9</v>
      </c>
    </row>
    <row r="271" spans="1:28">
      <c r="A271">
        <v>6.7</v>
      </c>
      <c r="B271">
        <v>-0.27</v>
      </c>
      <c r="C271">
        <v>-0.76</v>
      </c>
      <c r="D271">
        <v>4.6500000000000004</v>
      </c>
      <c r="E271">
        <v>7.0000000000000007E-2</v>
      </c>
      <c r="F271">
        <v>59.3</v>
      </c>
      <c r="G271">
        <v>25.6</v>
      </c>
      <c r="H271">
        <v>34.5</v>
      </c>
      <c r="I271">
        <v>33.799999999999997</v>
      </c>
      <c r="J271">
        <v>84.7</v>
      </c>
      <c r="K271" s="18">
        <v>10.360271134324991</v>
      </c>
      <c r="L271">
        <v>10.41</v>
      </c>
      <c r="M271" s="19">
        <v>4.9728865675009004E-2</v>
      </c>
      <c r="P271" s="9">
        <v>8</v>
      </c>
      <c r="Q271" s="9" t="s">
        <v>88</v>
      </c>
      <c r="R271" s="9">
        <v>9.7799999999999994</v>
      </c>
      <c r="S271" s="9">
        <v>5.38</v>
      </c>
      <c r="T271" s="9">
        <v>0.04</v>
      </c>
      <c r="U271" s="9">
        <v>-0.13</v>
      </c>
      <c r="V271" s="9">
        <v>4.55</v>
      </c>
      <c r="W271" s="9">
        <v>-0.06</v>
      </c>
      <c r="X271" s="9">
        <v>60.8</v>
      </c>
      <c r="Y271" s="9">
        <v>22.2</v>
      </c>
      <c r="Z271" s="9">
        <v>33.4</v>
      </c>
      <c r="AA271" s="9">
        <v>35.299999999999997</v>
      </c>
      <c r="AB271" s="9">
        <v>86.1</v>
      </c>
    </row>
    <row r="272" spans="1:28">
      <c r="A272">
        <v>6.34</v>
      </c>
      <c r="B272">
        <v>-0.1</v>
      </c>
      <c r="C272">
        <v>-0.6</v>
      </c>
      <c r="D272">
        <v>4.6500000000000004</v>
      </c>
      <c r="E272">
        <v>-0.03</v>
      </c>
      <c r="F272">
        <v>64.099999999999994</v>
      </c>
      <c r="G272">
        <v>38.299999999999997</v>
      </c>
      <c r="H272">
        <v>34</v>
      </c>
      <c r="I272">
        <v>38.9</v>
      </c>
      <c r="J272">
        <v>85.1</v>
      </c>
      <c r="K272" s="18">
        <v>10.224290895943311</v>
      </c>
      <c r="L272">
        <v>10.119999999999999</v>
      </c>
      <c r="M272" s="19">
        <v>-0.10429089594331131</v>
      </c>
      <c r="P272" s="9">
        <v>8</v>
      </c>
      <c r="Q272" s="9" t="s">
        <v>89</v>
      </c>
      <c r="R272" s="9">
        <v>10.15</v>
      </c>
      <c r="S272" s="9">
        <v>5.83</v>
      </c>
      <c r="T272" s="9">
        <v>-0.17</v>
      </c>
      <c r="U272" s="9">
        <v>-0.09</v>
      </c>
      <c r="V272" s="9">
        <v>4.55</v>
      </c>
      <c r="W272" s="9">
        <v>0.03</v>
      </c>
      <c r="X272" s="9">
        <v>60.8</v>
      </c>
      <c r="Y272" s="9">
        <v>19</v>
      </c>
      <c r="Z272" s="9">
        <v>32.4</v>
      </c>
      <c r="AA272" s="9">
        <v>33.299999999999997</v>
      </c>
      <c r="AB272" s="9">
        <v>88.2</v>
      </c>
    </row>
    <row r="273" spans="1:28">
      <c r="A273">
        <v>6.41</v>
      </c>
      <c r="B273">
        <v>-0.22</v>
      </c>
      <c r="C273">
        <v>-0.56999999999999995</v>
      </c>
      <c r="D273">
        <v>4.6500000000000004</v>
      </c>
      <c r="E273">
        <v>0.02</v>
      </c>
      <c r="F273">
        <v>66.599999999999994</v>
      </c>
      <c r="G273">
        <v>30.8</v>
      </c>
      <c r="H273">
        <v>34.299999999999997</v>
      </c>
      <c r="I273">
        <v>37.5</v>
      </c>
      <c r="J273">
        <v>82.8</v>
      </c>
      <c r="K273" s="18">
        <v>10.251223352259862</v>
      </c>
      <c r="L273">
        <v>10.25</v>
      </c>
      <c r="M273" s="19">
        <v>-1.2233522598616986E-3</v>
      </c>
      <c r="P273" s="9">
        <v>8</v>
      </c>
      <c r="Q273" s="9" t="s">
        <v>90</v>
      </c>
      <c r="R273" s="9">
        <v>10.24</v>
      </c>
      <c r="S273" s="9">
        <v>6.16</v>
      </c>
      <c r="T273" s="9">
        <v>-0.11</v>
      </c>
      <c r="U273" s="9">
        <v>-0.38</v>
      </c>
      <c r="V273" s="9">
        <v>4.55</v>
      </c>
      <c r="W273" s="9">
        <v>0.02</v>
      </c>
      <c r="X273" s="9">
        <v>56.6</v>
      </c>
      <c r="Y273" s="9">
        <v>29</v>
      </c>
      <c r="Z273" s="9">
        <v>35.299999999999997</v>
      </c>
      <c r="AA273" s="9">
        <v>31.7</v>
      </c>
      <c r="AB273" s="9">
        <v>82.3</v>
      </c>
    </row>
    <row r="274" spans="1:28">
      <c r="A274">
        <v>6.21</v>
      </c>
      <c r="B274">
        <v>-0.13</v>
      </c>
      <c r="C274">
        <v>-0.75</v>
      </c>
      <c r="D274">
        <v>4.6500000000000004</v>
      </c>
      <c r="E274">
        <v>0.15</v>
      </c>
      <c r="F274">
        <v>60.1</v>
      </c>
      <c r="G274">
        <v>20.7</v>
      </c>
      <c r="H274">
        <v>34.5</v>
      </c>
      <c r="I274">
        <v>34.1</v>
      </c>
      <c r="J274">
        <v>85.9</v>
      </c>
      <c r="K274" s="18">
        <v>10.100590016138822</v>
      </c>
      <c r="L274">
        <v>10.09</v>
      </c>
      <c r="M274" s="19">
        <v>-1.0590016138822378E-2</v>
      </c>
      <c r="P274" s="9">
        <v>8</v>
      </c>
      <c r="Q274" s="9" t="s">
        <v>91</v>
      </c>
      <c r="R274" s="9">
        <v>10.02</v>
      </c>
      <c r="S274" s="9">
        <v>5.95</v>
      </c>
      <c r="T274" s="9">
        <v>-0.03</v>
      </c>
      <c r="U274" s="9">
        <v>-0.34</v>
      </c>
      <c r="V274" s="9">
        <v>4.55</v>
      </c>
      <c r="W274" s="9">
        <v>-0.11</v>
      </c>
      <c r="X274" s="9">
        <v>57.9</v>
      </c>
      <c r="Y274" s="9">
        <v>34.5</v>
      </c>
      <c r="Z274" s="9">
        <v>33.200000000000003</v>
      </c>
      <c r="AA274" s="9">
        <v>34</v>
      </c>
      <c r="AB274" s="9">
        <v>84.9</v>
      </c>
    </row>
    <row r="275" spans="1:28">
      <c r="A275">
        <v>6.65</v>
      </c>
      <c r="B275">
        <v>-0.12</v>
      </c>
      <c r="C275">
        <v>-0.9</v>
      </c>
      <c r="D275">
        <v>4.6500000000000004</v>
      </c>
      <c r="E275">
        <v>0.01</v>
      </c>
      <c r="F275">
        <v>51.6</v>
      </c>
      <c r="G275">
        <v>21.5</v>
      </c>
      <c r="H275">
        <v>34.1</v>
      </c>
      <c r="I275">
        <v>39</v>
      </c>
      <c r="J275">
        <v>87.5</v>
      </c>
      <c r="K275" s="18">
        <v>10.282662539582535</v>
      </c>
      <c r="L275">
        <v>10.31</v>
      </c>
      <c r="M275" s="19">
        <v>2.7337460417465209E-2</v>
      </c>
      <c r="P275" s="9">
        <v>8</v>
      </c>
      <c r="Q275" s="9" t="s">
        <v>92</v>
      </c>
      <c r="R275" s="9">
        <v>9.98</v>
      </c>
      <c r="S275" s="9">
        <v>5.89</v>
      </c>
      <c r="T275" s="9">
        <v>-0.01</v>
      </c>
      <c r="U275" s="9">
        <v>-0.45</v>
      </c>
      <c r="V275" s="9">
        <v>4.55</v>
      </c>
      <c r="W275" s="9">
        <v>-0.02</v>
      </c>
      <c r="X275" s="9">
        <v>63.2</v>
      </c>
      <c r="Y275" s="9">
        <v>20.100000000000001</v>
      </c>
      <c r="Z275" s="9">
        <v>32.700000000000003</v>
      </c>
      <c r="AA275" s="9">
        <v>34.1</v>
      </c>
      <c r="AB275" s="9">
        <v>85</v>
      </c>
    </row>
    <row r="276" spans="1:28">
      <c r="A276">
        <v>6.41</v>
      </c>
      <c r="B276">
        <v>0.11</v>
      </c>
      <c r="C276">
        <v>-1.48</v>
      </c>
      <c r="D276">
        <v>4.6500000000000004</v>
      </c>
      <c r="E276">
        <v>-0.25</v>
      </c>
      <c r="F276">
        <v>60.2</v>
      </c>
      <c r="G276">
        <v>28.8</v>
      </c>
      <c r="H276">
        <v>33.9</v>
      </c>
      <c r="I276">
        <v>33.9</v>
      </c>
      <c r="J276">
        <v>90.1</v>
      </c>
      <c r="K276" s="18">
        <v>9.4161170101140641</v>
      </c>
      <c r="L276">
        <v>9.44</v>
      </c>
      <c r="M276" s="19">
        <v>2.3882989885935402E-2</v>
      </c>
      <c r="P276" s="9">
        <v>8</v>
      </c>
      <c r="Q276" s="9" t="s">
        <v>93</v>
      </c>
      <c r="R276" s="9">
        <v>10.050000000000001</v>
      </c>
      <c r="S276" s="9">
        <v>6.05</v>
      </c>
      <c r="T276" s="9">
        <v>-0.18</v>
      </c>
      <c r="U276" s="9">
        <v>-0.4</v>
      </c>
      <c r="V276" s="9">
        <v>4.55</v>
      </c>
      <c r="W276" s="9">
        <v>0.03</v>
      </c>
      <c r="X276" s="9">
        <v>69.099999999999994</v>
      </c>
      <c r="Y276" s="9">
        <v>17.899999999999999</v>
      </c>
      <c r="Z276" s="9">
        <v>31.1</v>
      </c>
      <c r="AA276" s="9">
        <v>34.9</v>
      </c>
      <c r="AB276" s="9">
        <v>83.8</v>
      </c>
    </row>
    <row r="277" spans="1:28">
      <c r="A277">
        <v>6.21</v>
      </c>
      <c r="B277">
        <v>-0.33</v>
      </c>
      <c r="C277">
        <v>-0.19</v>
      </c>
      <c r="D277">
        <v>4.55</v>
      </c>
      <c r="E277">
        <v>0.03</v>
      </c>
      <c r="F277">
        <v>56.1</v>
      </c>
      <c r="G277">
        <v>16</v>
      </c>
      <c r="H277">
        <v>32.200000000000003</v>
      </c>
      <c r="I277">
        <v>33.299999999999997</v>
      </c>
      <c r="J277">
        <v>87.9</v>
      </c>
      <c r="K277" s="18">
        <v>10.283791458893621</v>
      </c>
      <c r="L277">
        <v>10.28</v>
      </c>
      <c r="M277" s="19">
        <v>-3.7914588936214244E-3</v>
      </c>
      <c r="P277" s="9">
        <v>8</v>
      </c>
      <c r="Q277" s="9" t="s">
        <v>94</v>
      </c>
      <c r="R277" s="9">
        <v>10.11</v>
      </c>
      <c r="S277" s="9">
        <v>5.85</v>
      </c>
      <c r="T277" s="9">
        <v>0.06</v>
      </c>
      <c r="U277" s="9">
        <v>-0.28999999999999998</v>
      </c>
      <c r="V277" s="9">
        <v>4.55</v>
      </c>
      <c r="W277" s="9">
        <v>-7.0000000000000007E-2</v>
      </c>
      <c r="X277" s="9">
        <v>58.9</v>
      </c>
      <c r="Y277" s="9">
        <v>22.8</v>
      </c>
      <c r="Z277" s="9">
        <v>33.1</v>
      </c>
      <c r="AA277" s="9">
        <v>34.5</v>
      </c>
      <c r="AB277" s="9">
        <v>87.5</v>
      </c>
    </row>
    <row r="278" spans="1:28">
      <c r="A278">
        <v>6.38</v>
      </c>
      <c r="B278">
        <v>-0.41</v>
      </c>
      <c r="C278">
        <v>-0.77</v>
      </c>
      <c r="D278">
        <v>4.55</v>
      </c>
      <c r="E278">
        <v>0.11</v>
      </c>
      <c r="F278">
        <v>63.2</v>
      </c>
      <c r="G278">
        <v>29.2</v>
      </c>
      <c r="H278">
        <v>31.6</v>
      </c>
      <c r="I278">
        <v>32.9</v>
      </c>
      <c r="J278">
        <v>88.4</v>
      </c>
      <c r="K278" s="18">
        <v>9.8451562307157232</v>
      </c>
      <c r="L278">
        <v>9.85</v>
      </c>
      <c r="M278" s="19">
        <v>4.8437692842764335E-3</v>
      </c>
      <c r="P278" s="9">
        <v>8</v>
      </c>
      <c r="Q278" s="9" t="s">
        <v>95</v>
      </c>
      <c r="R278" s="9">
        <v>10.55</v>
      </c>
      <c r="S278" s="9">
        <v>6.91</v>
      </c>
      <c r="T278" s="9">
        <v>-0.18</v>
      </c>
      <c r="U278" s="9">
        <v>-0.67</v>
      </c>
      <c r="V278" s="9">
        <v>4.55</v>
      </c>
      <c r="W278" s="9">
        <v>-0.05</v>
      </c>
      <c r="X278" s="9">
        <v>59.3</v>
      </c>
      <c r="Y278" s="9">
        <v>24.6</v>
      </c>
      <c r="Z278" s="9">
        <v>33.299999999999997</v>
      </c>
      <c r="AA278" s="9">
        <v>36.9</v>
      </c>
      <c r="AB278" s="9">
        <v>88.7</v>
      </c>
    </row>
    <row r="279" spans="1:28">
      <c r="A279">
        <v>6.02</v>
      </c>
      <c r="B279">
        <v>-0.37</v>
      </c>
      <c r="C279">
        <v>-0.64</v>
      </c>
      <c r="D279">
        <v>4.55</v>
      </c>
      <c r="E279">
        <v>-0.06</v>
      </c>
      <c r="F279">
        <v>65.7</v>
      </c>
      <c r="G279">
        <v>21.8</v>
      </c>
      <c r="H279">
        <v>33.200000000000003</v>
      </c>
      <c r="I279">
        <v>32.799999999999997</v>
      </c>
      <c r="J279">
        <v>90.2</v>
      </c>
      <c r="K279" s="18">
        <v>9.4789306485736695</v>
      </c>
      <c r="L279">
        <v>9.51</v>
      </c>
      <c r="M279" s="19">
        <v>3.1069351426330272E-2</v>
      </c>
      <c r="P279" s="9">
        <v>8</v>
      </c>
      <c r="Q279" s="9" t="s">
        <v>96</v>
      </c>
      <c r="R279" s="9">
        <v>10.06</v>
      </c>
      <c r="S279" s="9">
        <v>6.56</v>
      </c>
      <c r="T279" s="9">
        <v>-0.27</v>
      </c>
      <c r="U279" s="9">
        <v>-0.73</v>
      </c>
      <c r="V279" s="9">
        <v>4.55</v>
      </c>
      <c r="W279" s="9">
        <v>-0.06</v>
      </c>
      <c r="X279" s="9">
        <v>58.8</v>
      </c>
      <c r="Y279" s="9">
        <v>23.5</v>
      </c>
      <c r="Z279" s="9">
        <v>33.4</v>
      </c>
      <c r="AA279" s="9">
        <v>36.5</v>
      </c>
      <c r="AB279" s="9">
        <v>88.1</v>
      </c>
    </row>
    <row r="280" spans="1:28">
      <c r="A280">
        <v>5.99</v>
      </c>
      <c r="B280">
        <v>-0.16</v>
      </c>
      <c r="C280">
        <v>-0.35</v>
      </c>
      <c r="D280">
        <v>4.55</v>
      </c>
      <c r="E280">
        <v>0.06</v>
      </c>
      <c r="F280">
        <v>65.8</v>
      </c>
      <c r="G280">
        <v>26.6</v>
      </c>
      <c r="H280">
        <v>32.200000000000003</v>
      </c>
      <c r="I280">
        <v>33.9</v>
      </c>
      <c r="J280">
        <v>89.4</v>
      </c>
      <c r="K280" s="18">
        <v>10.078088496782586</v>
      </c>
      <c r="L280">
        <v>10.1</v>
      </c>
      <c r="M280" s="19">
        <v>2.1911503217413753E-2</v>
      </c>
      <c r="P280" s="9">
        <v>8</v>
      </c>
      <c r="Q280" s="9" t="s">
        <v>97</v>
      </c>
      <c r="R280" s="9">
        <v>10.08</v>
      </c>
      <c r="S280" s="9">
        <v>6.3</v>
      </c>
      <c r="T280" s="9">
        <v>-0.1</v>
      </c>
      <c r="U280" s="9">
        <v>-0.59</v>
      </c>
      <c r="V280" s="9">
        <v>4.55</v>
      </c>
      <c r="W280" s="9">
        <v>-0.09</v>
      </c>
      <c r="X280" s="9">
        <v>63.9</v>
      </c>
      <c r="Y280" s="9">
        <v>37.299999999999997</v>
      </c>
      <c r="Z280" s="9">
        <v>32.6</v>
      </c>
      <c r="AA280" s="9">
        <v>37.9</v>
      </c>
      <c r="AB280" s="9">
        <v>88.4</v>
      </c>
    </row>
    <row r="281" spans="1:28">
      <c r="A281">
        <v>6.81</v>
      </c>
      <c r="B281">
        <v>-0.66</v>
      </c>
      <c r="C281">
        <v>-0.69</v>
      </c>
      <c r="D281">
        <v>4.55</v>
      </c>
      <c r="E281">
        <v>0.04</v>
      </c>
      <c r="F281">
        <v>64.3</v>
      </c>
      <c r="G281">
        <v>32.799999999999997</v>
      </c>
      <c r="H281">
        <v>34</v>
      </c>
      <c r="I281">
        <v>36</v>
      </c>
      <c r="J281">
        <v>88.6</v>
      </c>
      <c r="K281" s="18">
        <v>10.010103411125041</v>
      </c>
      <c r="L281">
        <v>10.01</v>
      </c>
      <c r="M281" s="19">
        <v>-1.0341112504086425E-4</v>
      </c>
      <c r="P281" s="9">
        <v>8</v>
      </c>
      <c r="Q281" s="9" t="s">
        <v>98</v>
      </c>
      <c r="R281" s="9">
        <v>10.08</v>
      </c>
      <c r="S281" s="9">
        <v>6.35</v>
      </c>
      <c r="T281" s="9">
        <v>-0.21</v>
      </c>
      <c r="U281" s="9">
        <v>-0.55000000000000004</v>
      </c>
      <c r="V281" s="9">
        <v>4.55</v>
      </c>
      <c r="W281" s="9">
        <v>-7.0000000000000007E-2</v>
      </c>
      <c r="X281" s="9">
        <v>64.8</v>
      </c>
      <c r="Y281" s="9">
        <v>34.9</v>
      </c>
      <c r="Z281" s="9">
        <v>33.200000000000003</v>
      </c>
      <c r="AA281" s="9">
        <v>38</v>
      </c>
      <c r="AB281" s="9">
        <v>86.8</v>
      </c>
    </row>
    <row r="282" spans="1:28">
      <c r="A282">
        <v>6.15</v>
      </c>
      <c r="B282">
        <v>-0.33</v>
      </c>
      <c r="C282">
        <v>-0.5</v>
      </c>
      <c r="D282">
        <v>4.55</v>
      </c>
      <c r="E282">
        <v>-0.04</v>
      </c>
      <c r="F282">
        <v>79.2</v>
      </c>
      <c r="G282">
        <v>30.6</v>
      </c>
      <c r="H282">
        <v>33</v>
      </c>
      <c r="I282">
        <v>35.799999999999997</v>
      </c>
      <c r="J282">
        <v>90.2</v>
      </c>
      <c r="K282" s="18">
        <v>9.7861265704695128</v>
      </c>
      <c r="L282">
        <v>9.75</v>
      </c>
      <c r="M282" s="19">
        <v>-3.6126570469512842E-2</v>
      </c>
      <c r="P282" s="9">
        <v>8</v>
      </c>
      <c r="Q282" s="9" t="s">
        <v>99</v>
      </c>
      <c r="R282" s="9">
        <v>9.77</v>
      </c>
      <c r="S282" s="9">
        <v>6.14</v>
      </c>
      <c r="T282" s="9">
        <v>-0.13</v>
      </c>
      <c r="U282" s="9">
        <v>-0.75</v>
      </c>
      <c r="V282" s="9">
        <v>4.55</v>
      </c>
      <c r="W282" s="9">
        <v>-0.04</v>
      </c>
      <c r="X282" s="9">
        <v>60.3</v>
      </c>
      <c r="Y282" s="9">
        <v>20</v>
      </c>
      <c r="Z282" s="9">
        <v>34.200000000000003</v>
      </c>
      <c r="AA282" s="9">
        <v>33.6</v>
      </c>
      <c r="AB282" s="9">
        <v>89.3</v>
      </c>
    </row>
    <row r="283" spans="1:28">
      <c r="A283">
        <v>5.48</v>
      </c>
      <c r="B283">
        <v>-0.21</v>
      </c>
      <c r="C283">
        <v>-0.32</v>
      </c>
      <c r="D283">
        <v>4.55</v>
      </c>
      <c r="E283">
        <v>0.02</v>
      </c>
      <c r="F283">
        <v>62.8</v>
      </c>
      <c r="G283">
        <v>25.8</v>
      </c>
      <c r="H283">
        <v>33.5</v>
      </c>
      <c r="I283">
        <v>32.200000000000003</v>
      </c>
      <c r="J283">
        <v>88.7</v>
      </c>
      <c r="K283" s="18">
        <v>9.4988086846531825</v>
      </c>
      <c r="L283">
        <v>9.5</v>
      </c>
      <c r="M283" s="19">
        <v>1.1913153468174897E-3</v>
      </c>
      <c r="P283" s="9">
        <v>8</v>
      </c>
      <c r="Q283" s="9" t="s">
        <v>100</v>
      </c>
      <c r="R283" s="9">
        <v>10.130000000000001</v>
      </c>
      <c r="S283" s="9">
        <v>6.64</v>
      </c>
      <c r="T283" s="9">
        <v>-0.11</v>
      </c>
      <c r="U283" s="9">
        <v>-0.91</v>
      </c>
      <c r="V283" s="9">
        <v>4.55</v>
      </c>
      <c r="W283" s="9">
        <v>-0.04</v>
      </c>
      <c r="X283" s="9">
        <v>54.1</v>
      </c>
      <c r="Y283" s="9">
        <v>18.3</v>
      </c>
      <c r="Z283" s="9">
        <v>33.6</v>
      </c>
      <c r="AA283" s="9">
        <v>37.799999999999997</v>
      </c>
      <c r="AB283" s="9">
        <v>90.2</v>
      </c>
    </row>
    <row r="284" spans="1:28">
      <c r="A284">
        <v>5.0599999999999996</v>
      </c>
      <c r="B284">
        <v>-0.05</v>
      </c>
      <c r="C284">
        <v>0</v>
      </c>
      <c r="D284">
        <v>4.55</v>
      </c>
      <c r="E284">
        <v>-0.05</v>
      </c>
      <c r="F284">
        <v>58.4</v>
      </c>
      <c r="G284">
        <v>16.7</v>
      </c>
      <c r="H284">
        <v>32.4</v>
      </c>
      <c r="I284">
        <v>32.200000000000003</v>
      </c>
      <c r="J284">
        <v>86.8</v>
      </c>
      <c r="K284" s="18">
        <v>9.5214566747987082</v>
      </c>
      <c r="L284">
        <v>9.52</v>
      </c>
      <c r="M284" s="19">
        <v>-1.4566747987085904E-3</v>
      </c>
      <c r="P284" s="9">
        <v>8</v>
      </c>
      <c r="Q284" s="9" t="s">
        <v>101</v>
      </c>
      <c r="R284" s="9">
        <v>9.44</v>
      </c>
      <c r="S284" s="9">
        <v>6.4</v>
      </c>
      <c r="T284" s="9">
        <v>0.11</v>
      </c>
      <c r="U284" s="9">
        <v>-1.41</v>
      </c>
      <c r="V284" s="9">
        <v>4.55</v>
      </c>
      <c r="W284" s="9">
        <v>-0.01</v>
      </c>
      <c r="X284" s="9">
        <v>59.8</v>
      </c>
      <c r="Y284" s="9">
        <v>31.4</v>
      </c>
      <c r="Z284" s="9">
        <v>33.200000000000003</v>
      </c>
      <c r="AA284" s="9">
        <v>36</v>
      </c>
      <c r="AB284" s="9">
        <v>92.4</v>
      </c>
    </row>
    <row r="285" spans="1:28">
      <c r="A285">
        <v>5.43</v>
      </c>
      <c r="B285">
        <v>-0.09</v>
      </c>
      <c r="C285">
        <v>-0.09</v>
      </c>
      <c r="D285">
        <v>4.55</v>
      </c>
      <c r="E285">
        <v>0.03</v>
      </c>
      <c r="F285">
        <v>63.8</v>
      </c>
      <c r="G285">
        <v>25.9</v>
      </c>
      <c r="H285">
        <v>33.6</v>
      </c>
      <c r="I285">
        <v>36</v>
      </c>
      <c r="J285">
        <v>86.4</v>
      </c>
      <c r="K285" s="18">
        <v>9.8122402257457892</v>
      </c>
      <c r="L285">
        <v>9.82</v>
      </c>
      <c r="M285" s="19">
        <v>7.7597742542110382E-3</v>
      </c>
    </row>
    <row r="286" spans="1:28">
      <c r="A286">
        <v>5.24</v>
      </c>
      <c r="B286">
        <v>-0.02</v>
      </c>
      <c r="C286">
        <v>-0.09</v>
      </c>
      <c r="D286">
        <v>4.55</v>
      </c>
      <c r="E286">
        <v>-0.01</v>
      </c>
      <c r="F286">
        <v>57.4</v>
      </c>
      <c r="G286">
        <v>14.5</v>
      </c>
      <c r="H286">
        <v>32.9</v>
      </c>
      <c r="I286">
        <v>31.8</v>
      </c>
      <c r="J286">
        <v>87.3</v>
      </c>
      <c r="K286" s="18">
        <v>9.678961988130494</v>
      </c>
      <c r="L286">
        <v>9.68</v>
      </c>
      <c r="M286" s="19">
        <v>1.038011869505695E-3</v>
      </c>
    </row>
    <row r="287" spans="1:28">
      <c r="A287">
        <v>5.03</v>
      </c>
      <c r="B287">
        <v>-0.02</v>
      </c>
      <c r="C287">
        <v>0.1</v>
      </c>
      <c r="D287">
        <v>4.55</v>
      </c>
      <c r="E287">
        <v>0</v>
      </c>
      <c r="F287">
        <v>51</v>
      </c>
      <c r="G287">
        <v>10.5</v>
      </c>
      <c r="H287">
        <v>33.1</v>
      </c>
      <c r="I287">
        <v>31.9</v>
      </c>
      <c r="J287">
        <v>87.2</v>
      </c>
      <c r="K287" s="18">
        <v>9.6816970291334634</v>
      </c>
      <c r="L287">
        <v>9.67</v>
      </c>
      <c r="M287" s="19">
        <v>-1.1697029133463488E-2</v>
      </c>
    </row>
    <row r="288" spans="1:28">
      <c r="A288">
        <v>5.0999999999999996</v>
      </c>
      <c r="B288">
        <v>-0.06</v>
      </c>
      <c r="C288">
        <v>0.1</v>
      </c>
      <c r="D288">
        <v>4.55</v>
      </c>
      <c r="E288">
        <v>0.02</v>
      </c>
      <c r="F288">
        <v>51.6</v>
      </c>
      <c r="G288">
        <v>17.2</v>
      </c>
      <c r="H288">
        <v>32.9</v>
      </c>
      <c r="I288">
        <v>32.4</v>
      </c>
      <c r="J288">
        <v>87</v>
      </c>
      <c r="K288" s="18">
        <v>9.7259255634054913</v>
      </c>
      <c r="L288">
        <v>9.73</v>
      </c>
      <c r="M288" s="19">
        <v>4.0744365945091232E-3</v>
      </c>
    </row>
    <row r="289" spans="1:13">
      <c r="A289">
        <v>4.49</v>
      </c>
      <c r="B289">
        <v>0.16</v>
      </c>
      <c r="C289">
        <v>0.62</v>
      </c>
      <c r="D289">
        <v>4.55</v>
      </c>
      <c r="E289">
        <v>0.02</v>
      </c>
      <c r="F289">
        <v>54.6</v>
      </c>
      <c r="G289">
        <v>14.2</v>
      </c>
      <c r="H289">
        <v>34</v>
      </c>
      <c r="I289">
        <v>33.299999999999997</v>
      </c>
      <c r="J289">
        <v>86.1</v>
      </c>
      <c r="K289" s="18">
        <v>9.852102045322594</v>
      </c>
      <c r="L289">
        <v>9.85</v>
      </c>
      <c r="M289" s="19">
        <v>-2.1020453225943925E-3</v>
      </c>
    </row>
    <row r="290" spans="1:13">
      <c r="A290">
        <v>5.08</v>
      </c>
      <c r="B290">
        <v>-7.0000000000000007E-2</v>
      </c>
      <c r="C290">
        <v>0.34</v>
      </c>
      <c r="D290">
        <v>4.55</v>
      </c>
      <c r="E290">
        <v>0.05</v>
      </c>
      <c r="F290">
        <v>51.8</v>
      </c>
      <c r="G290">
        <v>13.8</v>
      </c>
      <c r="H290">
        <v>32.799999999999997</v>
      </c>
      <c r="I290">
        <v>32.9</v>
      </c>
      <c r="J290">
        <v>86.5</v>
      </c>
      <c r="K290" s="18">
        <v>9.9720271524639106</v>
      </c>
      <c r="L290">
        <v>9.92</v>
      </c>
      <c r="M290" s="19">
        <v>-5.2027152463910653E-2</v>
      </c>
    </row>
    <row r="291" spans="1:13">
      <c r="A291">
        <v>5.28</v>
      </c>
      <c r="B291">
        <v>-0.15</v>
      </c>
      <c r="C291">
        <v>-0.28000000000000003</v>
      </c>
      <c r="D291">
        <v>4.55</v>
      </c>
      <c r="E291">
        <v>0.03</v>
      </c>
      <c r="F291">
        <v>72.099999999999994</v>
      </c>
      <c r="G291">
        <v>28.4</v>
      </c>
      <c r="H291">
        <v>35.5</v>
      </c>
      <c r="I291">
        <v>38.700000000000003</v>
      </c>
      <c r="J291">
        <v>88.6</v>
      </c>
      <c r="K291" s="18">
        <v>9.3754196652626991</v>
      </c>
      <c r="L291">
        <v>9.2100000000000009</v>
      </c>
      <c r="M291" s="19">
        <v>-0.16541966526269825</v>
      </c>
    </row>
    <row r="292" spans="1:13">
      <c r="A292">
        <v>4.97</v>
      </c>
      <c r="B292">
        <v>-0.08</v>
      </c>
      <c r="C292">
        <v>0.11</v>
      </c>
      <c r="D292">
        <v>4.55</v>
      </c>
      <c r="E292">
        <v>0.03</v>
      </c>
      <c r="F292">
        <v>73.7</v>
      </c>
      <c r="G292">
        <v>28.4</v>
      </c>
      <c r="H292">
        <v>33</v>
      </c>
      <c r="I292">
        <v>38.4</v>
      </c>
      <c r="J292">
        <v>87.5</v>
      </c>
      <c r="K292" s="18">
        <v>9.5517480754618074</v>
      </c>
      <c r="L292">
        <v>9.59</v>
      </c>
      <c r="M292" s="19">
        <v>3.8251924538192483E-2</v>
      </c>
    </row>
    <row r="293" spans="1:13">
      <c r="A293">
        <v>5.12</v>
      </c>
      <c r="B293">
        <v>0</v>
      </c>
      <c r="C293">
        <v>0.06</v>
      </c>
      <c r="D293">
        <v>4.55</v>
      </c>
      <c r="E293">
        <v>0.01</v>
      </c>
      <c r="F293">
        <v>69.099999999999994</v>
      </c>
      <c r="G293">
        <v>27.4</v>
      </c>
      <c r="H293">
        <v>33.6</v>
      </c>
      <c r="I293">
        <v>33.799999999999997</v>
      </c>
      <c r="J293">
        <v>87.1</v>
      </c>
      <c r="K293" s="18">
        <v>9.714985577068191</v>
      </c>
      <c r="L293">
        <v>9.6999999999999993</v>
      </c>
      <c r="M293" s="19">
        <v>-1.4985577068191702E-2</v>
      </c>
    </row>
    <row r="294" spans="1:13">
      <c r="A294">
        <v>5.43</v>
      </c>
      <c r="B294">
        <v>-0.14000000000000001</v>
      </c>
      <c r="C294">
        <v>-0.05</v>
      </c>
      <c r="D294">
        <v>4.55</v>
      </c>
      <c r="E294">
        <v>-0.1</v>
      </c>
      <c r="F294">
        <v>69.900000000000006</v>
      </c>
      <c r="G294">
        <v>22.7</v>
      </c>
      <c r="H294">
        <v>32.799999999999997</v>
      </c>
      <c r="I294">
        <v>32.799999999999997</v>
      </c>
      <c r="J294">
        <v>86.2</v>
      </c>
      <c r="K294" s="18">
        <v>9.6765312015115033</v>
      </c>
      <c r="L294">
        <v>9.7100000000000009</v>
      </c>
      <c r="M294" s="19">
        <v>3.3468798488497598E-2</v>
      </c>
    </row>
    <row r="295" spans="1:13">
      <c r="A295">
        <v>5.4</v>
      </c>
      <c r="B295">
        <v>-0.16</v>
      </c>
      <c r="C295">
        <v>-0.13</v>
      </c>
      <c r="D295">
        <v>4.55</v>
      </c>
      <c r="E295">
        <v>-0.09</v>
      </c>
      <c r="F295">
        <v>70.2</v>
      </c>
      <c r="G295">
        <v>27.2</v>
      </c>
      <c r="H295">
        <v>32.700000000000003</v>
      </c>
      <c r="I295">
        <v>34.700000000000003</v>
      </c>
      <c r="J295">
        <v>86.7</v>
      </c>
      <c r="K295" s="18">
        <v>9.5514502335891951</v>
      </c>
      <c r="L295">
        <v>9.5500000000000007</v>
      </c>
      <c r="M295" s="19">
        <v>-1.4502335891943829E-3</v>
      </c>
    </row>
    <row r="296" spans="1:13">
      <c r="A296">
        <v>5.28</v>
      </c>
      <c r="B296">
        <v>-0.09</v>
      </c>
      <c r="C296">
        <v>-0.17</v>
      </c>
      <c r="D296">
        <v>4.55</v>
      </c>
      <c r="E296">
        <v>0.05</v>
      </c>
      <c r="F296">
        <v>65.900000000000006</v>
      </c>
      <c r="G296">
        <v>25.3</v>
      </c>
      <c r="H296">
        <v>33.4</v>
      </c>
      <c r="I296">
        <v>35.299999999999997</v>
      </c>
      <c r="J296">
        <v>87.9</v>
      </c>
      <c r="K296" s="18">
        <v>9.5985080242254917</v>
      </c>
      <c r="L296">
        <v>9.6300000000000008</v>
      </c>
      <c r="M296" s="19">
        <v>3.1491975774509129E-2</v>
      </c>
    </row>
    <row r="297" spans="1:13">
      <c r="A297">
        <v>5.4</v>
      </c>
      <c r="B297">
        <v>-0.01</v>
      </c>
      <c r="C297">
        <v>-0.12</v>
      </c>
      <c r="D297">
        <v>4.55</v>
      </c>
      <c r="E297">
        <v>0.03</v>
      </c>
      <c r="F297">
        <v>65.900000000000006</v>
      </c>
      <c r="G297">
        <v>26.4</v>
      </c>
      <c r="H297">
        <v>34.200000000000003</v>
      </c>
      <c r="I297">
        <v>35.299999999999997</v>
      </c>
      <c r="J297">
        <v>87.3</v>
      </c>
      <c r="K297" s="18">
        <v>9.8235093655596284</v>
      </c>
      <c r="L297">
        <v>9.8000000000000007</v>
      </c>
      <c r="M297" s="19">
        <v>-2.3509365559627682E-2</v>
      </c>
    </row>
    <row r="298" spans="1:13">
      <c r="A298">
        <v>5.0999999999999996</v>
      </c>
      <c r="B298">
        <v>-0.05</v>
      </c>
      <c r="C298">
        <v>7.0000000000000007E-2</v>
      </c>
      <c r="D298">
        <v>4.55</v>
      </c>
      <c r="E298">
        <v>-0.02</v>
      </c>
      <c r="F298">
        <v>62.8</v>
      </c>
      <c r="G298">
        <v>18.8</v>
      </c>
      <c r="H298">
        <v>34.299999999999997</v>
      </c>
      <c r="I298">
        <v>35</v>
      </c>
      <c r="J298">
        <v>87.5</v>
      </c>
      <c r="K298" s="18">
        <v>9.6360121081548211</v>
      </c>
      <c r="L298">
        <v>9.61</v>
      </c>
      <c r="M298" s="19">
        <v>-2.6012108154821689E-2</v>
      </c>
    </row>
    <row r="299" spans="1:13">
      <c r="A299">
        <v>4.9400000000000004</v>
      </c>
      <c r="B299">
        <v>0.18</v>
      </c>
      <c r="C299">
        <v>0.21</v>
      </c>
      <c r="D299">
        <v>4.55</v>
      </c>
      <c r="E299">
        <v>0.03</v>
      </c>
      <c r="F299">
        <v>57.7</v>
      </c>
      <c r="G299">
        <v>17.2</v>
      </c>
      <c r="H299">
        <v>32.9</v>
      </c>
      <c r="I299">
        <v>31.7</v>
      </c>
      <c r="J299">
        <v>86.8</v>
      </c>
      <c r="K299" s="18">
        <v>9.921055478558598</v>
      </c>
      <c r="L299">
        <v>9.93</v>
      </c>
      <c r="M299" s="19">
        <v>8.944521441401676E-3</v>
      </c>
    </row>
    <row r="300" spans="1:13">
      <c r="A300">
        <v>5.22</v>
      </c>
      <c r="B300">
        <v>0.02</v>
      </c>
      <c r="C300">
        <v>-0.01</v>
      </c>
      <c r="D300">
        <v>4.55</v>
      </c>
      <c r="E300">
        <v>-0.02</v>
      </c>
      <c r="F300">
        <v>65.7</v>
      </c>
      <c r="G300">
        <v>19.2</v>
      </c>
      <c r="H300">
        <v>33.4</v>
      </c>
      <c r="I300">
        <v>34.299999999999997</v>
      </c>
      <c r="J300">
        <v>85.9</v>
      </c>
      <c r="K300" s="18">
        <v>9.7503167635980592</v>
      </c>
      <c r="L300">
        <v>9.77</v>
      </c>
      <c r="M300" s="19">
        <v>1.9683236401940363E-2</v>
      </c>
    </row>
    <row r="301" spans="1:13">
      <c r="A301">
        <v>5.35</v>
      </c>
      <c r="B301">
        <v>0.09</v>
      </c>
      <c r="C301">
        <v>-0.17</v>
      </c>
      <c r="D301">
        <v>4.55</v>
      </c>
      <c r="E301">
        <v>0.05</v>
      </c>
      <c r="F301">
        <v>65</v>
      </c>
      <c r="G301">
        <v>16.7</v>
      </c>
      <c r="H301">
        <v>33.6</v>
      </c>
      <c r="I301">
        <v>31.6</v>
      </c>
      <c r="J301">
        <v>87.6</v>
      </c>
      <c r="K301" s="18">
        <v>9.8581849265324344</v>
      </c>
      <c r="L301">
        <v>9.8800000000000008</v>
      </c>
      <c r="M301" s="19">
        <v>2.1815073467566393E-2</v>
      </c>
    </row>
    <row r="302" spans="1:13">
      <c r="A302">
        <v>5.25</v>
      </c>
      <c r="B302">
        <v>0.08</v>
      </c>
      <c r="C302">
        <v>0.05</v>
      </c>
      <c r="D302">
        <v>4.55</v>
      </c>
      <c r="E302">
        <v>-0.04</v>
      </c>
      <c r="F302">
        <v>64.099999999999994</v>
      </c>
      <c r="G302">
        <v>17.899999999999999</v>
      </c>
      <c r="H302">
        <v>33.6</v>
      </c>
      <c r="I302">
        <v>31.3</v>
      </c>
      <c r="J302">
        <v>84.9</v>
      </c>
      <c r="K302" s="18">
        <v>9.884080598230609</v>
      </c>
      <c r="L302">
        <v>9.89</v>
      </c>
      <c r="M302" s="19">
        <v>5.9194017693915413E-3</v>
      </c>
    </row>
    <row r="303" spans="1:13">
      <c r="A303">
        <v>5.34</v>
      </c>
      <c r="B303">
        <v>0.16</v>
      </c>
      <c r="C303">
        <v>0.11</v>
      </c>
      <c r="D303">
        <v>4.55</v>
      </c>
      <c r="E303">
        <v>-0.04</v>
      </c>
      <c r="F303">
        <v>51.5</v>
      </c>
      <c r="G303">
        <v>13.1</v>
      </c>
      <c r="H303">
        <v>33.700000000000003</v>
      </c>
      <c r="I303">
        <v>32.700000000000003</v>
      </c>
      <c r="J303">
        <v>85</v>
      </c>
      <c r="K303" s="18">
        <v>10.139635675415327</v>
      </c>
      <c r="L303">
        <v>10.130000000000001</v>
      </c>
      <c r="M303" s="19">
        <v>-9.6356754153266166E-3</v>
      </c>
    </row>
    <row r="304" spans="1:13">
      <c r="A304">
        <v>5.56</v>
      </c>
      <c r="B304">
        <v>0.02</v>
      </c>
      <c r="C304">
        <v>-0.04</v>
      </c>
      <c r="D304">
        <v>4.55</v>
      </c>
      <c r="E304">
        <v>0.02</v>
      </c>
      <c r="F304">
        <v>57.9</v>
      </c>
      <c r="G304">
        <v>15.4</v>
      </c>
      <c r="H304">
        <v>33.6</v>
      </c>
      <c r="I304">
        <v>33.299999999999997</v>
      </c>
      <c r="J304">
        <v>86.5</v>
      </c>
      <c r="K304" s="18">
        <v>10.113493235706489</v>
      </c>
      <c r="L304">
        <v>10.119999999999999</v>
      </c>
      <c r="M304" s="19">
        <v>6.5067642935101588E-3</v>
      </c>
    </row>
    <row r="305" spans="1:13">
      <c r="A305">
        <v>5.91</v>
      </c>
      <c r="B305">
        <v>-0.02</v>
      </c>
      <c r="C305">
        <v>-0.44</v>
      </c>
      <c r="D305">
        <v>4.55</v>
      </c>
      <c r="E305">
        <v>-0.06</v>
      </c>
      <c r="F305">
        <v>59</v>
      </c>
      <c r="G305">
        <v>20.399999999999999</v>
      </c>
      <c r="H305">
        <v>35.1</v>
      </c>
      <c r="I305">
        <v>36.9</v>
      </c>
      <c r="J305">
        <v>83.5</v>
      </c>
      <c r="K305" s="18">
        <v>9.922330916952717</v>
      </c>
      <c r="L305">
        <v>9.91</v>
      </c>
      <c r="M305" s="19">
        <v>-1.2330916952716819E-2</v>
      </c>
    </row>
    <row r="306" spans="1:13">
      <c r="A306">
        <v>6.11</v>
      </c>
      <c r="B306">
        <v>-0.11</v>
      </c>
      <c r="C306">
        <v>-0.52</v>
      </c>
      <c r="D306">
        <v>4.55</v>
      </c>
      <c r="E306">
        <v>0.05</v>
      </c>
      <c r="F306">
        <v>61.5</v>
      </c>
      <c r="G306">
        <v>16.7</v>
      </c>
      <c r="H306">
        <v>34.299999999999997</v>
      </c>
      <c r="I306">
        <v>34.700000000000003</v>
      </c>
      <c r="J306">
        <v>84.3</v>
      </c>
      <c r="K306" s="18">
        <v>10.063483304155897</v>
      </c>
      <c r="L306">
        <v>10.06</v>
      </c>
      <c r="M306" s="19">
        <v>-3.4833041558961497E-3</v>
      </c>
    </row>
    <row r="307" spans="1:13">
      <c r="A307">
        <v>6.04</v>
      </c>
      <c r="B307">
        <v>-0.15</v>
      </c>
      <c r="C307">
        <v>-0.66</v>
      </c>
      <c r="D307">
        <v>4.55</v>
      </c>
      <c r="E307">
        <v>7.0000000000000007E-2</v>
      </c>
      <c r="F307">
        <v>61.6</v>
      </c>
      <c r="G307">
        <v>25.5</v>
      </c>
      <c r="H307">
        <v>32.4</v>
      </c>
      <c r="I307">
        <v>32</v>
      </c>
      <c r="J307">
        <v>87.7</v>
      </c>
      <c r="K307" s="18">
        <v>9.8386957002115452</v>
      </c>
      <c r="L307">
        <v>9.86</v>
      </c>
      <c r="M307" s="19">
        <v>2.1304299788454273E-2</v>
      </c>
    </row>
    <row r="308" spans="1:13">
      <c r="A308">
        <v>6.35</v>
      </c>
      <c r="B308">
        <v>-0.26</v>
      </c>
      <c r="C308">
        <v>-0.51</v>
      </c>
      <c r="D308">
        <v>4.55</v>
      </c>
      <c r="E308">
        <v>0.08</v>
      </c>
      <c r="F308">
        <v>72.400000000000006</v>
      </c>
      <c r="G308">
        <v>39.5</v>
      </c>
      <c r="H308">
        <v>33.5</v>
      </c>
      <c r="I308">
        <v>34.5</v>
      </c>
      <c r="J308">
        <v>89.7</v>
      </c>
      <c r="K308" s="18">
        <v>10.161834456841015</v>
      </c>
      <c r="L308">
        <v>9.94</v>
      </c>
      <c r="M308" s="19">
        <v>-0.22183445684101599</v>
      </c>
    </row>
    <row r="309" spans="1:13">
      <c r="A309">
        <v>5.65</v>
      </c>
      <c r="B309">
        <v>7.0000000000000007E-2</v>
      </c>
      <c r="C309">
        <v>-0.24</v>
      </c>
      <c r="D309">
        <v>4.55</v>
      </c>
      <c r="E309">
        <v>0.01</v>
      </c>
      <c r="F309">
        <v>66.2</v>
      </c>
      <c r="G309">
        <v>34.799999999999997</v>
      </c>
      <c r="H309">
        <v>32.200000000000003</v>
      </c>
      <c r="I309">
        <v>38.9</v>
      </c>
      <c r="J309">
        <v>85.9</v>
      </c>
      <c r="K309" s="18">
        <v>10.02704491107813</v>
      </c>
      <c r="L309">
        <v>10.050000000000001</v>
      </c>
      <c r="M309" s="19">
        <v>2.295508892187037E-2</v>
      </c>
    </row>
    <row r="310" spans="1:13">
      <c r="A310">
        <v>5.38</v>
      </c>
      <c r="B310">
        <v>0.04</v>
      </c>
      <c r="C310">
        <v>-0.13</v>
      </c>
      <c r="D310">
        <v>4.55</v>
      </c>
      <c r="E310">
        <v>-0.06</v>
      </c>
      <c r="F310">
        <v>60.8</v>
      </c>
      <c r="G310">
        <v>22.2</v>
      </c>
      <c r="H310">
        <v>33.4</v>
      </c>
      <c r="I310">
        <v>35.299999999999997</v>
      </c>
      <c r="J310">
        <v>86.1</v>
      </c>
      <c r="K310" s="18">
        <v>9.7761075078664472</v>
      </c>
      <c r="L310">
        <v>9.7799999999999994</v>
      </c>
      <c r="M310" s="19">
        <v>3.892492133552139E-3</v>
      </c>
    </row>
    <row r="311" spans="1:13">
      <c r="A311">
        <v>5.83</v>
      </c>
      <c r="B311">
        <v>-0.17</v>
      </c>
      <c r="C311">
        <v>-0.09</v>
      </c>
      <c r="D311">
        <v>4.55</v>
      </c>
      <c r="E311">
        <v>0.03</v>
      </c>
      <c r="F311">
        <v>60.8</v>
      </c>
      <c r="G311">
        <v>19</v>
      </c>
      <c r="H311">
        <v>32.4</v>
      </c>
      <c r="I311">
        <v>33.299999999999997</v>
      </c>
      <c r="J311">
        <v>88.2</v>
      </c>
      <c r="K311" s="18">
        <v>10.154233261370665</v>
      </c>
      <c r="L311">
        <v>10.15</v>
      </c>
      <c r="M311" s="19">
        <v>-4.2332613706648203E-3</v>
      </c>
    </row>
    <row r="312" spans="1:13">
      <c r="A312">
        <v>6.16</v>
      </c>
      <c r="B312">
        <v>-0.11</v>
      </c>
      <c r="C312">
        <v>-0.38</v>
      </c>
      <c r="D312">
        <v>4.55</v>
      </c>
      <c r="E312">
        <v>0.02</v>
      </c>
      <c r="F312">
        <v>56.6</v>
      </c>
      <c r="G312">
        <v>29</v>
      </c>
      <c r="H312">
        <v>35.299999999999997</v>
      </c>
      <c r="I312">
        <v>31.7</v>
      </c>
      <c r="J312">
        <v>82.3</v>
      </c>
      <c r="K312" s="18">
        <v>10.213383961024057</v>
      </c>
      <c r="L312">
        <v>10.24</v>
      </c>
      <c r="M312" s="19">
        <v>2.6616038975943113E-2</v>
      </c>
    </row>
    <row r="313" spans="1:13">
      <c r="A313">
        <v>5.95</v>
      </c>
      <c r="B313">
        <v>-0.03</v>
      </c>
      <c r="C313">
        <v>-0.34</v>
      </c>
      <c r="D313">
        <v>4.55</v>
      </c>
      <c r="E313">
        <v>-0.11</v>
      </c>
      <c r="F313">
        <v>57.9</v>
      </c>
      <c r="G313">
        <v>34.5</v>
      </c>
      <c r="H313">
        <v>33.200000000000003</v>
      </c>
      <c r="I313">
        <v>34</v>
      </c>
      <c r="J313">
        <v>84.9</v>
      </c>
      <c r="K313" s="18">
        <v>10.011757424523053</v>
      </c>
      <c r="L313">
        <v>10.02</v>
      </c>
      <c r="M313" s="19">
        <v>8.2425754769470672E-3</v>
      </c>
    </row>
    <row r="314" spans="1:13">
      <c r="A314">
        <v>5.89</v>
      </c>
      <c r="B314">
        <v>-0.01</v>
      </c>
      <c r="C314">
        <v>-0.45</v>
      </c>
      <c r="D314">
        <v>4.55</v>
      </c>
      <c r="E314">
        <v>-0.02</v>
      </c>
      <c r="F314">
        <v>63.2</v>
      </c>
      <c r="G314">
        <v>20.100000000000001</v>
      </c>
      <c r="H314">
        <v>32.700000000000003</v>
      </c>
      <c r="I314">
        <v>34.1</v>
      </c>
      <c r="J314">
        <v>85</v>
      </c>
      <c r="K314" s="18">
        <v>9.9565678659528043</v>
      </c>
      <c r="L314">
        <v>9.98</v>
      </c>
      <c r="M314" s="19">
        <v>2.3432134047196129E-2</v>
      </c>
    </row>
    <row r="315" spans="1:13">
      <c r="A315">
        <v>6.05</v>
      </c>
      <c r="B315">
        <v>-0.18</v>
      </c>
      <c r="C315">
        <v>-0.4</v>
      </c>
      <c r="D315">
        <v>4.55</v>
      </c>
      <c r="E315">
        <v>0.03</v>
      </c>
      <c r="F315">
        <v>69.099999999999994</v>
      </c>
      <c r="G315">
        <v>17.899999999999999</v>
      </c>
      <c r="H315">
        <v>31.1</v>
      </c>
      <c r="I315">
        <v>34.9</v>
      </c>
      <c r="J315">
        <v>83.8</v>
      </c>
      <c r="K315" s="18">
        <v>10.051919633966147</v>
      </c>
      <c r="L315">
        <v>10.050000000000001</v>
      </c>
      <c r="M315" s="19">
        <v>-1.9196339661462503E-3</v>
      </c>
    </row>
    <row r="316" spans="1:13">
      <c r="A316">
        <v>5.85</v>
      </c>
      <c r="B316">
        <v>0.06</v>
      </c>
      <c r="C316">
        <v>-0.28999999999999998</v>
      </c>
      <c r="D316">
        <v>4.55</v>
      </c>
      <c r="E316">
        <v>-7.0000000000000007E-2</v>
      </c>
      <c r="F316">
        <v>58.9</v>
      </c>
      <c r="G316">
        <v>22.8</v>
      </c>
      <c r="H316">
        <v>33.1</v>
      </c>
      <c r="I316">
        <v>34.5</v>
      </c>
      <c r="J316">
        <v>87.5</v>
      </c>
      <c r="K316" s="18">
        <v>10.101908894862484</v>
      </c>
      <c r="L316">
        <v>10.11</v>
      </c>
      <c r="M316" s="19">
        <v>8.0911051375149867E-3</v>
      </c>
    </row>
    <row r="317" spans="1:13">
      <c r="A317">
        <v>6.91</v>
      </c>
      <c r="B317">
        <v>-0.18</v>
      </c>
      <c r="C317">
        <v>-0.67</v>
      </c>
      <c r="D317">
        <v>4.55</v>
      </c>
      <c r="E317">
        <v>-0.05</v>
      </c>
      <c r="F317">
        <v>59.3</v>
      </c>
      <c r="G317">
        <v>24.6</v>
      </c>
      <c r="H317">
        <v>33.299999999999997</v>
      </c>
      <c r="I317">
        <v>36.9</v>
      </c>
      <c r="J317">
        <v>88.7</v>
      </c>
      <c r="K317" s="18">
        <v>10.553822419476726</v>
      </c>
      <c r="L317">
        <v>10.55</v>
      </c>
      <c r="M317" s="19">
        <v>-3.8224194767249031E-3</v>
      </c>
    </row>
    <row r="318" spans="1:13">
      <c r="A318">
        <v>6.56</v>
      </c>
      <c r="B318">
        <v>-0.27</v>
      </c>
      <c r="C318">
        <v>-0.73</v>
      </c>
      <c r="D318">
        <v>4.55</v>
      </c>
      <c r="E318">
        <v>-0.06</v>
      </c>
      <c r="F318">
        <v>58.8</v>
      </c>
      <c r="G318">
        <v>23.5</v>
      </c>
      <c r="H318">
        <v>33.4</v>
      </c>
      <c r="I318">
        <v>36.5</v>
      </c>
      <c r="J318">
        <v>88.1</v>
      </c>
      <c r="K318" s="18">
        <v>10.040479596734178</v>
      </c>
      <c r="L318">
        <v>10.06</v>
      </c>
      <c r="M318" s="19">
        <v>1.9520403265822495E-2</v>
      </c>
    </row>
    <row r="319" spans="1:13">
      <c r="A319">
        <v>6.3</v>
      </c>
      <c r="B319">
        <v>-0.1</v>
      </c>
      <c r="C319">
        <v>-0.59</v>
      </c>
      <c r="D319">
        <v>4.55</v>
      </c>
      <c r="E319">
        <v>-0.09</v>
      </c>
      <c r="F319">
        <v>63.9</v>
      </c>
      <c r="G319">
        <v>37.299999999999997</v>
      </c>
      <c r="H319">
        <v>32.6</v>
      </c>
      <c r="I319">
        <v>37.9</v>
      </c>
      <c r="J319">
        <v>88.4</v>
      </c>
      <c r="K319" s="18">
        <v>10.05293477746358</v>
      </c>
      <c r="L319">
        <v>10.08</v>
      </c>
      <c r="M319" s="19">
        <v>2.7065222536419853E-2</v>
      </c>
    </row>
    <row r="320" spans="1:13">
      <c r="A320">
        <v>6.35</v>
      </c>
      <c r="B320">
        <v>-0.21</v>
      </c>
      <c r="C320">
        <v>-0.55000000000000004</v>
      </c>
      <c r="D320">
        <v>4.55</v>
      </c>
      <c r="E320">
        <v>-7.0000000000000007E-2</v>
      </c>
      <c r="F320">
        <v>64.8</v>
      </c>
      <c r="G320">
        <v>34.9</v>
      </c>
      <c r="H320">
        <v>33.200000000000003</v>
      </c>
      <c r="I320">
        <v>38</v>
      </c>
      <c r="J320">
        <v>86.8</v>
      </c>
      <c r="K320" s="18">
        <v>10.046498286445809</v>
      </c>
      <c r="L320">
        <v>10.08</v>
      </c>
      <c r="M320" s="19">
        <v>3.350171355419107E-2</v>
      </c>
    </row>
    <row r="321" spans="1:13">
      <c r="A321">
        <v>6.14</v>
      </c>
      <c r="B321">
        <v>-0.13</v>
      </c>
      <c r="C321">
        <v>-0.75</v>
      </c>
      <c r="D321">
        <v>4.55</v>
      </c>
      <c r="E321">
        <v>-0.04</v>
      </c>
      <c r="F321">
        <v>60.3</v>
      </c>
      <c r="G321">
        <v>20</v>
      </c>
      <c r="H321">
        <v>34.200000000000003</v>
      </c>
      <c r="I321">
        <v>33.6</v>
      </c>
      <c r="J321">
        <v>89.3</v>
      </c>
      <c r="K321" s="18">
        <v>9.7520979631194749</v>
      </c>
      <c r="L321">
        <v>9.77</v>
      </c>
      <c r="M321" s="19">
        <v>1.7902036880524719E-2</v>
      </c>
    </row>
    <row r="322" spans="1:13">
      <c r="A322">
        <v>6.64</v>
      </c>
      <c r="B322">
        <v>-0.11</v>
      </c>
      <c r="C322">
        <v>-0.91</v>
      </c>
      <c r="D322">
        <v>4.55</v>
      </c>
      <c r="E322">
        <v>-0.04</v>
      </c>
      <c r="F322">
        <v>54.1</v>
      </c>
      <c r="G322">
        <v>18.3</v>
      </c>
      <c r="H322">
        <v>33.6</v>
      </c>
      <c r="I322">
        <v>37.799999999999997</v>
      </c>
      <c r="J322">
        <v>90.2</v>
      </c>
      <c r="K322" s="18">
        <v>10.130398171390722</v>
      </c>
      <c r="L322">
        <v>10.130000000000001</v>
      </c>
      <c r="M322" s="19">
        <v>-3.9817139072084728E-4</v>
      </c>
    </row>
    <row r="323" spans="1:13">
      <c r="A323">
        <v>6.4</v>
      </c>
      <c r="B323">
        <v>0.11</v>
      </c>
      <c r="C323">
        <v>-1.41</v>
      </c>
      <c r="D323">
        <v>4.55</v>
      </c>
      <c r="E323">
        <v>-0.01</v>
      </c>
      <c r="F323">
        <v>59.8</v>
      </c>
      <c r="G323">
        <v>31.4</v>
      </c>
      <c r="H323">
        <v>33.200000000000003</v>
      </c>
      <c r="I323">
        <v>36</v>
      </c>
      <c r="J323">
        <v>92.4</v>
      </c>
      <c r="K323" s="18">
        <v>9.6173612240941999</v>
      </c>
      <c r="L323">
        <v>9.44</v>
      </c>
      <c r="M323" s="19">
        <v>-0.17736122409420041</v>
      </c>
    </row>
  </sheetData>
  <mergeCells count="1">
    <mergeCell ref="P1:Q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84"/>
  <sheetViews>
    <sheetView zoomScaleNormal="100" workbookViewId="0">
      <selection activeCell="O30" sqref="O30"/>
    </sheetView>
  </sheetViews>
  <sheetFormatPr defaultColWidth="11.5703125" defaultRowHeight="12.75"/>
  <cols>
    <col min="1" max="2" width="8.7109375" customWidth="1"/>
    <col min="3" max="14" width="9.85546875" customWidth="1"/>
  </cols>
  <sheetData>
    <row r="1" spans="1:14" ht="15.6">
      <c r="A1" s="26" t="s">
        <v>24</v>
      </c>
      <c r="B1" s="26"/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2</v>
      </c>
      <c r="K1" s="1">
        <v>2</v>
      </c>
      <c r="L1" s="1">
        <v>2</v>
      </c>
      <c r="M1" s="1">
        <v>2</v>
      </c>
      <c r="N1" s="1">
        <v>2</v>
      </c>
    </row>
    <row r="2" spans="1:14" ht="41.85" customHeight="1">
      <c r="A2" s="7" t="s">
        <v>25</v>
      </c>
      <c r="B2" s="7" t="s">
        <v>26</v>
      </c>
      <c r="C2" s="7" t="s">
        <v>102</v>
      </c>
      <c r="D2" s="7" t="s">
        <v>103</v>
      </c>
      <c r="E2" s="7" t="s">
        <v>104</v>
      </c>
      <c r="F2" s="7" t="s">
        <v>105</v>
      </c>
      <c r="G2" s="7" t="s">
        <v>106</v>
      </c>
      <c r="H2" s="7" t="s">
        <v>107</v>
      </c>
      <c r="I2" s="7" t="s">
        <v>13</v>
      </c>
      <c r="J2" s="7" t="s">
        <v>27</v>
      </c>
      <c r="K2" s="7" t="s">
        <v>28</v>
      </c>
      <c r="L2" s="7" t="s">
        <v>29</v>
      </c>
      <c r="M2" s="7" t="s">
        <v>30</v>
      </c>
      <c r="N2" s="7" t="s">
        <v>31</v>
      </c>
    </row>
    <row r="3" spans="1:14">
      <c r="A3" s="9">
        <v>3</v>
      </c>
      <c r="B3" s="9" t="s">
        <v>33</v>
      </c>
      <c r="C3" s="15">
        <v>6.33</v>
      </c>
      <c r="D3" s="15">
        <v>-0.28999999999999998</v>
      </c>
      <c r="E3" s="15">
        <v>-0.32</v>
      </c>
      <c r="F3" s="15">
        <v>4.71</v>
      </c>
      <c r="G3" s="9">
        <v>0.02</v>
      </c>
      <c r="H3" s="16">
        <v>0.01</v>
      </c>
      <c r="I3" s="9">
        <v>10.45</v>
      </c>
      <c r="J3" s="10">
        <v>48</v>
      </c>
      <c r="K3" s="10">
        <v>9.9</v>
      </c>
      <c r="L3" s="10">
        <v>32.5</v>
      </c>
      <c r="M3" s="10">
        <v>10.6</v>
      </c>
      <c r="N3" s="10">
        <v>79.599999999999994</v>
      </c>
    </row>
    <row r="4" spans="1:14">
      <c r="A4" s="9">
        <v>3</v>
      </c>
      <c r="B4" s="9" t="s">
        <v>36</v>
      </c>
      <c r="C4" s="15">
        <v>6.36</v>
      </c>
      <c r="D4" s="15">
        <v>-0.25</v>
      </c>
      <c r="E4" s="15">
        <v>-0.88</v>
      </c>
      <c r="F4" s="15">
        <v>4.71</v>
      </c>
      <c r="G4" s="9">
        <v>0.02</v>
      </c>
      <c r="H4" s="16">
        <v>0.01</v>
      </c>
      <c r="I4" s="9">
        <v>9.9600000000000009</v>
      </c>
      <c r="J4" s="10">
        <v>55.1</v>
      </c>
      <c r="K4" s="10">
        <v>17.8</v>
      </c>
      <c r="L4" s="10">
        <v>32.299999999999997</v>
      </c>
      <c r="M4" s="10">
        <v>10.6</v>
      </c>
      <c r="N4" s="10">
        <v>80.3</v>
      </c>
    </row>
    <row r="5" spans="1:14">
      <c r="A5" s="9">
        <v>3</v>
      </c>
      <c r="B5" s="9" t="s">
        <v>37</v>
      </c>
      <c r="C5" s="15">
        <v>5.95</v>
      </c>
      <c r="D5" s="15">
        <v>-0.28999999999999998</v>
      </c>
      <c r="E5" s="15">
        <v>-0.62</v>
      </c>
      <c r="F5" s="15">
        <v>4.71</v>
      </c>
      <c r="G5" s="9">
        <v>-0.01</v>
      </c>
      <c r="H5" s="16">
        <v>0</v>
      </c>
      <c r="I5" s="9">
        <v>9.74</v>
      </c>
      <c r="J5" s="10">
        <v>57.9</v>
      </c>
      <c r="K5" s="10">
        <v>14.6</v>
      </c>
      <c r="L5" s="10">
        <v>32.299999999999997</v>
      </c>
      <c r="M5" s="10">
        <v>11.8</v>
      </c>
      <c r="N5" s="10">
        <v>83.2</v>
      </c>
    </row>
    <row r="6" spans="1:14">
      <c r="A6" s="9">
        <v>3</v>
      </c>
      <c r="B6" s="9" t="s">
        <v>39</v>
      </c>
      <c r="C6" s="15">
        <v>5.83</v>
      </c>
      <c r="D6" s="15">
        <v>-0.16</v>
      </c>
      <c r="E6" s="15">
        <v>-0.34</v>
      </c>
      <c r="F6" s="15">
        <v>4.71</v>
      </c>
      <c r="G6" s="9">
        <v>-0.02</v>
      </c>
      <c r="H6" s="16">
        <v>-0.01</v>
      </c>
      <c r="I6" s="9">
        <v>10.01</v>
      </c>
      <c r="J6" s="10">
        <v>60</v>
      </c>
      <c r="K6" s="10">
        <v>27.4</v>
      </c>
      <c r="L6" s="10">
        <v>32.700000000000003</v>
      </c>
      <c r="M6" s="10">
        <v>9.9</v>
      </c>
      <c r="N6" s="10">
        <v>81.099999999999994</v>
      </c>
    </row>
    <row r="7" spans="1:14">
      <c r="A7" s="9">
        <v>3</v>
      </c>
      <c r="B7" s="9" t="s">
        <v>40</v>
      </c>
      <c r="C7" s="15">
        <v>6.92</v>
      </c>
      <c r="D7" s="15">
        <v>-0.56999999999999995</v>
      </c>
      <c r="E7" s="15">
        <v>-0.87</v>
      </c>
      <c r="F7" s="15">
        <v>4.71</v>
      </c>
      <c r="G7" s="9">
        <v>-0.02</v>
      </c>
      <c r="H7" s="16">
        <v>0.01</v>
      </c>
      <c r="I7" s="9">
        <v>10.16</v>
      </c>
      <c r="J7" s="10">
        <v>53.8</v>
      </c>
      <c r="K7" s="10">
        <v>28.7</v>
      </c>
      <c r="L7" s="10">
        <v>32.299999999999997</v>
      </c>
      <c r="M7" s="10">
        <v>9.1999999999999993</v>
      </c>
      <c r="N7" s="10">
        <v>79.3</v>
      </c>
    </row>
    <row r="8" spans="1:14">
      <c r="A8" s="9">
        <v>3</v>
      </c>
      <c r="B8" s="9" t="s">
        <v>41</v>
      </c>
      <c r="C8" s="15">
        <v>6.09</v>
      </c>
      <c r="D8" s="15">
        <v>-0.25</v>
      </c>
      <c r="E8" s="15">
        <v>-0.5</v>
      </c>
      <c r="F8" s="15">
        <v>4.71</v>
      </c>
      <c r="G8" s="9">
        <v>0.04</v>
      </c>
      <c r="H8" s="16">
        <v>-0.05</v>
      </c>
      <c r="I8" s="9">
        <v>10.029999999999999</v>
      </c>
      <c r="J8" s="10">
        <v>73.8</v>
      </c>
      <c r="K8" s="10">
        <v>24</v>
      </c>
      <c r="L8" s="10">
        <v>33.6</v>
      </c>
      <c r="M8" s="10">
        <v>11.5</v>
      </c>
      <c r="N8" s="10">
        <v>81.2</v>
      </c>
    </row>
    <row r="9" spans="1:14">
      <c r="A9" s="9">
        <v>3</v>
      </c>
      <c r="B9" s="9" t="s">
        <v>42</v>
      </c>
      <c r="C9" s="15">
        <v>5.37</v>
      </c>
      <c r="D9" s="15">
        <v>-0.14000000000000001</v>
      </c>
      <c r="E9" s="15">
        <v>-0.28000000000000003</v>
      </c>
      <c r="F9" s="15">
        <v>4.71</v>
      </c>
      <c r="G9" s="9">
        <v>0</v>
      </c>
      <c r="H9" s="16">
        <v>-0.02</v>
      </c>
      <c r="I9" s="9">
        <v>9.64</v>
      </c>
      <c r="J9" s="10">
        <v>55</v>
      </c>
      <c r="K9" s="10">
        <v>23.9</v>
      </c>
      <c r="L9" s="10">
        <v>33.9</v>
      </c>
      <c r="M9" s="10">
        <v>10.6</v>
      </c>
      <c r="N9" s="10">
        <v>79.5</v>
      </c>
    </row>
    <row r="10" spans="1:14">
      <c r="A10" s="9">
        <v>3</v>
      </c>
      <c r="B10" s="9" t="s">
        <v>43</v>
      </c>
      <c r="C10" s="15">
        <v>5.04</v>
      </c>
      <c r="D10" s="15">
        <v>-0.02</v>
      </c>
      <c r="E10" s="15">
        <v>0.04</v>
      </c>
      <c r="F10" s="15">
        <v>4.71</v>
      </c>
      <c r="G10" s="9">
        <v>-0.03</v>
      </c>
      <c r="H10" s="16">
        <v>0.01</v>
      </c>
      <c r="I10" s="9">
        <v>9.74</v>
      </c>
      <c r="J10" s="10">
        <v>52.8</v>
      </c>
      <c r="K10" s="10">
        <v>20.2</v>
      </c>
      <c r="L10" s="10">
        <v>32.4</v>
      </c>
      <c r="M10" s="10">
        <v>11.4</v>
      </c>
      <c r="N10" s="10">
        <v>76.599999999999994</v>
      </c>
    </row>
    <row r="11" spans="1:14">
      <c r="A11" s="9">
        <v>3</v>
      </c>
      <c r="B11" s="9" t="s">
        <v>44</v>
      </c>
      <c r="C11" s="15">
        <v>5.25</v>
      </c>
      <c r="D11" s="15">
        <v>-0.05</v>
      </c>
      <c r="E11" s="15">
        <v>-0.03</v>
      </c>
      <c r="F11" s="15">
        <v>4.71</v>
      </c>
      <c r="G11" s="9">
        <v>-0.01</v>
      </c>
      <c r="H11" s="16">
        <v>0</v>
      </c>
      <c r="I11" s="9">
        <v>9.8699999999999992</v>
      </c>
      <c r="J11" s="10">
        <v>53.3</v>
      </c>
      <c r="K11" s="10">
        <v>22.7</v>
      </c>
      <c r="L11" s="10">
        <v>33.9</v>
      </c>
      <c r="M11" s="10">
        <v>10</v>
      </c>
      <c r="N11" s="10">
        <v>76.7</v>
      </c>
    </row>
    <row r="12" spans="1:14">
      <c r="A12" s="9">
        <v>3</v>
      </c>
      <c r="B12" s="9" t="s">
        <v>45</v>
      </c>
      <c r="C12" s="15">
        <v>5.13</v>
      </c>
      <c r="D12" s="15">
        <v>-0.02</v>
      </c>
      <c r="E12" s="15">
        <v>-7.0000000000000007E-2</v>
      </c>
      <c r="F12" s="15">
        <v>4.71</v>
      </c>
      <c r="G12" s="9">
        <v>-0.09</v>
      </c>
      <c r="H12" s="16">
        <v>0.01</v>
      </c>
      <c r="I12" s="9">
        <v>9.66</v>
      </c>
      <c r="J12" s="10">
        <v>51.2</v>
      </c>
      <c r="K12" s="10">
        <v>13.5</v>
      </c>
      <c r="L12" s="10">
        <v>33</v>
      </c>
      <c r="M12" s="10">
        <v>10.3</v>
      </c>
      <c r="N12" s="10">
        <v>77.8</v>
      </c>
    </row>
    <row r="13" spans="1:14">
      <c r="A13" s="9">
        <v>3</v>
      </c>
      <c r="B13" s="9" t="s">
        <v>47</v>
      </c>
      <c r="C13" s="15">
        <v>4.91</v>
      </c>
      <c r="D13" s="15">
        <v>-0.01</v>
      </c>
      <c r="E13" s="15">
        <v>0.17</v>
      </c>
      <c r="F13" s="15">
        <v>4.71</v>
      </c>
      <c r="G13" s="9">
        <v>0.01</v>
      </c>
      <c r="H13" s="16">
        <v>0.01</v>
      </c>
      <c r="I13" s="9">
        <v>9.8000000000000007</v>
      </c>
      <c r="J13" s="10">
        <v>47</v>
      </c>
      <c r="K13" s="10">
        <v>8.4</v>
      </c>
      <c r="L13" s="10">
        <v>31.7</v>
      </c>
      <c r="M13" s="10">
        <v>10.5</v>
      </c>
      <c r="N13" s="10">
        <v>77.599999999999994</v>
      </c>
    </row>
    <row r="14" spans="1:14">
      <c r="A14" s="9">
        <v>3</v>
      </c>
      <c r="B14" s="9" t="s">
        <v>49</v>
      </c>
      <c r="C14" s="15">
        <v>5.03</v>
      </c>
      <c r="D14" s="15">
        <v>-0.11</v>
      </c>
      <c r="E14" s="15">
        <v>0.16</v>
      </c>
      <c r="F14" s="15">
        <v>4.71</v>
      </c>
      <c r="G14" s="9">
        <v>0</v>
      </c>
      <c r="H14" s="16">
        <v>0.01</v>
      </c>
      <c r="I14" s="9">
        <v>9.7899999999999991</v>
      </c>
      <c r="J14" s="10">
        <v>43.8</v>
      </c>
      <c r="K14" s="10">
        <v>12.9</v>
      </c>
      <c r="L14" s="10">
        <v>32.4</v>
      </c>
      <c r="M14" s="10">
        <v>10.199999999999999</v>
      </c>
      <c r="N14" s="10">
        <v>78</v>
      </c>
    </row>
    <row r="15" spans="1:14">
      <c r="A15" s="9">
        <v>3</v>
      </c>
      <c r="B15" s="9" t="s">
        <v>51</v>
      </c>
      <c r="C15" s="15">
        <v>4.32</v>
      </c>
      <c r="D15" s="15">
        <v>0.13</v>
      </c>
      <c r="E15" s="15">
        <v>0.69</v>
      </c>
      <c r="F15" s="15">
        <v>4.71</v>
      </c>
      <c r="G15" s="9">
        <v>-0.02</v>
      </c>
      <c r="H15" s="16">
        <v>0.01</v>
      </c>
      <c r="I15" s="9">
        <v>9.84</v>
      </c>
      <c r="J15" s="10">
        <v>50.5</v>
      </c>
      <c r="K15" s="10">
        <v>7.5</v>
      </c>
      <c r="L15" s="10">
        <v>32.9</v>
      </c>
      <c r="M15" s="10">
        <v>9.9</v>
      </c>
      <c r="N15" s="10">
        <v>76.3</v>
      </c>
    </row>
    <row r="16" spans="1:14">
      <c r="A16" s="9">
        <v>3</v>
      </c>
      <c r="B16" s="9" t="s">
        <v>53</v>
      </c>
      <c r="C16" s="15">
        <v>4.8499999999999996</v>
      </c>
      <c r="D16" s="15">
        <v>-0.05</v>
      </c>
      <c r="E16" s="15">
        <v>0.44</v>
      </c>
      <c r="F16" s="15">
        <v>4.71</v>
      </c>
      <c r="G16" s="9">
        <v>0.04</v>
      </c>
      <c r="H16" s="16">
        <v>0.01</v>
      </c>
      <c r="I16" s="9">
        <v>9.99</v>
      </c>
      <c r="J16" s="10">
        <v>46.1</v>
      </c>
      <c r="K16" s="10">
        <v>8.9</v>
      </c>
      <c r="L16" s="10">
        <v>32.1</v>
      </c>
      <c r="M16" s="10">
        <v>10.4</v>
      </c>
      <c r="N16" s="10">
        <v>76.8</v>
      </c>
    </row>
    <row r="17" spans="1:14">
      <c r="A17" s="9">
        <v>3</v>
      </c>
      <c r="B17" s="9" t="s">
        <v>55</v>
      </c>
      <c r="C17" s="15">
        <v>5.28</v>
      </c>
      <c r="D17" s="15">
        <v>-0.14000000000000001</v>
      </c>
      <c r="E17" s="15">
        <v>-0.32</v>
      </c>
      <c r="F17" s="15">
        <v>4.71</v>
      </c>
      <c r="G17" s="9">
        <v>-0.01</v>
      </c>
      <c r="H17" s="16">
        <v>-0.02</v>
      </c>
      <c r="I17" s="9">
        <v>9.5</v>
      </c>
      <c r="J17" s="10">
        <v>66.400000000000006</v>
      </c>
      <c r="K17" s="10">
        <v>17.7</v>
      </c>
      <c r="L17" s="10">
        <v>33.4</v>
      </c>
      <c r="M17" s="10">
        <v>10.6</v>
      </c>
      <c r="N17" s="10">
        <v>79.3</v>
      </c>
    </row>
    <row r="18" spans="1:14">
      <c r="A18" s="9">
        <v>3</v>
      </c>
      <c r="B18" s="9" t="s">
        <v>57</v>
      </c>
      <c r="C18" s="15">
        <v>4.91</v>
      </c>
      <c r="D18" s="15">
        <v>-0.09</v>
      </c>
      <c r="E18" s="15">
        <v>0.13</v>
      </c>
      <c r="F18" s="15">
        <v>4.71</v>
      </c>
      <c r="G18" s="9">
        <v>0</v>
      </c>
      <c r="H18" s="16">
        <v>-0.06</v>
      </c>
      <c r="I18" s="9">
        <v>9.59</v>
      </c>
      <c r="J18" s="10">
        <v>66.3</v>
      </c>
      <c r="K18" s="10">
        <v>29.3</v>
      </c>
      <c r="L18" s="10">
        <v>31.4</v>
      </c>
      <c r="M18" s="10">
        <v>14.4</v>
      </c>
      <c r="N18" s="10">
        <v>78.8</v>
      </c>
    </row>
    <row r="19" spans="1:14">
      <c r="A19" s="9">
        <v>3</v>
      </c>
      <c r="B19" s="9" t="s">
        <v>58</v>
      </c>
      <c r="C19" s="15">
        <v>5.36</v>
      </c>
      <c r="D19" s="15">
        <v>-0.03</v>
      </c>
      <c r="E19" s="15">
        <v>0.02</v>
      </c>
      <c r="F19" s="15">
        <v>4.71</v>
      </c>
      <c r="G19" s="9">
        <v>0.04</v>
      </c>
      <c r="H19" s="16">
        <v>0.01</v>
      </c>
      <c r="I19" s="9">
        <v>10.11</v>
      </c>
      <c r="J19" s="10">
        <v>63.7</v>
      </c>
      <c r="K19" s="10">
        <v>21.1</v>
      </c>
      <c r="L19" s="10">
        <v>31.5</v>
      </c>
      <c r="M19" s="10">
        <v>12.1</v>
      </c>
      <c r="N19" s="10">
        <v>77.8</v>
      </c>
    </row>
    <row r="20" spans="1:14">
      <c r="A20" s="9">
        <v>3</v>
      </c>
      <c r="B20" s="9" t="s">
        <v>60</v>
      </c>
      <c r="C20" s="15">
        <v>5.42</v>
      </c>
      <c r="D20" s="15">
        <v>-0.12</v>
      </c>
      <c r="E20" s="15">
        <v>-0.04</v>
      </c>
      <c r="F20" s="15">
        <v>4.71</v>
      </c>
      <c r="G20" s="9">
        <v>0.06</v>
      </c>
      <c r="H20" s="16">
        <v>-0.04</v>
      </c>
      <c r="I20" s="9">
        <v>9.98</v>
      </c>
      <c r="J20" s="10">
        <v>61.2</v>
      </c>
      <c r="K20" s="10">
        <v>19.600000000000001</v>
      </c>
      <c r="L20" s="10">
        <v>33.700000000000003</v>
      </c>
      <c r="M20" s="10">
        <v>17.3</v>
      </c>
      <c r="N20" s="10">
        <v>77.5</v>
      </c>
    </row>
    <row r="21" spans="1:14">
      <c r="A21" s="9">
        <v>3</v>
      </c>
      <c r="B21" s="9" t="s">
        <v>66</v>
      </c>
      <c r="C21" s="15">
        <v>5.45</v>
      </c>
      <c r="D21" s="15">
        <v>-0.14000000000000001</v>
      </c>
      <c r="E21" s="15">
        <v>-0.17</v>
      </c>
      <c r="F21" s="15">
        <v>4.71</v>
      </c>
      <c r="G21" s="9">
        <v>-7.0000000000000007E-2</v>
      </c>
      <c r="H21" s="16">
        <v>0.01</v>
      </c>
      <c r="I21" s="9">
        <v>9.7899999999999991</v>
      </c>
      <c r="J21" s="10">
        <v>65.099999999999994</v>
      </c>
      <c r="K21" s="10">
        <v>18.899999999999999</v>
      </c>
      <c r="L21" s="10">
        <v>31.7</v>
      </c>
      <c r="M21" s="10">
        <v>9.1999999999999993</v>
      </c>
      <c r="N21" s="10">
        <v>74.8</v>
      </c>
    </row>
    <row r="22" spans="1:14">
      <c r="A22" s="9">
        <v>3</v>
      </c>
      <c r="B22" s="9" t="s">
        <v>67</v>
      </c>
      <c r="C22" s="15">
        <v>5.24</v>
      </c>
      <c r="D22" s="15">
        <v>-7.0000000000000007E-2</v>
      </c>
      <c r="E22" s="15">
        <v>-0.21</v>
      </c>
      <c r="F22" s="15">
        <v>4.71</v>
      </c>
      <c r="G22" s="9">
        <v>0.04</v>
      </c>
      <c r="H22" s="16">
        <v>0.01</v>
      </c>
      <c r="I22" s="9">
        <v>9.7100000000000009</v>
      </c>
      <c r="J22" s="10">
        <v>58.7</v>
      </c>
      <c r="K22" s="10">
        <v>22.5</v>
      </c>
      <c r="L22" s="10">
        <v>33.1</v>
      </c>
      <c r="M22" s="10">
        <v>9.9</v>
      </c>
      <c r="N22" s="10">
        <v>79.099999999999994</v>
      </c>
    </row>
    <row r="23" spans="1:14">
      <c r="A23" s="9">
        <v>3</v>
      </c>
      <c r="B23" s="9" t="s">
        <v>69</v>
      </c>
      <c r="C23" s="15">
        <v>5.19</v>
      </c>
      <c r="D23" s="15">
        <v>0.01</v>
      </c>
      <c r="E23" s="15">
        <v>-0.06</v>
      </c>
      <c r="F23" s="15">
        <v>4.71</v>
      </c>
      <c r="G23" s="9">
        <v>-0.03</v>
      </c>
      <c r="H23" s="16">
        <v>0.01</v>
      </c>
      <c r="I23" s="9">
        <v>9.83</v>
      </c>
      <c r="J23" s="10">
        <v>57</v>
      </c>
      <c r="K23" s="10">
        <v>27.4</v>
      </c>
      <c r="L23" s="10">
        <v>33.6</v>
      </c>
      <c r="M23" s="10">
        <v>9.6</v>
      </c>
      <c r="N23" s="10">
        <v>75.5</v>
      </c>
    </row>
    <row r="24" spans="1:14">
      <c r="A24" s="9">
        <v>3</v>
      </c>
      <c r="B24" s="9" t="s">
        <v>71</v>
      </c>
      <c r="C24" s="15">
        <v>4.9400000000000004</v>
      </c>
      <c r="D24" s="15">
        <v>-0.06</v>
      </c>
      <c r="E24" s="15">
        <v>0.12</v>
      </c>
      <c r="F24" s="15">
        <v>4.71</v>
      </c>
      <c r="G24" s="9">
        <v>0.02</v>
      </c>
      <c r="H24" s="16">
        <v>0.01</v>
      </c>
      <c r="I24" s="9">
        <v>9.7200000000000006</v>
      </c>
      <c r="J24" s="10">
        <v>55.1</v>
      </c>
      <c r="K24" s="10">
        <v>14.7</v>
      </c>
      <c r="L24" s="10">
        <v>33.700000000000003</v>
      </c>
      <c r="M24" s="10">
        <v>10.3</v>
      </c>
      <c r="N24" s="10">
        <v>78.2</v>
      </c>
    </row>
    <row r="25" spans="1:14">
      <c r="A25" s="9">
        <v>3</v>
      </c>
      <c r="B25" s="9" t="s">
        <v>72</v>
      </c>
      <c r="C25" s="15">
        <v>4.68</v>
      </c>
      <c r="D25" s="15">
        <v>0.19</v>
      </c>
      <c r="E25" s="15">
        <v>0.31</v>
      </c>
      <c r="F25" s="15">
        <v>4.71</v>
      </c>
      <c r="G25" s="9">
        <v>0.01</v>
      </c>
      <c r="H25" s="16">
        <v>0.01</v>
      </c>
      <c r="I25" s="9">
        <v>9.91</v>
      </c>
      <c r="J25" s="10">
        <v>50.3</v>
      </c>
      <c r="K25" s="10">
        <v>11.8</v>
      </c>
      <c r="L25" s="10">
        <v>33.299999999999997</v>
      </c>
      <c r="M25" s="10">
        <v>10.199999999999999</v>
      </c>
      <c r="N25" s="10">
        <v>76.2</v>
      </c>
    </row>
    <row r="26" spans="1:14">
      <c r="A26" s="9">
        <v>3</v>
      </c>
      <c r="B26" s="9" t="s">
        <v>74</v>
      </c>
      <c r="C26" s="15">
        <v>5.04</v>
      </c>
      <c r="D26" s="15">
        <v>0.04</v>
      </c>
      <c r="E26" s="15">
        <v>0.04</v>
      </c>
      <c r="F26" s="15">
        <v>4.71</v>
      </c>
      <c r="G26" s="9">
        <v>-0.02</v>
      </c>
      <c r="H26" s="16">
        <v>0.01</v>
      </c>
      <c r="I26" s="9">
        <v>9.81</v>
      </c>
      <c r="J26" s="10">
        <v>58.1</v>
      </c>
      <c r="K26" s="10">
        <v>15.2</v>
      </c>
      <c r="L26" s="10">
        <v>32.799999999999997</v>
      </c>
      <c r="M26" s="10">
        <v>12.7</v>
      </c>
      <c r="N26" s="10">
        <v>76.400000000000006</v>
      </c>
    </row>
    <row r="27" spans="1:14">
      <c r="A27" s="9">
        <v>3</v>
      </c>
      <c r="B27" s="9" t="s">
        <v>75</v>
      </c>
      <c r="C27" s="15">
        <v>5.22</v>
      </c>
      <c r="D27" s="15">
        <v>0.05</v>
      </c>
      <c r="E27" s="15">
        <v>-0.15</v>
      </c>
      <c r="F27" s="15">
        <v>4.71</v>
      </c>
      <c r="G27" s="9">
        <v>-0.02</v>
      </c>
      <c r="H27" s="16">
        <v>-0.05</v>
      </c>
      <c r="I27" s="9">
        <v>9.7799999999999994</v>
      </c>
      <c r="J27" s="10">
        <v>57.8</v>
      </c>
      <c r="K27" s="10">
        <v>23.5</v>
      </c>
      <c r="L27" s="10">
        <v>35.5</v>
      </c>
      <c r="M27" s="10">
        <v>10.7</v>
      </c>
      <c r="N27" s="10">
        <v>78.3</v>
      </c>
    </row>
    <row r="28" spans="1:14">
      <c r="A28" s="9">
        <v>3</v>
      </c>
      <c r="B28" s="9" t="s">
        <v>79</v>
      </c>
      <c r="C28" s="15">
        <v>5.23</v>
      </c>
      <c r="D28" s="15">
        <v>0.06</v>
      </c>
      <c r="E28" s="15">
        <v>0.05</v>
      </c>
      <c r="F28" s="15">
        <v>4.71</v>
      </c>
      <c r="G28" s="9">
        <v>0.01</v>
      </c>
      <c r="H28" s="16">
        <v>0</v>
      </c>
      <c r="I28" s="9">
        <v>10.06</v>
      </c>
      <c r="J28" s="10">
        <v>55.6</v>
      </c>
      <c r="K28" s="10">
        <v>15.6</v>
      </c>
      <c r="L28" s="10">
        <v>34.299999999999997</v>
      </c>
      <c r="M28" s="10">
        <v>10.7</v>
      </c>
      <c r="N28" s="10">
        <v>74</v>
      </c>
    </row>
    <row r="29" spans="1:14">
      <c r="A29" s="9">
        <v>3</v>
      </c>
      <c r="B29" s="9" t="s">
        <v>80</v>
      </c>
      <c r="C29" s="15">
        <v>5.22</v>
      </c>
      <c r="D29" s="15">
        <v>0.17</v>
      </c>
      <c r="E29" s="15">
        <v>0.16</v>
      </c>
      <c r="F29" s="15">
        <v>4.71</v>
      </c>
      <c r="G29" s="9">
        <v>0.02</v>
      </c>
      <c r="H29" s="16">
        <v>0.01</v>
      </c>
      <c r="I29" s="9">
        <v>10.29</v>
      </c>
      <c r="J29" s="10">
        <v>45.2</v>
      </c>
      <c r="K29" s="10">
        <v>12.5</v>
      </c>
      <c r="L29" s="10">
        <v>33.5</v>
      </c>
      <c r="M29" s="10">
        <v>10.9</v>
      </c>
      <c r="N29" s="10">
        <v>74.3</v>
      </c>
    </row>
    <row r="30" spans="1:14">
      <c r="A30" s="9">
        <v>3</v>
      </c>
      <c r="B30" s="9" t="s">
        <v>81</v>
      </c>
      <c r="C30" s="15">
        <v>5.47</v>
      </c>
      <c r="D30" s="15">
        <v>0.03</v>
      </c>
      <c r="E30" s="15">
        <v>-0.01</v>
      </c>
      <c r="F30" s="15">
        <v>4.71</v>
      </c>
      <c r="G30" s="9">
        <v>0.04</v>
      </c>
      <c r="H30" s="16">
        <v>0.01</v>
      </c>
      <c r="I30" s="9">
        <v>10.24</v>
      </c>
      <c r="J30" s="10">
        <v>50.9</v>
      </c>
      <c r="K30" s="10">
        <v>14.3</v>
      </c>
      <c r="L30" s="10">
        <v>33.200000000000003</v>
      </c>
      <c r="M30" s="10">
        <v>10.9</v>
      </c>
      <c r="N30" s="10">
        <v>76.900000000000006</v>
      </c>
    </row>
    <row r="31" spans="1:14">
      <c r="A31" s="9">
        <v>3</v>
      </c>
      <c r="B31" s="9" t="s">
        <v>82</v>
      </c>
      <c r="C31" s="15">
        <v>5.81</v>
      </c>
      <c r="D31" s="15">
        <v>-0.03</v>
      </c>
      <c r="E31" s="15">
        <v>-0.44</v>
      </c>
      <c r="F31" s="15">
        <v>4.71</v>
      </c>
      <c r="G31" s="9">
        <v>-0.03</v>
      </c>
      <c r="H31" s="16">
        <v>-0.01</v>
      </c>
      <c r="I31" s="9">
        <v>10</v>
      </c>
      <c r="J31" s="10">
        <v>49.6</v>
      </c>
      <c r="K31" s="10">
        <v>23.5</v>
      </c>
      <c r="L31" s="10">
        <v>35.4</v>
      </c>
      <c r="M31" s="10">
        <v>10.8</v>
      </c>
      <c r="N31" s="10">
        <v>71.7</v>
      </c>
    </row>
    <row r="32" spans="1:14">
      <c r="A32" s="9">
        <v>3</v>
      </c>
      <c r="B32" s="9" t="s">
        <v>83</v>
      </c>
      <c r="C32" s="15">
        <v>5.96</v>
      </c>
      <c r="D32" s="15">
        <v>-0.01</v>
      </c>
      <c r="E32" s="15">
        <v>-0.52</v>
      </c>
      <c r="F32" s="15">
        <v>4.71</v>
      </c>
      <c r="G32" s="9">
        <v>-0.01</v>
      </c>
      <c r="H32" s="16">
        <v>-0.01</v>
      </c>
      <c r="I32" s="9">
        <v>10.11</v>
      </c>
      <c r="J32" s="10">
        <v>49.4</v>
      </c>
      <c r="K32" s="10">
        <v>19.600000000000001</v>
      </c>
      <c r="L32" s="10">
        <v>34</v>
      </c>
      <c r="M32" s="10">
        <v>12.5</v>
      </c>
      <c r="N32" s="10">
        <v>72.7</v>
      </c>
    </row>
    <row r="33" spans="1:14">
      <c r="A33" s="9">
        <v>3</v>
      </c>
      <c r="B33" s="9" t="s">
        <v>84</v>
      </c>
      <c r="C33" s="15">
        <v>6.14</v>
      </c>
      <c r="D33" s="15">
        <v>-0.16</v>
      </c>
      <c r="E33" s="15">
        <v>-0.72</v>
      </c>
      <c r="F33" s="15">
        <v>4.71</v>
      </c>
      <c r="G33" s="9">
        <v>-0.01</v>
      </c>
      <c r="H33" s="16">
        <v>0.01</v>
      </c>
      <c r="I33" s="9">
        <v>9.9700000000000006</v>
      </c>
      <c r="J33" s="10">
        <v>53.1</v>
      </c>
      <c r="K33" s="10">
        <v>16.100000000000001</v>
      </c>
      <c r="L33" s="10">
        <v>32.799999999999997</v>
      </c>
      <c r="M33" s="10">
        <v>10.4</v>
      </c>
      <c r="N33" s="10">
        <v>79.099999999999994</v>
      </c>
    </row>
    <row r="34" spans="1:14">
      <c r="A34" s="9">
        <v>3</v>
      </c>
      <c r="B34" s="9" t="s">
        <v>85</v>
      </c>
      <c r="C34" s="15">
        <v>6.3</v>
      </c>
      <c r="D34" s="15">
        <v>-0.28999999999999998</v>
      </c>
      <c r="E34" s="15">
        <v>-0.6</v>
      </c>
      <c r="F34" s="15">
        <v>4.71</v>
      </c>
      <c r="G34" s="9">
        <v>-0.02</v>
      </c>
      <c r="H34" s="16">
        <v>-0.06</v>
      </c>
      <c r="I34" s="9">
        <v>10.029999999999999</v>
      </c>
      <c r="J34" s="10">
        <v>65.3</v>
      </c>
      <c r="K34" s="10">
        <v>25.8</v>
      </c>
      <c r="L34" s="10">
        <v>34.200000000000003</v>
      </c>
      <c r="M34" s="10">
        <v>11.2</v>
      </c>
      <c r="N34" s="10">
        <v>80.599999999999994</v>
      </c>
    </row>
    <row r="35" spans="1:14">
      <c r="A35" s="9">
        <v>3</v>
      </c>
      <c r="B35" s="9" t="s">
        <v>86</v>
      </c>
      <c r="C35" s="15">
        <v>5.64</v>
      </c>
      <c r="D35" s="15">
        <v>0.06</v>
      </c>
      <c r="E35" s="15">
        <v>-0.2</v>
      </c>
      <c r="F35" s="15">
        <v>4.71</v>
      </c>
      <c r="G35" s="9">
        <v>-0.02</v>
      </c>
      <c r="H35" s="16">
        <v>-0.01</v>
      </c>
      <c r="I35" s="9">
        <v>10.18</v>
      </c>
      <c r="J35" s="10">
        <v>56.8</v>
      </c>
      <c r="K35" s="10">
        <v>31.6</v>
      </c>
      <c r="L35" s="10">
        <v>32.4</v>
      </c>
      <c r="M35" s="10">
        <v>11.7</v>
      </c>
      <c r="N35" s="10">
        <v>76.2</v>
      </c>
    </row>
    <row r="36" spans="1:14">
      <c r="A36" s="9">
        <v>3</v>
      </c>
      <c r="B36" s="9" t="s">
        <v>88</v>
      </c>
      <c r="C36" s="15">
        <v>5.41</v>
      </c>
      <c r="D36" s="15">
        <v>0.03</v>
      </c>
      <c r="E36" s="15">
        <v>-0.12</v>
      </c>
      <c r="F36" s="15">
        <v>4.71</v>
      </c>
      <c r="G36" s="9">
        <v>0</v>
      </c>
      <c r="H36" s="16">
        <v>0.01</v>
      </c>
      <c r="I36" s="9">
        <v>10.039999999999999</v>
      </c>
      <c r="J36" s="10">
        <v>54.7</v>
      </c>
      <c r="K36" s="10">
        <v>19.7</v>
      </c>
      <c r="L36" s="10">
        <v>32.9</v>
      </c>
      <c r="M36" s="10">
        <v>10.9</v>
      </c>
      <c r="N36" s="10">
        <v>75.7</v>
      </c>
    </row>
    <row r="37" spans="1:14">
      <c r="A37" s="9">
        <v>3</v>
      </c>
      <c r="B37" s="9" t="s">
        <v>89</v>
      </c>
      <c r="C37" s="15">
        <v>5.87</v>
      </c>
      <c r="D37" s="15">
        <v>-0.2</v>
      </c>
      <c r="E37" s="15">
        <v>-0.15</v>
      </c>
      <c r="F37" s="15">
        <v>4.71</v>
      </c>
      <c r="G37" s="9">
        <v>-0.01</v>
      </c>
      <c r="H37" s="16">
        <v>0.01</v>
      </c>
      <c r="I37" s="9">
        <v>10.220000000000001</v>
      </c>
      <c r="J37" s="10">
        <v>51.2</v>
      </c>
      <c r="K37" s="10">
        <v>18.8</v>
      </c>
      <c r="L37" s="10">
        <v>33.1</v>
      </c>
      <c r="M37" s="10">
        <v>10.4</v>
      </c>
      <c r="N37" s="10">
        <v>78.2</v>
      </c>
    </row>
    <row r="38" spans="1:14">
      <c r="A38" s="9">
        <v>3</v>
      </c>
      <c r="B38" s="9" t="s">
        <v>90</v>
      </c>
      <c r="C38" s="15">
        <v>6.14</v>
      </c>
      <c r="D38" s="15">
        <v>-0.11</v>
      </c>
      <c r="E38" s="15">
        <v>-0.43</v>
      </c>
      <c r="F38" s="15">
        <v>4.71</v>
      </c>
      <c r="G38" s="9">
        <v>-0.03</v>
      </c>
      <c r="H38" s="16">
        <v>0.01</v>
      </c>
      <c r="I38" s="9">
        <v>10.29</v>
      </c>
      <c r="J38" s="10">
        <v>54.7</v>
      </c>
      <c r="K38" s="10">
        <v>24.2</v>
      </c>
      <c r="L38" s="10">
        <v>34</v>
      </c>
      <c r="M38" s="10">
        <v>10.4</v>
      </c>
      <c r="N38" s="10">
        <v>68</v>
      </c>
    </row>
    <row r="39" spans="1:14">
      <c r="A39" s="9">
        <v>3</v>
      </c>
      <c r="B39" s="9" t="s">
        <v>91</v>
      </c>
      <c r="C39" s="15">
        <v>6.02</v>
      </c>
      <c r="D39" s="15">
        <v>-7.0000000000000007E-2</v>
      </c>
      <c r="E39" s="15">
        <v>-0.33</v>
      </c>
      <c r="F39" s="15">
        <v>4.71</v>
      </c>
      <c r="G39" s="9">
        <v>-0.05</v>
      </c>
      <c r="H39" s="16">
        <v>0</v>
      </c>
      <c r="I39" s="9">
        <v>10.28</v>
      </c>
      <c r="J39" s="10">
        <v>52.3</v>
      </c>
      <c r="K39" s="10">
        <v>36.1</v>
      </c>
      <c r="L39" s="10">
        <v>32.5</v>
      </c>
      <c r="M39" s="10">
        <v>11.6</v>
      </c>
      <c r="N39" s="10">
        <v>73.8</v>
      </c>
    </row>
    <row r="40" spans="1:14">
      <c r="A40" s="9">
        <v>3</v>
      </c>
      <c r="B40" s="9" t="s">
        <v>92</v>
      </c>
      <c r="C40" s="15">
        <v>5.93</v>
      </c>
      <c r="D40" s="15">
        <v>0.03</v>
      </c>
      <c r="E40" s="15">
        <v>-0.51</v>
      </c>
      <c r="F40" s="15">
        <v>4.71</v>
      </c>
      <c r="G40" s="9">
        <v>0.06</v>
      </c>
      <c r="H40" s="16">
        <v>0.01</v>
      </c>
      <c r="I40" s="9">
        <v>10.220000000000001</v>
      </c>
      <c r="J40" s="10">
        <v>58.3</v>
      </c>
      <c r="K40" s="10">
        <v>22.1</v>
      </c>
      <c r="L40" s="10">
        <v>32.200000000000003</v>
      </c>
      <c r="M40" s="10">
        <v>10.6</v>
      </c>
      <c r="N40" s="10">
        <v>74.099999999999994</v>
      </c>
    </row>
    <row r="41" spans="1:14">
      <c r="A41" s="9">
        <v>3</v>
      </c>
      <c r="B41" s="9" t="s">
        <v>93</v>
      </c>
      <c r="C41" s="15">
        <v>6.1</v>
      </c>
      <c r="D41" s="15">
        <v>-0.14000000000000001</v>
      </c>
      <c r="E41" s="15">
        <v>-0.46</v>
      </c>
      <c r="F41" s="15">
        <v>4.71</v>
      </c>
      <c r="G41" s="9">
        <v>-0.04</v>
      </c>
      <c r="H41" s="16">
        <v>0.01</v>
      </c>
      <c r="I41" s="9">
        <v>10.17</v>
      </c>
      <c r="J41" s="10">
        <v>61.2</v>
      </c>
      <c r="K41" s="10">
        <v>17.7</v>
      </c>
      <c r="L41" s="10">
        <v>30.6</v>
      </c>
      <c r="M41" s="10">
        <v>9.4</v>
      </c>
      <c r="N41" s="10">
        <v>71.7</v>
      </c>
    </row>
    <row r="42" spans="1:14">
      <c r="A42" s="9">
        <v>3</v>
      </c>
      <c r="B42" s="9" t="s">
        <v>94</v>
      </c>
      <c r="C42" s="15">
        <v>5.84</v>
      </c>
      <c r="D42" s="15">
        <v>0.02</v>
      </c>
      <c r="E42" s="15">
        <v>-0.3</v>
      </c>
      <c r="F42" s="15">
        <v>4.71</v>
      </c>
      <c r="G42" s="9">
        <v>-0.04</v>
      </c>
      <c r="H42" s="16">
        <v>-0.01</v>
      </c>
      <c r="I42" s="9">
        <v>10.220000000000001</v>
      </c>
      <c r="J42" s="10">
        <v>51.5</v>
      </c>
      <c r="K42" s="10">
        <v>17.3</v>
      </c>
      <c r="L42" s="10">
        <v>33</v>
      </c>
      <c r="M42" s="10">
        <v>13.5</v>
      </c>
      <c r="N42" s="10">
        <v>78.599999999999994</v>
      </c>
    </row>
    <row r="43" spans="1:14">
      <c r="A43" s="9">
        <v>3</v>
      </c>
      <c r="B43" s="9" t="s">
        <v>95</v>
      </c>
      <c r="C43" s="15">
        <v>7.05</v>
      </c>
      <c r="D43" s="15">
        <v>-0.19</v>
      </c>
      <c r="E43" s="15">
        <v>-0.79</v>
      </c>
      <c r="F43" s="15">
        <v>4.71</v>
      </c>
      <c r="G43" s="9">
        <v>-7.0000000000000007E-2</v>
      </c>
      <c r="H43" s="16">
        <v>-0.03</v>
      </c>
      <c r="I43" s="9">
        <v>10.68</v>
      </c>
      <c r="J43" s="10">
        <v>53.4</v>
      </c>
      <c r="K43" s="10">
        <v>19.899999999999999</v>
      </c>
      <c r="L43" s="10">
        <v>35.299999999999997</v>
      </c>
      <c r="M43" s="10">
        <v>13.2</v>
      </c>
      <c r="N43" s="10">
        <v>80.400000000000006</v>
      </c>
    </row>
    <row r="44" spans="1:14">
      <c r="A44" s="9">
        <v>3</v>
      </c>
      <c r="B44" s="9" t="s">
        <v>96</v>
      </c>
      <c r="C44" s="15">
        <v>6.58</v>
      </c>
      <c r="D44" s="15">
        <v>-0.2</v>
      </c>
      <c r="E44" s="15">
        <v>-0.79</v>
      </c>
      <c r="F44" s="15">
        <v>4.71</v>
      </c>
      <c r="G44" s="9">
        <v>-0.01</v>
      </c>
      <c r="H44" s="16">
        <v>-0.02</v>
      </c>
      <c r="I44" s="9">
        <v>10.26</v>
      </c>
      <c r="J44" s="10">
        <v>55.3</v>
      </c>
      <c r="K44" s="10">
        <v>22.5</v>
      </c>
      <c r="L44" s="10">
        <v>33.299999999999997</v>
      </c>
      <c r="M44" s="10">
        <v>10.7</v>
      </c>
      <c r="N44" s="10">
        <v>79.7</v>
      </c>
    </row>
    <row r="45" spans="1:14">
      <c r="A45" s="9">
        <v>3</v>
      </c>
      <c r="B45" s="9" t="s">
        <v>97</v>
      </c>
      <c r="C45" s="15">
        <v>6.33</v>
      </c>
      <c r="D45" s="15">
        <v>-7.0000000000000007E-2</v>
      </c>
      <c r="E45" s="15">
        <v>-0.66</v>
      </c>
      <c r="F45" s="15">
        <v>4.71</v>
      </c>
      <c r="G45" s="9">
        <v>0.03</v>
      </c>
      <c r="H45" s="16">
        <v>-0.03</v>
      </c>
      <c r="I45" s="9">
        <v>10.29</v>
      </c>
      <c r="J45" s="10">
        <v>58.5</v>
      </c>
      <c r="K45" s="10">
        <v>30.1</v>
      </c>
      <c r="L45" s="10">
        <v>33.200000000000003</v>
      </c>
      <c r="M45" s="10">
        <v>11.1</v>
      </c>
      <c r="N45" s="10">
        <v>79.599999999999994</v>
      </c>
    </row>
    <row r="46" spans="1:14">
      <c r="A46" s="9">
        <v>3</v>
      </c>
      <c r="B46" s="9" t="s">
        <v>98</v>
      </c>
      <c r="C46" s="15">
        <v>6.41</v>
      </c>
      <c r="D46" s="15">
        <v>-0.19</v>
      </c>
      <c r="E46" s="15">
        <v>-0.64</v>
      </c>
      <c r="F46" s="15">
        <v>4.71</v>
      </c>
      <c r="G46" s="9">
        <v>0.02</v>
      </c>
      <c r="H46" s="16">
        <v>-0.01</v>
      </c>
      <c r="I46" s="9">
        <v>10.3</v>
      </c>
      <c r="J46" s="10">
        <v>63.8</v>
      </c>
      <c r="K46" s="10">
        <v>26.5</v>
      </c>
      <c r="L46" s="10">
        <v>33.700000000000003</v>
      </c>
      <c r="M46" s="10">
        <v>8.5</v>
      </c>
      <c r="N46" s="10">
        <v>76.900000000000006</v>
      </c>
    </row>
    <row r="47" spans="1:14">
      <c r="A47" s="9">
        <v>3</v>
      </c>
      <c r="B47" s="9" t="s">
        <v>99</v>
      </c>
      <c r="C47" s="15">
        <v>6.14</v>
      </c>
      <c r="D47" s="15">
        <v>-0.08</v>
      </c>
      <c r="E47" s="15">
        <v>-0.85</v>
      </c>
      <c r="F47" s="15">
        <v>4.71</v>
      </c>
      <c r="G47" s="9">
        <v>-7.0000000000000007E-2</v>
      </c>
      <c r="H47" s="16">
        <v>-0.02</v>
      </c>
      <c r="I47" s="9">
        <v>9.83</v>
      </c>
      <c r="J47" s="10">
        <v>51.9</v>
      </c>
      <c r="K47" s="10">
        <v>21.7</v>
      </c>
      <c r="L47" s="10">
        <v>34.200000000000003</v>
      </c>
      <c r="M47" s="10">
        <v>11.3</v>
      </c>
      <c r="N47" s="10">
        <v>80.5</v>
      </c>
    </row>
    <row r="48" spans="1:14">
      <c r="A48" s="9">
        <v>3</v>
      </c>
      <c r="B48" s="9" t="s">
        <v>100</v>
      </c>
      <c r="C48" s="15">
        <v>6.53</v>
      </c>
      <c r="D48" s="15">
        <v>-0.05</v>
      </c>
      <c r="E48" s="15">
        <v>-0.91</v>
      </c>
      <c r="F48" s="15">
        <v>4.71</v>
      </c>
      <c r="G48" s="9">
        <v>7.0000000000000007E-2</v>
      </c>
      <c r="H48" s="16">
        <v>0.01</v>
      </c>
      <c r="I48" s="9">
        <v>10.36</v>
      </c>
      <c r="J48" s="10">
        <v>50.5</v>
      </c>
      <c r="K48" s="10">
        <v>16.899999999999999</v>
      </c>
      <c r="L48" s="10">
        <v>33.1</v>
      </c>
      <c r="M48" s="10">
        <v>10.5</v>
      </c>
      <c r="N48" s="10">
        <v>83</v>
      </c>
    </row>
    <row r="49" spans="1:14">
      <c r="A49" s="9">
        <v>3</v>
      </c>
      <c r="B49" s="9" t="s">
        <v>101</v>
      </c>
      <c r="C49" s="15">
        <v>6.56</v>
      </c>
      <c r="D49" s="15">
        <v>0.28000000000000003</v>
      </c>
      <c r="E49" s="15">
        <v>-1.58</v>
      </c>
      <c r="F49" s="15">
        <v>4.71</v>
      </c>
      <c r="G49" s="9">
        <v>0.01</v>
      </c>
      <c r="H49" s="16">
        <v>-0.03</v>
      </c>
      <c r="I49" s="9">
        <v>9.9499999999999993</v>
      </c>
      <c r="J49" s="10">
        <v>55.8</v>
      </c>
      <c r="K49" s="10">
        <v>30.8</v>
      </c>
      <c r="L49" s="10">
        <v>33.200000000000003</v>
      </c>
      <c r="M49" s="10">
        <v>10.3</v>
      </c>
      <c r="N49" s="10">
        <v>87.6</v>
      </c>
    </row>
    <row r="50" spans="1:14">
      <c r="A50" s="9">
        <v>4</v>
      </c>
      <c r="B50" s="9" t="s">
        <v>33</v>
      </c>
      <c r="C50" s="9">
        <v>6.26</v>
      </c>
      <c r="D50" s="9">
        <v>-0.31</v>
      </c>
      <c r="E50" s="9">
        <v>-0.26</v>
      </c>
      <c r="F50" s="9">
        <v>4.71</v>
      </c>
      <c r="G50" s="9">
        <v>-0.03</v>
      </c>
      <c r="H50" s="9">
        <v>7.0000000000000001E-3</v>
      </c>
      <c r="I50" s="9">
        <v>10.39</v>
      </c>
      <c r="J50" s="9">
        <v>45</v>
      </c>
      <c r="K50" s="9">
        <v>9.8000000000000007</v>
      </c>
      <c r="L50" s="9">
        <v>31.7</v>
      </c>
      <c r="M50" s="9">
        <v>9.1999999999999993</v>
      </c>
      <c r="N50" s="9">
        <v>81.5</v>
      </c>
    </row>
    <row r="51" spans="1:14">
      <c r="A51" s="14">
        <v>4</v>
      </c>
      <c r="B51" s="9" t="s">
        <v>36</v>
      </c>
      <c r="C51" s="9">
        <v>6.37</v>
      </c>
      <c r="D51" s="9">
        <v>-0.3</v>
      </c>
      <c r="E51" s="9">
        <v>-0.81</v>
      </c>
      <c r="F51" s="9">
        <v>4.71</v>
      </c>
      <c r="G51" s="9">
        <v>0.04</v>
      </c>
      <c r="H51" s="9">
        <v>3.0000000000000001E-3</v>
      </c>
      <c r="I51" s="9">
        <v>10.029999999999999</v>
      </c>
      <c r="J51" s="9">
        <v>55.8</v>
      </c>
      <c r="K51" s="9">
        <v>17.600000000000001</v>
      </c>
      <c r="L51" s="9">
        <v>31.4</v>
      </c>
      <c r="M51" s="9">
        <v>9.1999999999999993</v>
      </c>
      <c r="N51" s="9">
        <v>82.1</v>
      </c>
    </row>
    <row r="52" spans="1:14">
      <c r="A52" s="9">
        <v>4</v>
      </c>
      <c r="B52" s="9" t="s">
        <v>37</v>
      </c>
      <c r="C52" s="9">
        <v>6.01</v>
      </c>
      <c r="D52" s="9">
        <v>-0.32</v>
      </c>
      <c r="E52" s="9">
        <v>-0.56999999999999995</v>
      </c>
      <c r="F52" s="9">
        <v>4.71</v>
      </c>
      <c r="G52" s="9">
        <v>0.06</v>
      </c>
      <c r="H52" s="9">
        <v>7.0000000000000001E-3</v>
      </c>
      <c r="I52" s="9">
        <v>9.91</v>
      </c>
      <c r="J52" s="9">
        <v>55.7</v>
      </c>
      <c r="K52" s="9">
        <v>14.5</v>
      </c>
      <c r="L52" s="9">
        <v>31.4</v>
      </c>
      <c r="M52" s="9">
        <v>9</v>
      </c>
      <c r="N52" s="9">
        <v>85</v>
      </c>
    </row>
    <row r="53" spans="1:14">
      <c r="A53" s="14">
        <v>4</v>
      </c>
      <c r="B53" s="9" t="s">
        <v>39</v>
      </c>
      <c r="C53" s="9">
        <v>5.91</v>
      </c>
      <c r="D53" s="9">
        <v>-0.17</v>
      </c>
      <c r="E53" s="9">
        <v>-0.32</v>
      </c>
      <c r="F53" s="9">
        <v>4.71</v>
      </c>
      <c r="G53" s="9">
        <v>7.0000000000000007E-2</v>
      </c>
      <c r="H53" s="9">
        <v>-1.7000000000000001E-2</v>
      </c>
      <c r="I53" s="9">
        <v>10.18</v>
      </c>
      <c r="J53" s="9">
        <v>58.5</v>
      </c>
      <c r="K53" s="9">
        <v>22.9</v>
      </c>
      <c r="L53" s="9">
        <v>31.6</v>
      </c>
      <c r="M53" s="9">
        <v>11.6</v>
      </c>
      <c r="N53" s="9">
        <v>83.1</v>
      </c>
    </row>
    <row r="54" spans="1:14">
      <c r="A54" s="9">
        <v>4</v>
      </c>
      <c r="B54" s="9" t="s">
        <v>40</v>
      </c>
      <c r="C54" s="9">
        <v>6.99</v>
      </c>
      <c r="D54" s="9">
        <v>-0.63</v>
      </c>
      <c r="E54" s="9">
        <v>-0.8</v>
      </c>
      <c r="F54" s="9">
        <v>4.71</v>
      </c>
      <c r="G54" s="9">
        <v>0.02</v>
      </c>
      <c r="H54" s="9">
        <v>-2.8000000000000001E-2</v>
      </c>
      <c r="I54" s="9">
        <v>10.27</v>
      </c>
      <c r="J54" s="9">
        <v>55.9</v>
      </c>
      <c r="K54" s="9">
        <v>24.4</v>
      </c>
      <c r="L54" s="9">
        <v>33.200000000000003</v>
      </c>
      <c r="M54" s="9">
        <v>9</v>
      </c>
      <c r="N54" s="9">
        <v>81.7</v>
      </c>
    </row>
    <row r="55" spans="1:14">
      <c r="A55" s="14">
        <v>4</v>
      </c>
      <c r="B55" s="9" t="s">
        <v>41</v>
      </c>
      <c r="C55" s="9">
        <v>6.1</v>
      </c>
      <c r="D55" s="9">
        <v>-0.27</v>
      </c>
      <c r="E55" s="9">
        <v>-0.5</v>
      </c>
      <c r="F55" s="9">
        <v>4.71</v>
      </c>
      <c r="G55" s="9">
        <v>0</v>
      </c>
      <c r="H55" s="9">
        <v>-4.2999999999999997E-2</v>
      </c>
      <c r="I55" s="9">
        <v>9.99</v>
      </c>
      <c r="J55" s="9">
        <v>73</v>
      </c>
      <c r="K55" s="9">
        <v>22.7</v>
      </c>
      <c r="L55" s="9">
        <v>33.299999999999997</v>
      </c>
      <c r="M55" s="9">
        <v>10.8</v>
      </c>
      <c r="N55" s="9">
        <v>83.3</v>
      </c>
    </row>
    <row r="56" spans="1:14">
      <c r="A56" s="9">
        <v>4</v>
      </c>
      <c r="B56" s="9" t="s">
        <v>42</v>
      </c>
      <c r="C56" s="9">
        <v>5.37</v>
      </c>
      <c r="D56" s="9">
        <v>-0.16</v>
      </c>
      <c r="E56" s="9">
        <v>-0.27</v>
      </c>
      <c r="F56" s="9">
        <v>4.71</v>
      </c>
      <c r="G56" s="9">
        <v>0.03</v>
      </c>
      <c r="H56" s="9">
        <v>-2.3E-2</v>
      </c>
      <c r="I56" s="9">
        <v>9.65</v>
      </c>
      <c r="J56" s="9">
        <v>53.1</v>
      </c>
      <c r="K56" s="9">
        <v>24.9</v>
      </c>
      <c r="L56" s="9">
        <v>33.5</v>
      </c>
      <c r="M56" s="9">
        <v>10.3</v>
      </c>
      <c r="N56" s="9">
        <v>81.8</v>
      </c>
    </row>
    <row r="57" spans="1:14">
      <c r="A57" s="14">
        <v>4</v>
      </c>
      <c r="B57" s="9" t="s">
        <v>43</v>
      </c>
      <c r="C57" s="9">
        <v>5.05</v>
      </c>
      <c r="D57" s="9">
        <v>-0.04</v>
      </c>
      <c r="E57" s="9">
        <v>0.04</v>
      </c>
      <c r="F57" s="9">
        <v>4.71</v>
      </c>
      <c r="G57" s="9">
        <v>-0.01</v>
      </c>
      <c r="H57" s="9">
        <v>7.0000000000000001E-3</v>
      </c>
      <c r="I57" s="9">
        <v>9.77</v>
      </c>
      <c r="J57" s="9">
        <v>52.3</v>
      </c>
      <c r="K57" s="9">
        <v>13.9</v>
      </c>
      <c r="L57" s="9">
        <v>31.7</v>
      </c>
      <c r="M57" s="9">
        <v>12</v>
      </c>
      <c r="N57" s="9">
        <v>78.8</v>
      </c>
    </row>
    <row r="58" spans="1:14">
      <c r="A58" s="9">
        <v>4</v>
      </c>
      <c r="B58" s="9" t="s">
        <v>44</v>
      </c>
      <c r="C58" s="9">
        <v>5.29</v>
      </c>
      <c r="D58" s="9">
        <v>-0.06</v>
      </c>
      <c r="E58" s="9">
        <v>-0.05</v>
      </c>
      <c r="F58" s="9">
        <v>4.71</v>
      </c>
      <c r="G58" s="9">
        <v>0.04</v>
      </c>
      <c r="H58" s="9">
        <v>-2.5000000000000001E-2</v>
      </c>
      <c r="I58" s="9">
        <v>9.9</v>
      </c>
      <c r="J58" s="9">
        <v>53.4</v>
      </c>
      <c r="K58" s="9">
        <v>23.5</v>
      </c>
      <c r="L58" s="9">
        <v>32.4</v>
      </c>
      <c r="M58" s="9">
        <v>10.5</v>
      </c>
      <c r="N58" s="9">
        <v>79.5</v>
      </c>
    </row>
    <row r="59" spans="1:14">
      <c r="A59" s="14">
        <v>4</v>
      </c>
      <c r="B59" s="9" t="s">
        <v>45</v>
      </c>
      <c r="C59" s="9">
        <v>5.15</v>
      </c>
      <c r="D59" s="9">
        <v>-0.02</v>
      </c>
      <c r="E59" s="9">
        <v>-0.08</v>
      </c>
      <c r="F59" s="9">
        <v>4.71</v>
      </c>
      <c r="G59" s="9">
        <v>-0.04</v>
      </c>
      <c r="H59" s="9">
        <v>7.0000000000000001E-3</v>
      </c>
      <c r="I59" s="9">
        <v>9.73</v>
      </c>
      <c r="J59" s="9">
        <v>51.2</v>
      </c>
      <c r="K59" s="9">
        <v>10.6</v>
      </c>
      <c r="L59" s="9">
        <v>31.7</v>
      </c>
      <c r="M59" s="9">
        <v>9.3000000000000007</v>
      </c>
      <c r="N59" s="9">
        <v>80.3</v>
      </c>
    </row>
    <row r="60" spans="1:14">
      <c r="A60" s="9">
        <v>4</v>
      </c>
      <c r="B60" s="9" t="s">
        <v>47</v>
      </c>
      <c r="C60" s="9">
        <v>4.91</v>
      </c>
      <c r="D60" s="9">
        <v>-0.02</v>
      </c>
      <c r="E60" s="9">
        <v>0.14000000000000001</v>
      </c>
      <c r="F60" s="9">
        <v>4.71</v>
      </c>
      <c r="G60" s="9">
        <v>-0.04</v>
      </c>
      <c r="H60" s="9">
        <v>7.0000000000000001E-3</v>
      </c>
      <c r="I60" s="9">
        <v>9.7100000000000009</v>
      </c>
      <c r="J60" s="9">
        <v>43</v>
      </c>
      <c r="K60" s="9">
        <v>6.6</v>
      </c>
      <c r="L60" s="9">
        <v>31.8</v>
      </c>
      <c r="M60" s="9">
        <v>8.6999999999999993</v>
      </c>
      <c r="N60" s="9">
        <v>79.8</v>
      </c>
    </row>
    <row r="61" spans="1:14">
      <c r="A61" s="14">
        <v>4</v>
      </c>
      <c r="B61" s="9" t="s">
        <v>49</v>
      </c>
      <c r="C61" s="9">
        <v>5.0199999999999996</v>
      </c>
      <c r="D61" s="9">
        <v>-0.11</v>
      </c>
      <c r="E61" s="9">
        <v>0.14000000000000001</v>
      </c>
      <c r="F61" s="9">
        <v>4.71</v>
      </c>
      <c r="G61" s="9">
        <v>-0.01</v>
      </c>
      <c r="H61" s="9">
        <v>7.0000000000000001E-3</v>
      </c>
      <c r="I61" s="9">
        <v>9.76</v>
      </c>
      <c r="J61" s="9">
        <v>40</v>
      </c>
      <c r="K61" s="9">
        <v>12.6</v>
      </c>
      <c r="L61" s="9">
        <v>31.4</v>
      </c>
      <c r="M61" s="9">
        <v>9.6999999999999993</v>
      </c>
      <c r="N61" s="9">
        <v>80.099999999999994</v>
      </c>
    </row>
    <row r="62" spans="1:14">
      <c r="A62" s="9">
        <v>4</v>
      </c>
      <c r="B62" s="9" t="s">
        <v>51</v>
      </c>
      <c r="C62" s="9">
        <v>4.3099999999999996</v>
      </c>
      <c r="D62" s="9">
        <v>0.13</v>
      </c>
      <c r="E62" s="9">
        <v>0.67</v>
      </c>
      <c r="F62" s="9">
        <v>4.71</v>
      </c>
      <c r="G62" s="9">
        <v>-0.02</v>
      </c>
      <c r="H62" s="9">
        <v>7.0000000000000001E-3</v>
      </c>
      <c r="I62" s="9">
        <v>9.81</v>
      </c>
      <c r="J62" s="9">
        <v>47.2</v>
      </c>
      <c r="K62" s="9">
        <v>7.7</v>
      </c>
      <c r="L62" s="9">
        <v>32.4</v>
      </c>
      <c r="M62" s="9">
        <v>9.1999999999999993</v>
      </c>
      <c r="N62" s="9">
        <v>78.400000000000006</v>
      </c>
    </row>
    <row r="63" spans="1:14">
      <c r="A63" s="14">
        <v>4</v>
      </c>
      <c r="B63" s="9" t="s">
        <v>53</v>
      </c>
      <c r="C63" s="9">
        <v>4.82</v>
      </c>
      <c r="D63" s="9">
        <v>-0.06</v>
      </c>
      <c r="E63" s="9">
        <v>0.41</v>
      </c>
      <c r="F63" s="9">
        <v>4.71</v>
      </c>
      <c r="G63" s="9">
        <v>-0.04</v>
      </c>
      <c r="H63" s="9">
        <v>7.0000000000000001E-3</v>
      </c>
      <c r="I63" s="9">
        <v>9.85</v>
      </c>
      <c r="J63" s="9">
        <v>41.7</v>
      </c>
      <c r="K63" s="9">
        <v>8.9</v>
      </c>
      <c r="L63" s="9">
        <v>31.7</v>
      </c>
      <c r="M63" s="9">
        <v>10.199999999999999</v>
      </c>
      <c r="N63" s="9">
        <v>79</v>
      </c>
    </row>
    <row r="64" spans="1:14">
      <c r="A64" s="9">
        <v>4</v>
      </c>
      <c r="B64" s="9" t="s">
        <v>55</v>
      </c>
      <c r="C64" s="9">
        <v>5.28</v>
      </c>
      <c r="D64" s="9">
        <v>-0.14000000000000001</v>
      </c>
      <c r="E64" s="9">
        <v>-0.31</v>
      </c>
      <c r="F64" s="9">
        <v>4.71</v>
      </c>
      <c r="G64" s="9">
        <v>0</v>
      </c>
      <c r="H64" s="9">
        <v>-3.2000000000000001E-2</v>
      </c>
      <c r="I64" s="9">
        <v>9.51</v>
      </c>
      <c r="J64" s="9">
        <v>65.2</v>
      </c>
      <c r="K64" s="9">
        <v>17.5</v>
      </c>
      <c r="L64" s="9">
        <v>33.1</v>
      </c>
      <c r="M64" s="9">
        <v>11.1</v>
      </c>
      <c r="N64" s="9">
        <v>81.5</v>
      </c>
    </row>
    <row r="65" spans="1:14">
      <c r="A65" s="14">
        <v>4</v>
      </c>
      <c r="B65" s="9" t="s">
        <v>57</v>
      </c>
      <c r="C65" s="9">
        <v>4.88</v>
      </c>
      <c r="D65" s="9">
        <v>-0.09</v>
      </c>
      <c r="E65" s="9">
        <v>0.13</v>
      </c>
      <c r="F65" s="9">
        <v>4.71</v>
      </c>
      <c r="G65" s="9">
        <v>0.02</v>
      </c>
      <c r="H65" s="9">
        <v>-5.0999999999999997E-2</v>
      </c>
      <c r="I65" s="9">
        <v>9.61</v>
      </c>
      <c r="J65" s="9">
        <v>67.2</v>
      </c>
      <c r="K65" s="9">
        <v>27.6</v>
      </c>
      <c r="L65" s="9">
        <v>31.6</v>
      </c>
      <c r="M65" s="9">
        <v>15.9</v>
      </c>
      <c r="N65" s="9">
        <v>80.8</v>
      </c>
    </row>
    <row r="66" spans="1:14">
      <c r="A66" s="9">
        <v>4</v>
      </c>
      <c r="B66" s="9" t="s">
        <v>58</v>
      </c>
      <c r="C66" s="9">
        <v>5.27</v>
      </c>
      <c r="D66" s="9">
        <v>-0.03</v>
      </c>
      <c r="E66" s="9">
        <v>0</v>
      </c>
      <c r="F66" s="9">
        <v>4.71</v>
      </c>
      <c r="G66" s="9">
        <v>-0.06</v>
      </c>
      <c r="H66" s="9">
        <v>7.0000000000000001E-3</v>
      </c>
      <c r="I66" s="9">
        <v>9.89</v>
      </c>
      <c r="J66" s="9">
        <v>61.1</v>
      </c>
      <c r="K66" s="9">
        <v>15.4</v>
      </c>
      <c r="L66" s="9">
        <v>31</v>
      </c>
      <c r="M66" s="9">
        <v>13.1</v>
      </c>
      <c r="N66" s="9">
        <v>79.5</v>
      </c>
    </row>
    <row r="67" spans="1:14">
      <c r="A67" s="14">
        <v>4</v>
      </c>
      <c r="B67" s="9" t="s">
        <v>60</v>
      </c>
      <c r="C67" s="9">
        <v>5.4</v>
      </c>
      <c r="D67" s="9">
        <v>-0.12</v>
      </c>
      <c r="E67" s="9">
        <v>-0.03</v>
      </c>
      <c r="F67" s="9">
        <v>4.71</v>
      </c>
      <c r="G67" s="9">
        <v>0</v>
      </c>
      <c r="H67" s="9">
        <v>7.0000000000000001E-3</v>
      </c>
      <c r="I67" s="9">
        <v>9.9600000000000009</v>
      </c>
      <c r="J67" s="9">
        <v>58.3</v>
      </c>
      <c r="K67" s="9">
        <v>17</v>
      </c>
      <c r="L67" s="9">
        <v>32.700000000000003</v>
      </c>
      <c r="M67" s="9">
        <v>13.9</v>
      </c>
      <c r="N67" s="9">
        <v>79.099999999999994</v>
      </c>
    </row>
    <row r="68" spans="1:14">
      <c r="A68" s="9">
        <v>4</v>
      </c>
      <c r="B68" s="9" t="s">
        <v>66</v>
      </c>
      <c r="C68" s="9">
        <v>5.37</v>
      </c>
      <c r="D68" s="9">
        <v>-0.14000000000000001</v>
      </c>
      <c r="E68" s="9">
        <v>-0.18</v>
      </c>
      <c r="F68" s="9">
        <v>4.71</v>
      </c>
      <c r="G68" s="9">
        <v>-0.09</v>
      </c>
      <c r="H68" s="9">
        <v>-2.1000000000000001E-2</v>
      </c>
      <c r="I68" s="9">
        <v>9.66</v>
      </c>
      <c r="J68" s="9">
        <v>62.9</v>
      </c>
      <c r="K68" s="9">
        <v>16.2</v>
      </c>
      <c r="L68" s="9">
        <v>31.6</v>
      </c>
      <c r="M68" s="9">
        <v>10.6</v>
      </c>
      <c r="N68" s="9">
        <v>78.900000000000006</v>
      </c>
    </row>
    <row r="69" spans="1:14">
      <c r="A69" s="14">
        <v>4</v>
      </c>
      <c r="B69" s="9" t="s">
        <v>67</v>
      </c>
      <c r="C69" s="9">
        <v>5.26</v>
      </c>
      <c r="D69" s="9">
        <v>-0.08</v>
      </c>
      <c r="E69" s="9">
        <v>-0.24</v>
      </c>
      <c r="F69" s="9">
        <v>4.71</v>
      </c>
      <c r="G69" s="9">
        <v>0.03</v>
      </c>
      <c r="H69" s="9">
        <v>-1.0999999999999999E-2</v>
      </c>
      <c r="I69" s="9">
        <v>9.67</v>
      </c>
      <c r="J69" s="9">
        <v>58.8</v>
      </c>
      <c r="K69" s="9">
        <v>18.7</v>
      </c>
      <c r="L69" s="9">
        <v>32.299999999999997</v>
      </c>
      <c r="M69" s="9">
        <v>9.9</v>
      </c>
      <c r="N69" s="9">
        <v>81.2</v>
      </c>
    </row>
    <row r="70" spans="1:14">
      <c r="A70" s="9">
        <v>4</v>
      </c>
      <c r="B70" s="9" t="s">
        <v>69</v>
      </c>
      <c r="C70" s="9">
        <v>5.21</v>
      </c>
      <c r="D70" s="9">
        <v>0.01</v>
      </c>
      <c r="E70" s="9">
        <v>-0.08</v>
      </c>
      <c r="F70" s="9">
        <v>4.71</v>
      </c>
      <c r="G70" s="9">
        <v>-0.04</v>
      </c>
      <c r="H70" s="9">
        <v>-3.0000000000000001E-3</v>
      </c>
      <c r="I70" s="9">
        <v>9.82</v>
      </c>
      <c r="J70" s="9">
        <v>56.6</v>
      </c>
      <c r="K70" s="9">
        <v>21.8</v>
      </c>
      <c r="L70" s="9">
        <v>33.200000000000003</v>
      </c>
      <c r="M70" s="9">
        <v>8.9</v>
      </c>
      <c r="N70" s="9">
        <v>77.900000000000006</v>
      </c>
    </row>
    <row r="71" spans="1:14">
      <c r="A71" s="14">
        <v>4</v>
      </c>
      <c r="B71" s="9" t="s">
        <v>71</v>
      </c>
      <c r="C71" s="9">
        <v>4.96</v>
      </c>
      <c r="D71" s="9">
        <v>-0.05</v>
      </c>
      <c r="E71" s="9">
        <v>0.1</v>
      </c>
      <c r="F71" s="9">
        <v>4.71</v>
      </c>
      <c r="G71" s="9">
        <v>0.03</v>
      </c>
      <c r="H71" s="9">
        <v>-0.02</v>
      </c>
      <c r="I71" s="9">
        <v>9.75</v>
      </c>
      <c r="J71" s="9">
        <v>54.6</v>
      </c>
      <c r="K71" s="9">
        <v>15.6</v>
      </c>
      <c r="L71" s="9">
        <v>33.5</v>
      </c>
      <c r="M71" s="9">
        <v>10.5</v>
      </c>
      <c r="N71" s="9">
        <v>80.400000000000006</v>
      </c>
    </row>
    <row r="72" spans="1:14">
      <c r="A72" s="9">
        <v>4</v>
      </c>
      <c r="B72" s="9" t="s">
        <v>72</v>
      </c>
      <c r="C72" s="9">
        <v>4.71</v>
      </c>
      <c r="D72" s="9">
        <v>0.2</v>
      </c>
      <c r="E72" s="9">
        <v>0.27</v>
      </c>
      <c r="F72" s="9">
        <v>4.71</v>
      </c>
      <c r="G72" s="9">
        <v>0.02</v>
      </c>
      <c r="H72" s="9">
        <v>7.0000000000000001E-3</v>
      </c>
      <c r="I72" s="9">
        <v>9.93</v>
      </c>
      <c r="J72" s="9">
        <v>49.7</v>
      </c>
      <c r="K72" s="9">
        <v>11.2</v>
      </c>
      <c r="L72" s="9">
        <v>31.8</v>
      </c>
      <c r="M72" s="9">
        <v>9.8000000000000007</v>
      </c>
      <c r="N72" s="9">
        <v>78.3</v>
      </c>
    </row>
    <row r="73" spans="1:14">
      <c r="A73" s="14">
        <v>4</v>
      </c>
      <c r="B73" s="9" t="s">
        <v>74</v>
      </c>
      <c r="C73" s="9">
        <v>5.08</v>
      </c>
      <c r="D73" s="9">
        <v>0.03</v>
      </c>
      <c r="E73" s="9">
        <v>0.03</v>
      </c>
      <c r="F73" s="9">
        <v>4.71</v>
      </c>
      <c r="G73" s="9">
        <v>0.05</v>
      </c>
      <c r="H73" s="9">
        <v>7.0000000000000001E-3</v>
      </c>
      <c r="I73" s="9">
        <v>9.91</v>
      </c>
      <c r="J73" s="9">
        <v>57.7</v>
      </c>
      <c r="K73" s="9">
        <v>14.4</v>
      </c>
      <c r="L73" s="9">
        <v>32.4</v>
      </c>
      <c r="M73" s="9">
        <v>9.6</v>
      </c>
      <c r="N73" s="9">
        <v>78.3</v>
      </c>
    </row>
    <row r="74" spans="1:14">
      <c r="A74" s="9">
        <v>4</v>
      </c>
      <c r="B74" s="9" t="s">
        <v>75</v>
      </c>
      <c r="C74" s="9">
        <v>5.2</v>
      </c>
      <c r="D74" s="9">
        <v>7.0000000000000007E-2</v>
      </c>
      <c r="E74" s="9">
        <v>-0.15</v>
      </c>
      <c r="F74" s="9">
        <v>4.71</v>
      </c>
      <c r="G74" s="9">
        <v>0.02</v>
      </c>
      <c r="H74" s="9">
        <v>-2.3E-2</v>
      </c>
      <c r="I74" s="9">
        <v>9.83</v>
      </c>
      <c r="J74" s="9">
        <v>57</v>
      </c>
      <c r="K74" s="9">
        <v>19.8</v>
      </c>
      <c r="L74" s="9">
        <v>33.9</v>
      </c>
      <c r="M74" s="9">
        <v>10.9</v>
      </c>
      <c r="N74" s="9">
        <v>80.3</v>
      </c>
    </row>
    <row r="75" spans="1:14">
      <c r="A75" s="14">
        <v>4</v>
      </c>
      <c r="B75" s="9" t="s">
        <v>79</v>
      </c>
      <c r="C75" s="9">
        <v>5.18</v>
      </c>
      <c r="D75" s="9">
        <v>7.0000000000000007E-2</v>
      </c>
      <c r="E75" s="9">
        <v>0.02</v>
      </c>
      <c r="F75" s="9">
        <v>4.71</v>
      </c>
      <c r="G75" s="9">
        <v>-0.04</v>
      </c>
      <c r="H75" s="9">
        <v>7.0000000000000001E-3</v>
      </c>
      <c r="I75" s="9">
        <v>9.9499999999999993</v>
      </c>
      <c r="J75" s="9">
        <v>55.9</v>
      </c>
      <c r="K75" s="9">
        <v>11.3</v>
      </c>
      <c r="L75" s="9">
        <v>33.700000000000003</v>
      </c>
      <c r="M75" s="9">
        <v>8.9</v>
      </c>
      <c r="N75" s="9">
        <v>76.099999999999994</v>
      </c>
    </row>
    <row r="76" spans="1:14">
      <c r="A76" s="9">
        <v>4</v>
      </c>
      <c r="B76" s="9" t="s">
        <v>80</v>
      </c>
      <c r="C76" s="9">
        <v>5.18</v>
      </c>
      <c r="D76" s="9">
        <v>0.18</v>
      </c>
      <c r="E76" s="9">
        <v>0.15</v>
      </c>
      <c r="F76" s="9">
        <v>4.71</v>
      </c>
      <c r="G76" s="9">
        <v>-0.01</v>
      </c>
      <c r="H76" s="9">
        <v>7.0000000000000001E-3</v>
      </c>
      <c r="I76" s="9">
        <v>10.220000000000001</v>
      </c>
      <c r="J76" s="9">
        <v>42.8</v>
      </c>
      <c r="K76" s="9">
        <v>11.7</v>
      </c>
      <c r="L76" s="9">
        <v>32.9</v>
      </c>
      <c r="M76" s="9">
        <v>10.199999999999999</v>
      </c>
      <c r="N76" s="9">
        <v>76.400000000000006</v>
      </c>
    </row>
    <row r="77" spans="1:14">
      <c r="A77" s="14">
        <v>4</v>
      </c>
      <c r="B77" s="9" t="s">
        <v>81</v>
      </c>
      <c r="C77" s="9">
        <v>5.4</v>
      </c>
      <c r="D77" s="9">
        <v>0.03</v>
      </c>
      <c r="E77" s="9">
        <v>-0.01</v>
      </c>
      <c r="F77" s="9">
        <v>4.71</v>
      </c>
      <c r="G77" s="9">
        <v>-0.01</v>
      </c>
      <c r="H77" s="9">
        <v>7.0000000000000001E-3</v>
      </c>
      <c r="I77" s="9">
        <v>10.130000000000001</v>
      </c>
      <c r="J77" s="9">
        <v>49.1</v>
      </c>
      <c r="K77" s="9">
        <v>11.5</v>
      </c>
      <c r="L77" s="9">
        <v>32.6</v>
      </c>
      <c r="M77" s="9">
        <v>10.6</v>
      </c>
      <c r="N77" s="9">
        <v>78.900000000000006</v>
      </c>
    </row>
    <row r="78" spans="1:14">
      <c r="A78" s="9">
        <v>4</v>
      </c>
      <c r="B78" s="9" t="s">
        <v>82</v>
      </c>
      <c r="C78" s="9">
        <v>5.79</v>
      </c>
      <c r="D78" s="9">
        <v>-0.02</v>
      </c>
      <c r="E78" s="9">
        <v>-0.44</v>
      </c>
      <c r="F78" s="9">
        <v>4.71</v>
      </c>
      <c r="G78" s="9">
        <v>-7.0000000000000007E-2</v>
      </c>
      <c r="H78" s="9">
        <v>-1.2E-2</v>
      </c>
      <c r="I78" s="9">
        <v>9.9600000000000009</v>
      </c>
      <c r="J78" s="9">
        <v>50.1</v>
      </c>
      <c r="K78" s="9">
        <v>17.8</v>
      </c>
      <c r="L78" s="9">
        <v>35.1</v>
      </c>
      <c r="M78" s="9">
        <v>11.2</v>
      </c>
      <c r="N78" s="9">
        <v>74</v>
      </c>
    </row>
    <row r="79" spans="1:14">
      <c r="A79" s="14">
        <v>4</v>
      </c>
      <c r="B79" s="9" t="s">
        <v>83</v>
      </c>
      <c r="C79" s="9">
        <v>5.96</v>
      </c>
      <c r="D79" s="9">
        <v>-0.03</v>
      </c>
      <c r="E79" s="9">
        <v>-0.48</v>
      </c>
      <c r="F79" s="9">
        <v>4.71</v>
      </c>
      <c r="G79" s="9">
        <v>0.03</v>
      </c>
      <c r="H79" s="9">
        <v>3.0000000000000001E-3</v>
      </c>
      <c r="I79" s="9">
        <v>10.18</v>
      </c>
      <c r="J79" s="9">
        <v>49.8</v>
      </c>
      <c r="K79" s="9">
        <v>13.7</v>
      </c>
      <c r="L79" s="9">
        <v>34.799999999999997</v>
      </c>
      <c r="M79" s="9">
        <v>11.4</v>
      </c>
      <c r="N79" s="9">
        <v>74.8</v>
      </c>
    </row>
    <row r="80" spans="1:14">
      <c r="A80" s="9">
        <v>4</v>
      </c>
      <c r="B80" s="9" t="s">
        <v>84</v>
      </c>
      <c r="C80" s="9">
        <v>6.07</v>
      </c>
      <c r="D80" s="9">
        <v>-0.15</v>
      </c>
      <c r="E80" s="9">
        <v>-0.67</v>
      </c>
      <c r="F80" s="9">
        <v>4.71</v>
      </c>
      <c r="G80" s="9">
        <v>-0.01</v>
      </c>
      <c r="H80" s="9">
        <v>7.0000000000000001E-3</v>
      </c>
      <c r="I80" s="9">
        <v>9.94</v>
      </c>
      <c r="J80" s="9">
        <v>50</v>
      </c>
      <c r="K80" s="9">
        <v>15.8</v>
      </c>
      <c r="L80" s="9">
        <v>32.6</v>
      </c>
      <c r="M80" s="9">
        <v>9.4</v>
      </c>
      <c r="N80" s="9">
        <v>81.2</v>
      </c>
    </row>
    <row r="81" spans="1:14">
      <c r="A81" s="14">
        <v>4</v>
      </c>
      <c r="B81" s="9" t="s">
        <v>85</v>
      </c>
      <c r="C81" s="9">
        <v>6.4</v>
      </c>
      <c r="D81" s="9">
        <v>-0.28999999999999998</v>
      </c>
      <c r="E81" s="9">
        <v>-0.55000000000000004</v>
      </c>
      <c r="F81" s="9">
        <v>4.71</v>
      </c>
      <c r="G81" s="9">
        <v>0.1</v>
      </c>
      <c r="H81" s="9">
        <v>-1.6E-2</v>
      </c>
      <c r="I81" s="9">
        <v>10.35</v>
      </c>
      <c r="J81" s="9">
        <v>64.8</v>
      </c>
      <c r="K81" s="9">
        <v>23.2</v>
      </c>
      <c r="L81" s="9">
        <v>32.799999999999997</v>
      </c>
      <c r="M81" s="9">
        <v>8.6</v>
      </c>
      <c r="N81" s="9">
        <v>82.7</v>
      </c>
    </row>
    <row r="82" spans="1:14">
      <c r="A82" s="9">
        <v>4</v>
      </c>
      <c r="B82" s="9" t="s">
        <v>86</v>
      </c>
      <c r="C82" s="9">
        <v>5.61</v>
      </c>
      <c r="D82" s="9">
        <v>7.0000000000000007E-2</v>
      </c>
      <c r="E82" s="9">
        <v>-0.18</v>
      </c>
      <c r="F82" s="9">
        <v>4.71</v>
      </c>
      <c r="G82" s="9">
        <v>0.02</v>
      </c>
      <c r="H82" s="9">
        <v>7.0000000000000001E-3</v>
      </c>
      <c r="I82" s="9">
        <v>10.25</v>
      </c>
      <c r="J82" s="9">
        <v>56</v>
      </c>
      <c r="K82" s="9">
        <v>28.8</v>
      </c>
      <c r="L82" s="9">
        <v>31.6</v>
      </c>
      <c r="M82" s="9">
        <v>8</v>
      </c>
      <c r="N82" s="9">
        <v>78.2</v>
      </c>
    </row>
    <row r="83" spans="1:14">
      <c r="A83" s="14">
        <v>4</v>
      </c>
      <c r="B83" s="9" t="s">
        <v>88</v>
      </c>
      <c r="C83" s="9">
        <v>5.41</v>
      </c>
      <c r="D83" s="9">
        <v>0.05</v>
      </c>
      <c r="E83" s="9">
        <v>-0.12</v>
      </c>
      <c r="F83" s="9">
        <v>4.71</v>
      </c>
      <c r="G83" s="9">
        <v>0.03</v>
      </c>
      <c r="H83" s="9">
        <v>7.0000000000000001E-3</v>
      </c>
      <c r="I83" s="9">
        <v>10.09</v>
      </c>
      <c r="J83" s="9">
        <v>53.3</v>
      </c>
      <c r="K83" s="9">
        <v>15.4</v>
      </c>
      <c r="L83" s="9">
        <v>31.8</v>
      </c>
      <c r="M83" s="9">
        <v>8.6</v>
      </c>
      <c r="N83" s="9">
        <v>77.900000000000006</v>
      </c>
    </row>
    <row r="84" spans="1:14">
      <c r="A84" s="9">
        <v>4</v>
      </c>
      <c r="B84" s="9" t="s">
        <v>89</v>
      </c>
      <c r="C84" s="9">
        <v>5.78</v>
      </c>
      <c r="D84" s="9">
        <v>-0.2</v>
      </c>
      <c r="E84" s="9">
        <v>-0.1</v>
      </c>
      <c r="F84" s="9">
        <v>4.71</v>
      </c>
      <c r="G84" s="9">
        <v>-0.03</v>
      </c>
      <c r="H84" s="9">
        <v>-1.0999999999999999E-2</v>
      </c>
      <c r="I84" s="9">
        <v>10.15</v>
      </c>
      <c r="J84" s="9">
        <v>53.4</v>
      </c>
      <c r="K84" s="9">
        <v>17</v>
      </c>
      <c r="L84" s="9">
        <v>33</v>
      </c>
      <c r="M84" s="9">
        <v>8.4</v>
      </c>
      <c r="N84" s="9">
        <v>81</v>
      </c>
    </row>
    <row r="85" spans="1:14">
      <c r="A85" s="14">
        <v>4</v>
      </c>
      <c r="B85" s="9" t="s">
        <v>90</v>
      </c>
      <c r="C85" s="9">
        <v>6.17</v>
      </c>
      <c r="D85" s="9">
        <v>-0.11</v>
      </c>
      <c r="E85" s="9">
        <v>-0.38</v>
      </c>
      <c r="F85" s="9">
        <v>4.71</v>
      </c>
      <c r="G85" s="9">
        <v>0.05</v>
      </c>
      <c r="H85" s="9">
        <v>-2.3E-2</v>
      </c>
      <c r="I85" s="9">
        <v>10.43</v>
      </c>
      <c r="J85" s="9">
        <v>55.2</v>
      </c>
      <c r="K85" s="9">
        <v>20.3</v>
      </c>
      <c r="L85" s="9">
        <v>34.700000000000003</v>
      </c>
      <c r="M85" s="9">
        <v>10</v>
      </c>
      <c r="N85" s="9">
        <v>72.099999999999994</v>
      </c>
    </row>
    <row r="86" spans="1:14">
      <c r="A86" s="9">
        <v>4</v>
      </c>
      <c r="B86" s="9" t="s">
        <v>91</v>
      </c>
      <c r="C86" s="9">
        <v>6</v>
      </c>
      <c r="D86" s="9">
        <v>-7.0000000000000007E-2</v>
      </c>
      <c r="E86" s="9">
        <v>-0.3</v>
      </c>
      <c r="F86" s="9">
        <v>4.71</v>
      </c>
      <c r="G86" s="9">
        <v>-0.02</v>
      </c>
      <c r="H86" s="9">
        <v>7.0000000000000001E-3</v>
      </c>
      <c r="I86" s="9">
        <v>10.34</v>
      </c>
      <c r="J86" s="9">
        <v>51.3</v>
      </c>
      <c r="K86" s="9">
        <v>29.1</v>
      </c>
      <c r="L86" s="9">
        <v>32.5</v>
      </c>
      <c r="M86" s="9">
        <v>8.8000000000000007</v>
      </c>
      <c r="N86" s="9">
        <v>76.5</v>
      </c>
    </row>
    <row r="87" spans="1:14">
      <c r="A87" s="14">
        <v>4</v>
      </c>
      <c r="B87" s="9" t="s">
        <v>92</v>
      </c>
      <c r="C87" s="9">
        <v>5.89</v>
      </c>
      <c r="D87" s="9">
        <v>0.03</v>
      </c>
      <c r="E87" s="9">
        <v>-0.46</v>
      </c>
      <c r="F87" s="9">
        <v>4.71</v>
      </c>
      <c r="G87" s="9">
        <v>7.0000000000000007E-2</v>
      </c>
      <c r="H87" s="9">
        <v>7.0000000000000001E-3</v>
      </c>
      <c r="I87" s="9">
        <v>10.26</v>
      </c>
      <c r="J87" s="9">
        <v>56.7</v>
      </c>
      <c r="K87" s="9">
        <v>16.100000000000001</v>
      </c>
      <c r="L87" s="9">
        <v>32.200000000000003</v>
      </c>
      <c r="M87" s="9">
        <v>8.1999999999999993</v>
      </c>
      <c r="N87" s="9">
        <v>76.400000000000006</v>
      </c>
    </row>
    <row r="88" spans="1:14">
      <c r="A88" s="9">
        <v>4</v>
      </c>
      <c r="B88" s="9" t="s">
        <v>93</v>
      </c>
      <c r="C88" s="9">
        <v>6.11</v>
      </c>
      <c r="D88" s="9">
        <v>-0.16</v>
      </c>
      <c r="E88" s="9">
        <v>-0.38</v>
      </c>
      <c r="F88" s="9">
        <v>4.71</v>
      </c>
      <c r="G88" s="9">
        <v>0</v>
      </c>
      <c r="H88" s="9">
        <v>7.0000000000000001E-3</v>
      </c>
      <c r="I88" s="9">
        <v>10.3</v>
      </c>
      <c r="J88" s="9">
        <v>60.8</v>
      </c>
      <c r="K88" s="9">
        <v>14.2</v>
      </c>
      <c r="L88" s="9">
        <v>29.3</v>
      </c>
      <c r="M88" s="9">
        <v>9.1999999999999993</v>
      </c>
      <c r="N88" s="9">
        <v>74.900000000000006</v>
      </c>
    </row>
    <row r="89" spans="1:14">
      <c r="A89" s="14">
        <v>4</v>
      </c>
      <c r="B89" s="9" t="s">
        <v>94</v>
      </c>
      <c r="C89" s="9">
        <v>5.79</v>
      </c>
      <c r="D89" s="9">
        <v>0.05</v>
      </c>
      <c r="E89" s="9">
        <v>-0.28000000000000003</v>
      </c>
      <c r="F89" s="9">
        <v>4.71</v>
      </c>
      <c r="G89" s="9">
        <v>-7.0000000000000007E-2</v>
      </c>
      <c r="H89" s="9">
        <v>7.0000000000000001E-3</v>
      </c>
      <c r="I89" s="9">
        <v>10.210000000000001</v>
      </c>
      <c r="J89" s="9">
        <v>50.1</v>
      </c>
      <c r="K89" s="9">
        <v>14.3</v>
      </c>
      <c r="L89" s="9">
        <v>32.9</v>
      </c>
      <c r="M89" s="9">
        <v>12</v>
      </c>
      <c r="N89" s="9">
        <v>80.5</v>
      </c>
    </row>
    <row r="90" spans="1:14">
      <c r="A90" s="9">
        <v>4</v>
      </c>
      <c r="B90" s="9" t="s">
        <v>95</v>
      </c>
      <c r="C90" s="9">
        <v>7.13</v>
      </c>
      <c r="D90" s="9">
        <v>-0.19</v>
      </c>
      <c r="E90" s="9">
        <v>-0.74</v>
      </c>
      <c r="F90" s="9">
        <v>4.71</v>
      </c>
      <c r="G90" s="9">
        <v>7.0000000000000007E-2</v>
      </c>
      <c r="H90" s="9">
        <v>7.0000000000000001E-3</v>
      </c>
      <c r="I90" s="9">
        <v>11</v>
      </c>
      <c r="J90" s="9">
        <v>49.3</v>
      </c>
      <c r="K90" s="9">
        <v>17.899999999999999</v>
      </c>
      <c r="L90" s="9">
        <v>33.4</v>
      </c>
      <c r="M90" s="9">
        <v>9</v>
      </c>
      <c r="N90" s="9">
        <v>82</v>
      </c>
    </row>
    <row r="91" spans="1:14">
      <c r="A91" s="14">
        <v>4</v>
      </c>
      <c r="B91" s="9" t="s">
        <v>96</v>
      </c>
      <c r="C91" s="9">
        <v>6.62</v>
      </c>
      <c r="D91" s="9">
        <v>-0.21</v>
      </c>
      <c r="E91" s="9">
        <v>-0.74</v>
      </c>
      <c r="F91" s="9">
        <v>4.71</v>
      </c>
      <c r="G91" s="9">
        <v>0.09</v>
      </c>
      <c r="H91" s="9">
        <v>-2E-3</v>
      </c>
      <c r="I91" s="9">
        <v>10.47</v>
      </c>
      <c r="J91" s="9">
        <v>54</v>
      </c>
      <c r="K91" s="9">
        <v>21</v>
      </c>
      <c r="L91" s="9">
        <v>33.1</v>
      </c>
      <c r="M91" s="9">
        <v>9.1</v>
      </c>
      <c r="N91" s="9">
        <v>81.599999999999994</v>
      </c>
    </row>
    <row r="92" spans="1:14">
      <c r="A92" s="9">
        <v>4</v>
      </c>
      <c r="B92" s="9" t="s">
        <v>97</v>
      </c>
      <c r="C92" s="9">
        <v>6.39</v>
      </c>
      <c r="D92" s="9">
        <v>-0.06</v>
      </c>
      <c r="E92" s="9">
        <v>-0.63</v>
      </c>
      <c r="F92" s="9">
        <v>4.71</v>
      </c>
      <c r="G92" s="9">
        <v>0.08</v>
      </c>
      <c r="H92" s="9">
        <v>-3.6999999999999998E-2</v>
      </c>
      <c r="I92" s="9">
        <v>10.45</v>
      </c>
      <c r="J92" s="9">
        <v>57.9</v>
      </c>
      <c r="K92" s="9">
        <v>29.1</v>
      </c>
      <c r="L92" s="9">
        <v>32.799999999999997</v>
      </c>
      <c r="M92" s="9">
        <v>11.2</v>
      </c>
      <c r="N92" s="9">
        <v>81.7</v>
      </c>
    </row>
    <row r="93" spans="1:14">
      <c r="A93" s="14">
        <v>4</v>
      </c>
      <c r="B93" s="9" t="s">
        <v>98</v>
      </c>
      <c r="C93" s="9">
        <v>6.49</v>
      </c>
      <c r="D93" s="9">
        <v>-0.21</v>
      </c>
      <c r="E93" s="9">
        <v>-0.6</v>
      </c>
      <c r="F93" s="9">
        <v>4.71</v>
      </c>
      <c r="G93" s="9">
        <v>0.13</v>
      </c>
      <c r="H93" s="9">
        <v>-8.9999999999999993E-3</v>
      </c>
      <c r="I93" s="9">
        <v>10.52</v>
      </c>
      <c r="J93" s="9">
        <v>61</v>
      </c>
      <c r="K93" s="9">
        <v>24.3</v>
      </c>
      <c r="L93" s="9">
        <v>33.1</v>
      </c>
      <c r="M93" s="9">
        <v>8.9</v>
      </c>
      <c r="N93" s="9">
        <v>79.3</v>
      </c>
    </row>
    <row r="94" spans="1:14">
      <c r="A94" s="9">
        <v>4</v>
      </c>
      <c r="B94" s="9" t="s">
        <v>99</v>
      </c>
      <c r="C94" s="9">
        <v>6.17</v>
      </c>
      <c r="D94" s="9">
        <v>-0.08</v>
      </c>
      <c r="E94" s="9">
        <v>-0.76</v>
      </c>
      <c r="F94" s="9">
        <v>4.71</v>
      </c>
      <c r="G94" s="9">
        <v>0.1</v>
      </c>
      <c r="H94" s="9">
        <v>2E-3</v>
      </c>
      <c r="I94" s="9">
        <v>10.14</v>
      </c>
      <c r="J94" s="9">
        <v>52.2</v>
      </c>
      <c r="K94" s="9">
        <v>14.6</v>
      </c>
      <c r="L94" s="9">
        <v>34.299999999999997</v>
      </c>
      <c r="M94" s="9">
        <v>8.9</v>
      </c>
      <c r="N94" s="9">
        <v>82.3</v>
      </c>
    </row>
    <row r="95" spans="1:14">
      <c r="A95" s="14">
        <v>4</v>
      </c>
      <c r="B95" s="9" t="s">
        <v>100</v>
      </c>
      <c r="C95" s="9">
        <v>6.62</v>
      </c>
      <c r="D95" s="9">
        <v>-0.03</v>
      </c>
      <c r="E95" s="9">
        <v>-0.85</v>
      </c>
      <c r="F95" s="9">
        <v>4.71</v>
      </c>
      <c r="G95" s="9">
        <v>0.2</v>
      </c>
      <c r="H95" s="9">
        <v>7.0000000000000001E-3</v>
      </c>
      <c r="I95" s="9">
        <v>10.65</v>
      </c>
      <c r="J95" s="9">
        <v>49.2</v>
      </c>
      <c r="K95" s="9">
        <v>12.9</v>
      </c>
      <c r="L95" s="9">
        <v>32.200000000000003</v>
      </c>
      <c r="M95" s="9">
        <v>9.6</v>
      </c>
      <c r="N95" s="9">
        <v>84.7</v>
      </c>
    </row>
    <row r="96" spans="1:14">
      <c r="A96" s="9">
        <v>4</v>
      </c>
      <c r="B96" s="9" t="s">
        <v>101</v>
      </c>
      <c r="C96" s="9">
        <v>6.6</v>
      </c>
      <c r="D96" s="9">
        <v>0.3</v>
      </c>
      <c r="E96" s="9">
        <v>-1.56</v>
      </c>
      <c r="F96" s="9">
        <v>4.71</v>
      </c>
      <c r="G96" s="9">
        <v>0.06</v>
      </c>
      <c r="H96" s="9">
        <v>-2.1000000000000001E-2</v>
      </c>
      <c r="I96" s="9">
        <v>10.09</v>
      </c>
      <c r="J96" s="9">
        <v>55.8</v>
      </c>
      <c r="K96" s="9">
        <v>25.9</v>
      </c>
      <c r="L96" s="9">
        <v>33.1</v>
      </c>
      <c r="M96" s="9">
        <v>9.6</v>
      </c>
      <c r="N96" s="9">
        <v>88.6</v>
      </c>
    </row>
    <row r="97" spans="1:17">
      <c r="A97" s="9">
        <v>5</v>
      </c>
      <c r="B97" s="9" t="s">
        <v>33</v>
      </c>
      <c r="C97" s="9">
        <v>6.28</v>
      </c>
      <c r="D97" s="9">
        <v>-0.31</v>
      </c>
      <c r="E97" s="9">
        <v>-0.26</v>
      </c>
      <c r="F97" s="9">
        <v>4.6399999999999997</v>
      </c>
      <c r="G97" s="9">
        <v>-7.0000000000000007E-2</v>
      </c>
      <c r="H97" s="9">
        <v>0.01</v>
      </c>
      <c r="I97" s="9">
        <v>10.29</v>
      </c>
      <c r="J97" s="9">
        <v>47.3</v>
      </c>
      <c r="K97" s="9">
        <v>11.6</v>
      </c>
      <c r="L97" s="9">
        <v>34.5</v>
      </c>
      <c r="M97" s="9">
        <v>9.6999999999999993</v>
      </c>
      <c r="N97" s="9">
        <v>82.3</v>
      </c>
    </row>
    <row r="98" spans="1:17">
      <c r="A98" s="9">
        <v>5</v>
      </c>
      <c r="B98" s="9" t="s">
        <v>36</v>
      </c>
      <c r="C98" s="9">
        <v>6.33</v>
      </c>
      <c r="D98" s="9">
        <v>-0.31</v>
      </c>
      <c r="E98" s="9">
        <v>-0.8</v>
      </c>
      <c r="F98" s="9">
        <v>4.6399999999999997</v>
      </c>
      <c r="G98" s="9">
        <v>-7.0000000000000007E-2</v>
      </c>
      <c r="H98" s="9">
        <v>0.01</v>
      </c>
      <c r="I98" s="9">
        <v>9.7899999999999991</v>
      </c>
      <c r="J98" s="9">
        <v>58.1</v>
      </c>
      <c r="K98" s="9">
        <v>19.2</v>
      </c>
      <c r="L98" s="9">
        <v>34.299999999999997</v>
      </c>
      <c r="M98" s="9">
        <v>9.3000000000000007</v>
      </c>
      <c r="N98" s="9">
        <v>82.5</v>
      </c>
    </row>
    <row r="99" spans="1:17">
      <c r="A99" s="9">
        <v>5</v>
      </c>
      <c r="B99" s="9" t="s">
        <v>37</v>
      </c>
      <c r="C99" s="9">
        <v>6</v>
      </c>
      <c r="D99" s="9">
        <v>-0.32</v>
      </c>
      <c r="E99" s="9">
        <v>-0.56999999999999995</v>
      </c>
      <c r="F99" s="9">
        <v>4.6399999999999997</v>
      </c>
      <c r="G99" s="9">
        <v>0.01</v>
      </c>
      <c r="H99" s="9">
        <v>0.01</v>
      </c>
      <c r="I99" s="9">
        <v>9.77</v>
      </c>
      <c r="J99" s="9">
        <v>61.1</v>
      </c>
      <c r="K99" s="9">
        <v>17</v>
      </c>
      <c r="L99" s="9">
        <v>33.299999999999997</v>
      </c>
      <c r="M99" s="9">
        <v>10.6</v>
      </c>
      <c r="N99" s="9">
        <v>85.3</v>
      </c>
    </row>
    <row r="100" spans="1:17">
      <c r="A100" s="9">
        <v>5</v>
      </c>
      <c r="B100" s="9" t="s">
        <v>39</v>
      </c>
      <c r="C100" s="9">
        <v>5.91</v>
      </c>
      <c r="D100" s="9">
        <v>-0.17</v>
      </c>
      <c r="E100" s="9">
        <v>-0.32</v>
      </c>
      <c r="F100" s="9">
        <v>4.6399999999999997</v>
      </c>
      <c r="G100" s="9">
        <v>0.01</v>
      </c>
      <c r="H100" s="9">
        <v>-1.2E-2</v>
      </c>
      <c r="I100" s="9">
        <v>10.050000000000001</v>
      </c>
      <c r="J100" s="9">
        <v>60.6</v>
      </c>
      <c r="K100" s="9">
        <v>24.3</v>
      </c>
      <c r="L100" s="9">
        <v>35</v>
      </c>
      <c r="M100" s="9">
        <v>11.9</v>
      </c>
      <c r="N100" s="9">
        <v>83.6</v>
      </c>
    </row>
    <row r="101" spans="1:17">
      <c r="A101" s="9">
        <v>5</v>
      </c>
      <c r="B101" s="9" t="s">
        <v>40</v>
      </c>
      <c r="C101" s="9">
        <v>6.8</v>
      </c>
      <c r="D101" s="9">
        <v>-0.64</v>
      </c>
      <c r="E101" s="9">
        <v>-0.76</v>
      </c>
      <c r="F101" s="9">
        <v>4.6399999999999997</v>
      </c>
      <c r="G101" s="9">
        <v>-0.14000000000000001</v>
      </c>
      <c r="H101" s="9">
        <v>-3.7999999999999999E-2</v>
      </c>
      <c r="I101" s="9">
        <v>9.86</v>
      </c>
      <c r="J101" s="9">
        <v>59.2</v>
      </c>
      <c r="K101" s="9">
        <v>36.200000000000003</v>
      </c>
      <c r="L101" s="9">
        <v>34.5</v>
      </c>
      <c r="M101" s="9">
        <v>9</v>
      </c>
      <c r="N101" s="9">
        <v>82.5</v>
      </c>
    </row>
    <row r="102" spans="1:17">
      <c r="A102" s="9">
        <v>5</v>
      </c>
      <c r="B102" s="9" t="s">
        <v>41</v>
      </c>
      <c r="C102" s="9">
        <v>6.15</v>
      </c>
      <c r="D102" s="9">
        <v>-0.28000000000000003</v>
      </c>
      <c r="E102" s="9">
        <v>-0.48</v>
      </c>
      <c r="F102" s="9">
        <v>4.6399999999999997</v>
      </c>
      <c r="G102" s="9">
        <v>-0.01</v>
      </c>
      <c r="H102" s="9">
        <v>-4.2999999999999997E-2</v>
      </c>
      <c r="I102" s="9">
        <v>9.98</v>
      </c>
      <c r="J102" s="9">
        <v>75.099999999999994</v>
      </c>
      <c r="K102" s="9">
        <v>27.3</v>
      </c>
      <c r="L102" s="9">
        <v>34.700000000000003</v>
      </c>
      <c r="M102" s="9">
        <v>10.5</v>
      </c>
      <c r="N102" s="9">
        <v>84</v>
      </c>
    </row>
    <row r="103" spans="1:17">
      <c r="A103" s="9">
        <v>5</v>
      </c>
      <c r="B103" s="9" t="s">
        <v>42</v>
      </c>
      <c r="C103" s="9">
        <v>5.42</v>
      </c>
      <c r="D103" s="9">
        <v>-0.18</v>
      </c>
      <c r="E103" s="9">
        <v>-0.27</v>
      </c>
      <c r="F103" s="9">
        <v>4.6399999999999997</v>
      </c>
      <c r="G103" s="9">
        <v>-0.06</v>
      </c>
      <c r="H103" s="9">
        <v>-1.9E-2</v>
      </c>
      <c r="I103" s="9">
        <v>9.5299999999999994</v>
      </c>
      <c r="J103" s="9">
        <v>57.4</v>
      </c>
      <c r="K103" s="9">
        <v>26.4</v>
      </c>
      <c r="L103" s="9">
        <v>35.1</v>
      </c>
      <c r="M103" s="10">
        <v>48</v>
      </c>
      <c r="N103" s="10">
        <v>9.9</v>
      </c>
      <c r="O103" s="11"/>
      <c r="P103" s="11"/>
      <c r="Q103" s="11"/>
    </row>
    <row r="104" spans="1:17">
      <c r="A104" s="9">
        <v>5</v>
      </c>
      <c r="B104" s="9" t="s">
        <v>43</v>
      </c>
      <c r="C104" s="9">
        <v>5.12</v>
      </c>
      <c r="D104" s="9">
        <v>-0.04</v>
      </c>
      <c r="E104" s="9">
        <v>0.03</v>
      </c>
      <c r="F104" s="9">
        <v>4.6399999999999997</v>
      </c>
      <c r="G104" s="9">
        <v>-0.03</v>
      </c>
      <c r="H104" s="9">
        <v>0.01</v>
      </c>
      <c r="I104" s="9">
        <v>9.73</v>
      </c>
      <c r="J104" s="9">
        <v>55.9</v>
      </c>
      <c r="K104" s="9">
        <v>14.9</v>
      </c>
      <c r="L104" s="9">
        <v>33</v>
      </c>
      <c r="M104" s="10">
        <v>55.1</v>
      </c>
      <c r="N104" s="10">
        <v>17.8</v>
      </c>
      <c r="O104" s="11"/>
      <c r="P104" s="11"/>
      <c r="Q104" s="11"/>
    </row>
    <row r="105" spans="1:17">
      <c r="A105" s="9">
        <v>5</v>
      </c>
      <c r="B105" s="9" t="s">
        <v>44</v>
      </c>
      <c r="C105" s="9">
        <v>5.4</v>
      </c>
      <c r="D105" s="9">
        <v>-0.06</v>
      </c>
      <c r="E105" s="9">
        <v>-0.05</v>
      </c>
      <c r="F105" s="9">
        <v>4.6399999999999997</v>
      </c>
      <c r="G105" s="9">
        <v>0.04</v>
      </c>
      <c r="H105" s="9">
        <v>-1.2E-2</v>
      </c>
      <c r="I105" s="9">
        <v>9.9600000000000009</v>
      </c>
      <c r="J105" s="9">
        <v>58.3</v>
      </c>
      <c r="K105" s="9">
        <v>23.9</v>
      </c>
      <c r="L105" s="9">
        <v>34.9</v>
      </c>
      <c r="M105" s="10">
        <v>57.9</v>
      </c>
      <c r="N105" s="10">
        <v>14.6</v>
      </c>
      <c r="O105" s="11"/>
      <c r="P105" s="11"/>
      <c r="Q105" s="11"/>
    </row>
    <row r="106" spans="1:17">
      <c r="A106" s="9">
        <v>5</v>
      </c>
      <c r="B106" s="9" t="s">
        <v>45</v>
      </c>
      <c r="C106" s="9">
        <v>5.21</v>
      </c>
      <c r="D106" s="9">
        <v>-0.02</v>
      </c>
      <c r="E106" s="9">
        <v>-0.08</v>
      </c>
      <c r="F106" s="9">
        <v>4.6399999999999997</v>
      </c>
      <c r="G106" s="9">
        <v>0</v>
      </c>
      <c r="H106" s="9">
        <v>0.01</v>
      </c>
      <c r="I106" s="9">
        <v>9.76</v>
      </c>
      <c r="J106" s="9">
        <v>54.2</v>
      </c>
      <c r="K106" s="9">
        <v>12.4</v>
      </c>
      <c r="L106" s="9">
        <v>33.6</v>
      </c>
      <c r="M106" s="10">
        <v>60</v>
      </c>
      <c r="N106" s="10">
        <v>27.4</v>
      </c>
      <c r="O106" s="11"/>
      <c r="P106" s="11"/>
      <c r="Q106" s="11"/>
    </row>
    <row r="107" spans="1:17">
      <c r="A107" s="9">
        <v>5</v>
      </c>
      <c r="B107" s="9" t="s">
        <v>47</v>
      </c>
      <c r="C107" s="9">
        <v>5.03</v>
      </c>
      <c r="D107" s="9">
        <v>-0.01</v>
      </c>
      <c r="E107" s="9">
        <v>0.14000000000000001</v>
      </c>
      <c r="F107" s="9">
        <v>4.6399999999999997</v>
      </c>
      <c r="G107" s="9">
        <v>0.01</v>
      </c>
      <c r="H107" s="9">
        <v>0.01</v>
      </c>
      <c r="I107" s="9">
        <v>9.82</v>
      </c>
      <c r="J107" s="9">
        <v>48</v>
      </c>
      <c r="K107" s="9">
        <v>9.4</v>
      </c>
      <c r="L107" s="9">
        <v>34.4</v>
      </c>
      <c r="M107" s="10">
        <v>53.8</v>
      </c>
      <c r="N107" s="10">
        <v>28.7</v>
      </c>
      <c r="O107" s="11"/>
      <c r="P107" s="11"/>
      <c r="Q107" s="11"/>
    </row>
    <row r="108" spans="1:17">
      <c r="A108" s="9">
        <v>5</v>
      </c>
      <c r="B108" s="9" t="s">
        <v>49</v>
      </c>
      <c r="C108" s="9">
        <v>5.16</v>
      </c>
      <c r="D108" s="9">
        <v>-0.1</v>
      </c>
      <c r="E108" s="9">
        <v>0.13</v>
      </c>
      <c r="F108" s="9">
        <v>4.6399999999999997</v>
      </c>
      <c r="G108" s="9">
        <v>0.03</v>
      </c>
      <c r="H108" s="9">
        <v>0.01</v>
      </c>
      <c r="I108" s="9">
        <v>9.8699999999999992</v>
      </c>
      <c r="J108" s="9">
        <v>44.8</v>
      </c>
      <c r="K108" s="9">
        <v>14.5</v>
      </c>
      <c r="L108" s="9">
        <v>34.799999999999997</v>
      </c>
      <c r="M108" s="10">
        <v>73.8</v>
      </c>
      <c r="N108" s="10">
        <v>24</v>
      </c>
      <c r="O108" s="11"/>
      <c r="P108" s="11"/>
      <c r="Q108" s="11"/>
    </row>
    <row r="109" spans="1:17">
      <c r="A109" s="9">
        <v>5</v>
      </c>
      <c r="B109" s="9" t="s">
        <v>51</v>
      </c>
      <c r="C109" s="9">
        <v>4.47</v>
      </c>
      <c r="D109" s="9">
        <v>0.14000000000000001</v>
      </c>
      <c r="E109" s="9">
        <v>0.67</v>
      </c>
      <c r="F109" s="9">
        <v>4.6399999999999997</v>
      </c>
      <c r="G109" s="9">
        <v>7.0000000000000007E-2</v>
      </c>
      <c r="H109" s="9">
        <v>0.01</v>
      </c>
      <c r="I109" s="9">
        <v>10</v>
      </c>
      <c r="J109" s="9">
        <v>51.5</v>
      </c>
      <c r="K109" s="9">
        <v>8.9</v>
      </c>
      <c r="L109" s="9">
        <v>35.5</v>
      </c>
      <c r="M109" s="10">
        <v>55</v>
      </c>
      <c r="N109" s="10">
        <v>23.9</v>
      </c>
      <c r="O109" s="11"/>
      <c r="P109" s="11"/>
      <c r="Q109" s="11"/>
    </row>
    <row r="110" spans="1:17">
      <c r="A110" s="9">
        <v>5</v>
      </c>
      <c r="B110" s="9" t="s">
        <v>53</v>
      </c>
      <c r="C110" s="9">
        <v>5</v>
      </c>
      <c r="D110" s="9">
        <v>-0.06</v>
      </c>
      <c r="E110" s="9">
        <v>0.39</v>
      </c>
      <c r="F110" s="9">
        <v>4.6399999999999997</v>
      </c>
      <c r="G110" s="9">
        <v>0.03</v>
      </c>
      <c r="H110" s="9">
        <v>0.01</v>
      </c>
      <c r="I110" s="9">
        <v>10.02</v>
      </c>
      <c r="J110" s="9">
        <v>46.5</v>
      </c>
      <c r="K110" s="9">
        <v>10.5</v>
      </c>
      <c r="L110" s="9">
        <v>35.1</v>
      </c>
      <c r="M110" s="10">
        <v>52.8</v>
      </c>
      <c r="N110" s="10">
        <v>20.2</v>
      </c>
      <c r="O110" s="11"/>
      <c r="P110" s="11"/>
      <c r="Q110" s="11"/>
    </row>
    <row r="111" spans="1:17">
      <c r="A111" s="9">
        <v>5</v>
      </c>
      <c r="B111" s="9" t="s">
        <v>55</v>
      </c>
      <c r="C111" s="9">
        <v>5.24</v>
      </c>
      <c r="D111" s="9">
        <v>-0.14000000000000001</v>
      </c>
      <c r="E111" s="9">
        <v>-0.3</v>
      </c>
      <c r="F111" s="9">
        <v>4.6399999999999997</v>
      </c>
      <c r="G111" s="9">
        <v>-0.1</v>
      </c>
      <c r="H111" s="9">
        <v>-8.9999999999999993E-3</v>
      </c>
      <c r="I111" s="9">
        <v>9.33</v>
      </c>
      <c r="J111" s="9">
        <v>67.5</v>
      </c>
      <c r="K111" s="9">
        <v>21.9</v>
      </c>
      <c r="L111" s="9">
        <v>34.9</v>
      </c>
      <c r="M111" s="10">
        <v>53.3</v>
      </c>
      <c r="N111" s="10">
        <v>22.7</v>
      </c>
      <c r="O111" s="11"/>
      <c r="P111" s="11"/>
      <c r="Q111" s="11"/>
    </row>
    <row r="112" spans="1:17">
      <c r="A112" s="9">
        <v>5</v>
      </c>
      <c r="B112" s="9" t="s">
        <v>57</v>
      </c>
      <c r="C112" s="9">
        <v>4.9400000000000004</v>
      </c>
      <c r="D112" s="9">
        <v>-0.09</v>
      </c>
      <c r="E112" s="9">
        <v>0.11</v>
      </c>
      <c r="F112" s="9">
        <v>4.6399999999999997</v>
      </c>
      <c r="G112" s="9">
        <v>-0.05</v>
      </c>
      <c r="H112" s="9">
        <v>0.01</v>
      </c>
      <c r="I112" s="9">
        <v>9.57</v>
      </c>
      <c r="J112" s="9">
        <v>69.099999999999994</v>
      </c>
      <c r="K112" s="9">
        <v>33.1</v>
      </c>
      <c r="L112" s="9">
        <v>33.700000000000003</v>
      </c>
      <c r="M112" s="10">
        <v>51.2</v>
      </c>
      <c r="N112" s="10">
        <v>13.5</v>
      </c>
      <c r="O112" s="11"/>
      <c r="P112" s="11"/>
      <c r="Q112" s="11"/>
    </row>
    <row r="113" spans="1:17">
      <c r="A113" s="9">
        <v>5</v>
      </c>
      <c r="B113" s="9" t="s">
        <v>58</v>
      </c>
      <c r="C113" s="9">
        <v>5.26</v>
      </c>
      <c r="D113" s="9">
        <v>-0.03</v>
      </c>
      <c r="E113" s="9">
        <v>0</v>
      </c>
      <c r="F113" s="9">
        <v>4.6399999999999997</v>
      </c>
      <c r="G113" s="9">
        <v>-0.19</v>
      </c>
      <c r="H113" s="9">
        <v>-2.1999999999999999E-2</v>
      </c>
      <c r="I113" s="9">
        <v>9.66</v>
      </c>
      <c r="J113" s="9">
        <v>65.400000000000006</v>
      </c>
      <c r="K113" s="9">
        <v>22.5</v>
      </c>
      <c r="L113" s="9">
        <v>35.1</v>
      </c>
      <c r="M113" s="10">
        <v>47</v>
      </c>
      <c r="N113" s="10">
        <v>8.4</v>
      </c>
      <c r="O113" s="11"/>
      <c r="P113" s="11"/>
      <c r="Q113" s="11"/>
    </row>
    <row r="114" spans="1:17">
      <c r="A114" s="9">
        <v>5</v>
      </c>
      <c r="B114" s="9" t="s">
        <v>60</v>
      </c>
      <c r="C114" s="9">
        <v>5.47</v>
      </c>
      <c r="D114" s="9">
        <v>-0.13</v>
      </c>
      <c r="E114" s="9">
        <v>-0.03</v>
      </c>
      <c r="F114" s="9">
        <v>4.6399999999999997</v>
      </c>
      <c r="G114" s="9">
        <v>-0.03</v>
      </c>
      <c r="H114" s="9">
        <v>-1.4999999999999999E-2</v>
      </c>
      <c r="I114" s="9">
        <v>9.91</v>
      </c>
      <c r="J114" s="9">
        <v>64.2</v>
      </c>
      <c r="K114" s="9">
        <v>20.8</v>
      </c>
      <c r="L114" s="9">
        <v>35.200000000000003</v>
      </c>
      <c r="M114" s="10">
        <v>43.8</v>
      </c>
      <c r="N114" s="10">
        <v>12.9</v>
      </c>
      <c r="O114" s="11"/>
      <c r="P114" s="11"/>
      <c r="Q114" s="11"/>
    </row>
    <row r="115" spans="1:17">
      <c r="A115" s="9">
        <v>5</v>
      </c>
      <c r="B115" s="9" t="s">
        <v>66</v>
      </c>
      <c r="C115" s="9">
        <v>5.43</v>
      </c>
      <c r="D115" s="9">
        <v>-0.15</v>
      </c>
      <c r="E115" s="9">
        <v>-0.16</v>
      </c>
      <c r="F115" s="9">
        <v>4.6399999999999997</v>
      </c>
      <c r="G115" s="9">
        <v>-0.1</v>
      </c>
      <c r="H115" s="9">
        <v>0.01</v>
      </c>
      <c r="I115" s="9">
        <v>9.67</v>
      </c>
      <c r="J115" s="9">
        <v>64.5</v>
      </c>
      <c r="K115" s="9">
        <v>21</v>
      </c>
      <c r="L115" s="9">
        <v>33.4</v>
      </c>
      <c r="M115" s="10">
        <v>50.5</v>
      </c>
      <c r="N115" s="10">
        <v>7.5</v>
      </c>
      <c r="O115" s="11"/>
      <c r="P115" s="11"/>
      <c r="Q115" s="11"/>
    </row>
    <row r="116" spans="1:17">
      <c r="A116" s="9">
        <v>5</v>
      </c>
      <c r="B116" s="9" t="s">
        <v>67</v>
      </c>
      <c r="C116" s="9">
        <v>5.24</v>
      </c>
      <c r="D116" s="9">
        <v>-0.08</v>
      </c>
      <c r="E116" s="9">
        <v>-0.2</v>
      </c>
      <c r="F116" s="9">
        <v>4.6399999999999997</v>
      </c>
      <c r="G116" s="9">
        <v>-7.0000000000000007E-2</v>
      </c>
      <c r="H116" s="9">
        <v>-3.6999999999999998E-2</v>
      </c>
      <c r="I116" s="9">
        <v>9.49</v>
      </c>
      <c r="J116" s="9">
        <v>61.4</v>
      </c>
      <c r="K116" s="9">
        <v>29.8</v>
      </c>
      <c r="L116" s="9">
        <v>35.200000000000003</v>
      </c>
      <c r="M116" s="10">
        <v>46.1</v>
      </c>
      <c r="N116" s="10">
        <v>8.9</v>
      </c>
      <c r="O116" s="11"/>
      <c r="P116" s="11"/>
      <c r="Q116" s="11"/>
    </row>
    <row r="117" spans="1:17">
      <c r="A117" s="9">
        <v>5</v>
      </c>
      <c r="B117" s="9" t="s">
        <v>69</v>
      </c>
      <c r="C117" s="9">
        <v>5.31</v>
      </c>
      <c r="D117" s="9">
        <v>0.01</v>
      </c>
      <c r="E117" s="9">
        <v>-0.09</v>
      </c>
      <c r="F117" s="9">
        <v>4.6399999999999997</v>
      </c>
      <c r="G117" s="9">
        <v>0.02</v>
      </c>
      <c r="H117" s="9">
        <v>-8.4000000000000005E-2</v>
      </c>
      <c r="I117" s="9">
        <v>9.8000000000000007</v>
      </c>
      <c r="J117" s="9">
        <v>63.4</v>
      </c>
      <c r="K117" s="9">
        <v>26</v>
      </c>
      <c r="L117" s="9">
        <v>36.1</v>
      </c>
      <c r="M117" s="10">
        <v>66.400000000000006</v>
      </c>
      <c r="N117" s="10">
        <v>17.7</v>
      </c>
      <c r="O117" s="11"/>
      <c r="P117" s="11"/>
      <c r="Q117" s="11"/>
    </row>
    <row r="118" spans="1:17">
      <c r="A118" s="9">
        <v>5</v>
      </c>
      <c r="B118" s="9" t="s">
        <v>71</v>
      </c>
      <c r="C118" s="9">
        <v>5.03</v>
      </c>
      <c r="D118" s="9">
        <v>-0.04</v>
      </c>
      <c r="E118" s="9">
        <v>0.11</v>
      </c>
      <c r="F118" s="9">
        <v>4.6399999999999997</v>
      </c>
      <c r="G118" s="9">
        <v>0.03</v>
      </c>
      <c r="H118" s="9">
        <v>-1.2999999999999999E-2</v>
      </c>
      <c r="I118" s="9">
        <v>9.75</v>
      </c>
      <c r="J118" s="9">
        <v>56.5</v>
      </c>
      <c r="K118" s="9">
        <v>16.7</v>
      </c>
      <c r="L118" s="9">
        <v>35.5</v>
      </c>
      <c r="M118" s="10">
        <v>66.3</v>
      </c>
      <c r="N118" s="10">
        <v>29.3</v>
      </c>
      <c r="O118" s="11"/>
      <c r="P118" s="11"/>
      <c r="Q118" s="11"/>
    </row>
    <row r="119" spans="1:17">
      <c r="A119" s="9">
        <v>5</v>
      </c>
      <c r="B119" s="9" t="s">
        <v>72</v>
      </c>
      <c r="C119" s="9">
        <v>4.84</v>
      </c>
      <c r="D119" s="9">
        <v>0.2</v>
      </c>
      <c r="E119" s="9">
        <v>0.27</v>
      </c>
      <c r="F119" s="9">
        <v>4.6399999999999997</v>
      </c>
      <c r="G119" s="9">
        <v>0.05</v>
      </c>
      <c r="H119" s="9">
        <v>0.01</v>
      </c>
      <c r="I119" s="9">
        <v>10.01</v>
      </c>
      <c r="J119" s="9">
        <v>53.1</v>
      </c>
      <c r="K119" s="9">
        <v>13.6</v>
      </c>
      <c r="L119" s="9">
        <v>34.700000000000003</v>
      </c>
      <c r="M119" s="10">
        <v>63.7</v>
      </c>
      <c r="N119" s="10">
        <v>21.1</v>
      </c>
      <c r="O119" s="11"/>
      <c r="P119" s="11"/>
      <c r="Q119" s="11"/>
    </row>
    <row r="120" spans="1:17">
      <c r="A120" s="9">
        <v>5</v>
      </c>
      <c r="B120" s="9" t="s">
        <v>74</v>
      </c>
      <c r="C120" s="9">
        <v>5.15</v>
      </c>
      <c r="D120" s="9">
        <v>0.01</v>
      </c>
      <c r="E120" s="9">
        <v>0.01</v>
      </c>
      <c r="F120" s="9">
        <v>4.6399999999999997</v>
      </c>
      <c r="G120" s="9">
        <v>-0.02</v>
      </c>
      <c r="H120" s="9">
        <v>0.01</v>
      </c>
      <c r="I120" s="9">
        <v>9.81</v>
      </c>
      <c r="J120" s="9">
        <v>60.4</v>
      </c>
      <c r="K120" s="9">
        <v>18.399999999999999</v>
      </c>
      <c r="L120" s="9">
        <v>33.799999999999997</v>
      </c>
      <c r="M120" s="10">
        <v>61.2</v>
      </c>
      <c r="N120" s="10">
        <v>19.600000000000001</v>
      </c>
      <c r="O120" s="11"/>
      <c r="P120" s="11"/>
      <c r="Q120" s="11"/>
    </row>
    <row r="121" spans="1:17">
      <c r="A121" s="9">
        <v>5</v>
      </c>
      <c r="B121" s="9" t="s">
        <v>75</v>
      </c>
      <c r="C121" s="9">
        <v>5.22</v>
      </c>
      <c r="D121" s="9">
        <v>7.0000000000000007E-2</v>
      </c>
      <c r="E121" s="9">
        <v>-0.15</v>
      </c>
      <c r="F121" s="9">
        <v>4.6399999999999997</v>
      </c>
      <c r="G121" s="9">
        <v>-0.06</v>
      </c>
      <c r="H121" s="9">
        <v>0.01</v>
      </c>
      <c r="I121" s="9">
        <v>9.73</v>
      </c>
      <c r="J121" s="9">
        <v>62.2</v>
      </c>
      <c r="K121" s="9">
        <v>20.100000000000001</v>
      </c>
      <c r="L121" s="9">
        <v>34.9</v>
      </c>
      <c r="M121" s="10">
        <v>65.099999999999994</v>
      </c>
      <c r="N121" s="10">
        <v>18.899999999999999</v>
      </c>
      <c r="O121" s="11"/>
      <c r="P121" s="11"/>
      <c r="Q121" s="11"/>
    </row>
    <row r="122" spans="1:17">
      <c r="A122" s="9">
        <v>5</v>
      </c>
      <c r="B122" s="9" t="s">
        <v>79</v>
      </c>
      <c r="C122" s="9">
        <v>5.36</v>
      </c>
      <c r="D122" s="9">
        <v>0.06</v>
      </c>
      <c r="E122" s="9">
        <v>0.01</v>
      </c>
      <c r="F122" s="9">
        <v>4.6399999999999997</v>
      </c>
      <c r="G122" s="9">
        <v>0.02</v>
      </c>
      <c r="H122" s="9">
        <v>-7.0000000000000001E-3</v>
      </c>
      <c r="I122" s="9">
        <v>10.09</v>
      </c>
      <c r="J122" s="9">
        <v>58.6</v>
      </c>
      <c r="K122" s="9">
        <v>17.600000000000001</v>
      </c>
      <c r="L122" s="9">
        <v>36.1</v>
      </c>
      <c r="M122" s="10">
        <v>58.7</v>
      </c>
      <c r="N122" s="10">
        <v>22.5</v>
      </c>
      <c r="O122" s="11"/>
      <c r="P122" s="11"/>
      <c r="Q122" s="11"/>
    </row>
    <row r="123" spans="1:17">
      <c r="A123" s="9">
        <v>5</v>
      </c>
      <c r="B123" s="9" t="s">
        <v>80</v>
      </c>
      <c r="C123" s="9">
        <v>5.33</v>
      </c>
      <c r="D123" s="9">
        <v>0.17</v>
      </c>
      <c r="E123" s="9">
        <v>0.13</v>
      </c>
      <c r="F123" s="9">
        <v>4.6399999999999997</v>
      </c>
      <c r="G123" s="9">
        <v>0.01</v>
      </c>
      <c r="H123" s="9">
        <v>0.01</v>
      </c>
      <c r="I123" s="9">
        <v>10.29</v>
      </c>
      <c r="J123" s="9">
        <v>46.8</v>
      </c>
      <c r="K123" s="9">
        <v>12.6</v>
      </c>
      <c r="L123" s="9">
        <v>35.5</v>
      </c>
      <c r="M123" s="10">
        <v>57</v>
      </c>
      <c r="N123" s="10">
        <v>27.4</v>
      </c>
      <c r="O123" s="11"/>
      <c r="P123" s="11"/>
      <c r="Q123" s="11"/>
    </row>
    <row r="124" spans="1:17">
      <c r="A124" s="9">
        <v>5</v>
      </c>
      <c r="B124" s="9" t="s">
        <v>81</v>
      </c>
      <c r="C124" s="9">
        <v>5.53</v>
      </c>
      <c r="D124" s="9">
        <v>0.03</v>
      </c>
      <c r="E124" s="9">
        <v>-0.02</v>
      </c>
      <c r="F124" s="9">
        <v>4.6399999999999997</v>
      </c>
      <c r="G124" s="9">
        <v>-0.02</v>
      </c>
      <c r="H124" s="9">
        <v>0.01</v>
      </c>
      <c r="I124" s="9">
        <v>10.17</v>
      </c>
      <c r="J124" s="9">
        <v>54</v>
      </c>
      <c r="K124" s="9">
        <v>15.9</v>
      </c>
      <c r="L124" s="9">
        <v>34.700000000000003</v>
      </c>
      <c r="M124" s="10">
        <v>55.1</v>
      </c>
      <c r="N124" s="10">
        <v>14.7</v>
      </c>
      <c r="O124" s="11"/>
      <c r="P124" s="11"/>
      <c r="Q124" s="11"/>
    </row>
    <row r="125" spans="1:17">
      <c r="A125" s="9">
        <v>5</v>
      </c>
      <c r="B125" s="9" t="s">
        <v>82</v>
      </c>
      <c r="C125" s="9">
        <v>5.96</v>
      </c>
      <c r="D125" s="9">
        <v>-0.03</v>
      </c>
      <c r="E125" s="9">
        <v>-0.44</v>
      </c>
      <c r="F125" s="9">
        <v>4.6399999999999997</v>
      </c>
      <c r="G125" s="9">
        <v>0.09</v>
      </c>
      <c r="H125" s="9">
        <v>-7.6999999999999999E-2</v>
      </c>
      <c r="I125" s="9">
        <v>10.14</v>
      </c>
      <c r="J125" s="9">
        <v>54.7</v>
      </c>
      <c r="K125" s="9">
        <v>21.4</v>
      </c>
      <c r="L125" s="9">
        <v>37.200000000000003</v>
      </c>
      <c r="M125" s="10">
        <v>50.3</v>
      </c>
      <c r="N125" s="10">
        <v>11.8</v>
      </c>
      <c r="O125" s="11"/>
      <c r="P125" s="11"/>
      <c r="Q125" s="11"/>
    </row>
    <row r="126" spans="1:17">
      <c r="A126" s="9">
        <v>5</v>
      </c>
      <c r="B126" s="9" t="s">
        <v>83</v>
      </c>
      <c r="C126" s="9">
        <v>5.95</v>
      </c>
      <c r="D126" s="9">
        <v>-0.05</v>
      </c>
      <c r="E126" s="9">
        <v>-0.5</v>
      </c>
      <c r="F126" s="9">
        <v>4.6399999999999997</v>
      </c>
      <c r="G126" s="9">
        <v>-0.09</v>
      </c>
      <c r="H126" s="9">
        <v>-2E-3</v>
      </c>
      <c r="I126" s="9">
        <v>9.94</v>
      </c>
      <c r="J126" s="9">
        <v>53.8</v>
      </c>
      <c r="K126" s="9">
        <v>17.899999999999999</v>
      </c>
      <c r="L126" s="9">
        <v>36</v>
      </c>
      <c r="M126" s="10">
        <v>58.1</v>
      </c>
      <c r="N126" s="10">
        <v>15.2</v>
      </c>
      <c r="O126" s="11"/>
      <c r="P126" s="11"/>
      <c r="Q126" s="11"/>
    </row>
    <row r="127" spans="1:17">
      <c r="A127" s="9">
        <v>5</v>
      </c>
      <c r="B127" s="9" t="s">
        <v>84</v>
      </c>
      <c r="C127" s="9">
        <v>6.09</v>
      </c>
      <c r="D127" s="9">
        <v>-0.16</v>
      </c>
      <c r="E127" s="9">
        <v>-0.67</v>
      </c>
      <c r="F127" s="9">
        <v>4.6399999999999997</v>
      </c>
      <c r="G127" s="9">
        <v>-7.0000000000000007E-2</v>
      </c>
      <c r="H127" s="9">
        <v>-1.7999999999999999E-2</v>
      </c>
      <c r="I127" s="9">
        <v>9.82</v>
      </c>
      <c r="J127" s="9">
        <v>55.5</v>
      </c>
      <c r="K127" s="9">
        <v>20.399999999999999</v>
      </c>
      <c r="L127" s="9">
        <v>35</v>
      </c>
      <c r="M127" s="10">
        <v>57.8</v>
      </c>
      <c r="N127" s="10">
        <v>23.5</v>
      </c>
      <c r="O127" s="11"/>
      <c r="P127" s="11"/>
      <c r="Q127" s="11"/>
    </row>
    <row r="128" spans="1:17">
      <c r="A128" s="9">
        <v>5</v>
      </c>
      <c r="B128" s="9" t="s">
        <v>85</v>
      </c>
      <c r="C128" s="9">
        <v>6.4</v>
      </c>
      <c r="D128" s="9">
        <v>-0.31</v>
      </c>
      <c r="E128" s="9">
        <v>-0.55000000000000004</v>
      </c>
      <c r="F128" s="9">
        <v>4.6399999999999997</v>
      </c>
      <c r="G128" s="9">
        <v>7.0000000000000007E-2</v>
      </c>
      <c r="H128" s="9">
        <v>0.01</v>
      </c>
      <c r="I128" s="9">
        <v>10.26</v>
      </c>
      <c r="J128" s="9">
        <v>66.8</v>
      </c>
      <c r="K128" s="9">
        <v>23.5</v>
      </c>
      <c r="L128" s="9">
        <v>34.4</v>
      </c>
      <c r="M128" s="10">
        <v>55.6</v>
      </c>
      <c r="N128" s="10">
        <v>15.6</v>
      </c>
      <c r="O128" s="11"/>
      <c r="P128" s="11"/>
      <c r="Q128" s="11"/>
    </row>
    <row r="129" spans="1:17">
      <c r="A129" s="9">
        <v>5</v>
      </c>
      <c r="B129" s="9" t="s">
        <v>86</v>
      </c>
      <c r="C129" s="9">
        <v>5.61</v>
      </c>
      <c r="D129" s="9">
        <v>7.0000000000000007E-2</v>
      </c>
      <c r="E129" s="9">
        <v>-0.18</v>
      </c>
      <c r="F129" s="9">
        <v>4.6399999999999997</v>
      </c>
      <c r="G129" s="9">
        <v>-0.08</v>
      </c>
      <c r="H129" s="9">
        <v>0.01</v>
      </c>
      <c r="I129" s="9">
        <v>10.07</v>
      </c>
      <c r="J129" s="9">
        <v>57.9</v>
      </c>
      <c r="K129" s="9">
        <v>35.200000000000003</v>
      </c>
      <c r="L129" s="9">
        <v>33.4</v>
      </c>
      <c r="M129" s="10">
        <v>45.2</v>
      </c>
      <c r="N129" s="10">
        <v>12.5</v>
      </c>
      <c r="O129" s="11"/>
      <c r="P129" s="11"/>
      <c r="Q129" s="11"/>
    </row>
    <row r="130" spans="1:17">
      <c r="A130" s="9">
        <v>5</v>
      </c>
      <c r="B130" s="9" t="s">
        <v>88</v>
      </c>
      <c r="C130" s="9">
        <v>5.43</v>
      </c>
      <c r="D130" s="9">
        <v>0.04</v>
      </c>
      <c r="E130" s="9">
        <v>-0.14000000000000001</v>
      </c>
      <c r="F130" s="9">
        <v>4.6399999999999997</v>
      </c>
      <c r="G130" s="9">
        <v>-0.06</v>
      </c>
      <c r="H130" s="9">
        <v>0.01</v>
      </c>
      <c r="I130" s="9">
        <v>9.92</v>
      </c>
      <c r="J130" s="9">
        <v>56.2</v>
      </c>
      <c r="K130" s="9">
        <v>18</v>
      </c>
      <c r="L130" s="9">
        <v>34.5</v>
      </c>
      <c r="M130" s="10">
        <v>50.9</v>
      </c>
      <c r="N130" s="10">
        <v>14.3</v>
      </c>
      <c r="O130" s="11"/>
      <c r="P130" s="11"/>
      <c r="Q130" s="11"/>
    </row>
    <row r="131" spans="1:17">
      <c r="A131" s="9">
        <v>5</v>
      </c>
      <c r="B131" s="9" t="s">
        <v>89</v>
      </c>
      <c r="C131" s="9">
        <v>5.73</v>
      </c>
      <c r="D131" s="9">
        <v>-0.19</v>
      </c>
      <c r="E131" s="9">
        <v>-0.1</v>
      </c>
      <c r="F131" s="9">
        <v>4.6399999999999997</v>
      </c>
      <c r="G131" s="9">
        <v>-0.13</v>
      </c>
      <c r="H131" s="9">
        <v>0.01</v>
      </c>
      <c r="I131" s="9">
        <v>9.9600000000000009</v>
      </c>
      <c r="J131" s="9">
        <v>55.2</v>
      </c>
      <c r="K131" s="9">
        <v>19.5</v>
      </c>
      <c r="L131" s="9">
        <v>33.6</v>
      </c>
      <c r="M131" s="10">
        <v>49.6</v>
      </c>
      <c r="N131" s="10">
        <v>23.5</v>
      </c>
      <c r="O131" s="11"/>
      <c r="P131" s="11"/>
      <c r="Q131" s="11"/>
    </row>
    <row r="132" spans="1:17">
      <c r="A132" s="9">
        <v>5</v>
      </c>
      <c r="B132" s="9" t="s">
        <v>90</v>
      </c>
      <c r="C132" s="9">
        <v>6.11</v>
      </c>
      <c r="D132" s="9">
        <v>-0.12</v>
      </c>
      <c r="E132" s="9">
        <v>-0.35</v>
      </c>
      <c r="F132" s="9">
        <v>4.6399999999999997</v>
      </c>
      <c r="G132" s="9">
        <v>-0.04</v>
      </c>
      <c r="H132" s="9">
        <v>0.01</v>
      </c>
      <c r="I132" s="9">
        <v>10.25</v>
      </c>
      <c r="J132" s="9">
        <v>54.4</v>
      </c>
      <c r="K132" s="9">
        <v>27.3</v>
      </c>
      <c r="L132" s="9">
        <v>36</v>
      </c>
      <c r="M132" s="10">
        <v>49.4</v>
      </c>
      <c r="N132" s="10">
        <v>19.600000000000001</v>
      </c>
      <c r="O132" s="11"/>
      <c r="P132" s="11"/>
      <c r="Q132" s="11"/>
    </row>
    <row r="133" spans="1:17">
      <c r="A133" s="9">
        <v>5</v>
      </c>
      <c r="B133" s="9" t="s">
        <v>91</v>
      </c>
      <c r="C133" s="9">
        <v>6.05</v>
      </c>
      <c r="D133" s="9">
        <v>-7.0000000000000007E-2</v>
      </c>
      <c r="E133" s="9">
        <v>-0.33</v>
      </c>
      <c r="F133" s="9">
        <v>4.6399999999999997</v>
      </c>
      <c r="G133" s="9">
        <v>-0.04</v>
      </c>
      <c r="H133" s="9">
        <v>-2.1000000000000001E-2</v>
      </c>
      <c r="I133" s="9">
        <v>10.23</v>
      </c>
      <c r="J133" s="9">
        <v>54.7</v>
      </c>
      <c r="K133" s="9">
        <v>35.9</v>
      </c>
      <c r="L133" s="9">
        <v>35.6</v>
      </c>
      <c r="M133" s="10">
        <v>53.1</v>
      </c>
      <c r="N133" s="10">
        <v>16.100000000000001</v>
      </c>
      <c r="O133" s="11"/>
      <c r="P133" s="11"/>
      <c r="Q133" s="11"/>
    </row>
    <row r="134" spans="1:17">
      <c r="A134" s="9">
        <v>5</v>
      </c>
      <c r="B134" s="9" t="s">
        <v>92</v>
      </c>
      <c r="C134" s="9">
        <v>5.87</v>
      </c>
      <c r="D134" s="9">
        <v>0.02</v>
      </c>
      <c r="E134" s="9">
        <v>-0.45</v>
      </c>
      <c r="F134" s="9">
        <v>4.6399999999999997</v>
      </c>
      <c r="G134" s="9">
        <v>-0.08</v>
      </c>
      <c r="H134" s="9">
        <v>0.01</v>
      </c>
      <c r="I134" s="9">
        <v>10.01</v>
      </c>
      <c r="J134" s="9">
        <v>59.2</v>
      </c>
      <c r="K134" s="9">
        <v>18.899999999999999</v>
      </c>
      <c r="L134" s="9">
        <v>34.299999999999997</v>
      </c>
      <c r="M134" s="10">
        <v>65.3</v>
      </c>
      <c r="N134" s="10">
        <v>25.8</v>
      </c>
      <c r="O134" s="11"/>
      <c r="P134" s="11"/>
      <c r="Q134" s="11"/>
    </row>
    <row r="135" spans="1:17">
      <c r="A135" s="9">
        <v>5</v>
      </c>
      <c r="B135" s="9" t="s">
        <v>93</v>
      </c>
      <c r="C135" s="9">
        <v>6.05</v>
      </c>
      <c r="D135" s="9">
        <v>-0.16</v>
      </c>
      <c r="E135" s="9">
        <v>-0.38</v>
      </c>
      <c r="F135" s="9">
        <v>4.6399999999999997</v>
      </c>
      <c r="G135" s="9">
        <v>-0.06</v>
      </c>
      <c r="H135" s="9">
        <v>0.01</v>
      </c>
      <c r="I135" s="9">
        <v>10.1</v>
      </c>
      <c r="J135" s="9">
        <v>61.5</v>
      </c>
      <c r="K135" s="9">
        <v>16.5</v>
      </c>
      <c r="L135" s="9">
        <v>31.8</v>
      </c>
      <c r="M135" s="10">
        <v>56.8</v>
      </c>
      <c r="N135" s="10">
        <v>31.6</v>
      </c>
      <c r="O135" s="11"/>
      <c r="P135" s="11"/>
      <c r="Q135" s="11"/>
    </row>
    <row r="136" spans="1:17">
      <c r="A136" s="9">
        <v>5</v>
      </c>
      <c r="B136" s="9" t="s">
        <v>94</v>
      </c>
      <c r="C136" s="9">
        <v>5.91</v>
      </c>
      <c r="D136" s="9">
        <v>0.05</v>
      </c>
      <c r="E136" s="9">
        <v>-0.28999999999999998</v>
      </c>
      <c r="F136" s="9">
        <v>4.6399999999999997</v>
      </c>
      <c r="G136" s="9">
        <v>0.04</v>
      </c>
      <c r="H136" s="9">
        <v>0.01</v>
      </c>
      <c r="I136" s="9">
        <v>10.36</v>
      </c>
      <c r="J136" s="9">
        <v>52.3</v>
      </c>
      <c r="K136" s="9">
        <v>14</v>
      </c>
      <c r="L136" s="9">
        <v>34.5</v>
      </c>
      <c r="M136" s="10">
        <v>54.7</v>
      </c>
      <c r="N136" s="10">
        <v>19.7</v>
      </c>
      <c r="O136" s="11"/>
      <c r="P136" s="11"/>
      <c r="Q136" s="11"/>
    </row>
    <row r="137" spans="1:17">
      <c r="A137" s="9">
        <v>5</v>
      </c>
      <c r="B137" s="9" t="s">
        <v>95</v>
      </c>
      <c r="C137" s="9">
        <v>6.92</v>
      </c>
      <c r="D137" s="9">
        <v>-0.2</v>
      </c>
      <c r="E137" s="9">
        <v>-0.71</v>
      </c>
      <c r="F137" s="9">
        <v>4.6399999999999997</v>
      </c>
      <c r="G137" s="9">
        <v>-0.11</v>
      </c>
      <c r="H137" s="9">
        <v>-2.3E-2</v>
      </c>
      <c r="I137" s="9">
        <v>10.51</v>
      </c>
      <c r="J137" s="9">
        <v>55.6</v>
      </c>
      <c r="K137" s="9">
        <v>18</v>
      </c>
      <c r="L137" s="9">
        <v>35.1</v>
      </c>
      <c r="M137" s="10">
        <v>51.2</v>
      </c>
      <c r="N137" s="10">
        <v>18.8</v>
      </c>
      <c r="O137" s="11"/>
      <c r="P137" s="11"/>
      <c r="Q137" s="11"/>
    </row>
    <row r="138" spans="1:17">
      <c r="A138" s="9">
        <v>5</v>
      </c>
      <c r="B138" s="9" t="s">
        <v>96</v>
      </c>
      <c r="C138" s="9">
        <v>6.6</v>
      </c>
      <c r="D138" s="9">
        <v>-0.23</v>
      </c>
      <c r="E138" s="9">
        <v>-0.77</v>
      </c>
      <c r="F138" s="9">
        <v>4.6399999999999997</v>
      </c>
      <c r="G138" s="9">
        <v>-0.04</v>
      </c>
      <c r="H138" s="9">
        <v>2E-3</v>
      </c>
      <c r="I138" s="9">
        <v>10.210000000000001</v>
      </c>
      <c r="J138" s="9">
        <v>55.8</v>
      </c>
      <c r="K138" s="9">
        <v>28.1</v>
      </c>
      <c r="L138" s="9">
        <v>34.4</v>
      </c>
      <c r="M138" s="10">
        <v>54.7</v>
      </c>
      <c r="N138" s="10">
        <v>24.2</v>
      </c>
      <c r="O138" s="11"/>
      <c r="P138" s="11"/>
      <c r="Q138" s="11"/>
    </row>
    <row r="139" spans="1:17">
      <c r="A139" s="9">
        <v>5</v>
      </c>
      <c r="B139" s="9" t="s">
        <v>97</v>
      </c>
      <c r="C139" s="9">
        <v>6.4</v>
      </c>
      <c r="D139" s="9">
        <v>-0.08</v>
      </c>
      <c r="E139" s="9">
        <v>-0.62</v>
      </c>
      <c r="F139" s="9">
        <v>4.6399999999999997</v>
      </c>
      <c r="G139" s="9">
        <v>0.03</v>
      </c>
      <c r="H139" s="9">
        <v>-4.7E-2</v>
      </c>
      <c r="I139" s="9">
        <v>10.32</v>
      </c>
      <c r="J139" s="9">
        <v>62</v>
      </c>
      <c r="K139" s="9">
        <v>31.1</v>
      </c>
      <c r="L139" s="9">
        <v>35</v>
      </c>
      <c r="M139" s="10">
        <v>52.3</v>
      </c>
      <c r="N139" s="10">
        <v>36.1</v>
      </c>
      <c r="O139" s="11"/>
      <c r="P139" s="11"/>
      <c r="Q139" s="11"/>
    </row>
    <row r="140" spans="1:17">
      <c r="A140" s="9">
        <v>5</v>
      </c>
      <c r="B140" s="9" t="s">
        <v>98</v>
      </c>
      <c r="C140" s="9">
        <v>6.43</v>
      </c>
      <c r="D140" s="9">
        <v>-0.22</v>
      </c>
      <c r="E140" s="9">
        <v>-0.6</v>
      </c>
      <c r="F140" s="9">
        <v>4.6399999999999997</v>
      </c>
      <c r="G140" s="9">
        <v>-0.03</v>
      </c>
      <c r="H140" s="9">
        <v>-1.9E-2</v>
      </c>
      <c r="I140" s="9">
        <v>10.199999999999999</v>
      </c>
      <c r="J140" s="9">
        <v>64.900000000000006</v>
      </c>
      <c r="K140" s="9">
        <v>29.1</v>
      </c>
      <c r="L140" s="9">
        <v>35.1</v>
      </c>
      <c r="M140" s="10">
        <v>58.3</v>
      </c>
      <c r="N140" s="10">
        <v>22.1</v>
      </c>
      <c r="O140" s="11"/>
      <c r="P140" s="11"/>
      <c r="Q140" s="11"/>
    </row>
    <row r="141" spans="1:17">
      <c r="A141" s="9">
        <v>5</v>
      </c>
      <c r="B141" s="9" t="s">
        <v>99</v>
      </c>
      <c r="C141" s="9">
        <v>6.05</v>
      </c>
      <c r="D141" s="9">
        <v>-0.1</v>
      </c>
      <c r="E141" s="9">
        <v>-0.75</v>
      </c>
      <c r="F141" s="9">
        <v>4.6399999999999997</v>
      </c>
      <c r="G141" s="9">
        <v>-0.08</v>
      </c>
      <c r="H141" s="9">
        <v>-3.0000000000000001E-3</v>
      </c>
      <c r="I141" s="9">
        <v>9.76</v>
      </c>
      <c r="J141" s="9">
        <v>55.9</v>
      </c>
      <c r="K141" s="9">
        <v>15.7</v>
      </c>
      <c r="L141" s="9">
        <v>34.9</v>
      </c>
      <c r="M141" s="10">
        <v>61.2</v>
      </c>
      <c r="N141" s="10">
        <v>17.7</v>
      </c>
      <c r="O141" s="11"/>
      <c r="P141" s="11"/>
      <c r="Q141" s="11"/>
    </row>
    <row r="142" spans="1:17">
      <c r="A142" s="9">
        <v>5</v>
      </c>
      <c r="B142" s="9" t="s">
        <v>100</v>
      </c>
      <c r="C142" s="9">
        <v>6.59</v>
      </c>
      <c r="D142" s="9">
        <v>-0.06</v>
      </c>
      <c r="E142" s="9">
        <v>-0.88</v>
      </c>
      <c r="F142" s="9">
        <v>4.6399999999999997</v>
      </c>
      <c r="G142" s="9">
        <v>0.02</v>
      </c>
      <c r="H142" s="9">
        <v>-5.6000000000000001E-2</v>
      </c>
      <c r="I142" s="9">
        <v>10.26</v>
      </c>
      <c r="J142" s="9">
        <v>49</v>
      </c>
      <c r="K142" s="9">
        <v>16</v>
      </c>
      <c r="L142" s="9">
        <v>34.6</v>
      </c>
      <c r="M142" s="10">
        <v>51.5</v>
      </c>
      <c r="N142" s="10">
        <v>17.3</v>
      </c>
      <c r="O142" s="11"/>
      <c r="P142" s="11"/>
      <c r="Q142" s="11"/>
    </row>
    <row r="143" spans="1:17">
      <c r="A143" s="9">
        <v>5</v>
      </c>
      <c r="B143" s="9" t="s">
        <v>101</v>
      </c>
      <c r="C143" s="9">
        <v>6.64</v>
      </c>
      <c r="D143" s="9">
        <v>0.25</v>
      </c>
      <c r="E143" s="9">
        <v>-1.59</v>
      </c>
      <c r="F143" s="9">
        <v>4.6399999999999997</v>
      </c>
      <c r="G143" s="9">
        <v>-0.04</v>
      </c>
      <c r="H143" s="9">
        <v>-1.0999999999999999E-2</v>
      </c>
      <c r="I143" s="9">
        <v>9.89</v>
      </c>
      <c r="J143" s="9">
        <v>57.8</v>
      </c>
      <c r="K143" s="9">
        <v>28.9</v>
      </c>
      <c r="L143" s="9">
        <v>34.4</v>
      </c>
      <c r="M143" s="10">
        <v>53.4</v>
      </c>
      <c r="N143" s="10">
        <v>19.899999999999999</v>
      </c>
      <c r="O143" s="11"/>
      <c r="P143" s="11"/>
      <c r="Q143" s="11"/>
    </row>
    <row r="144" spans="1:17">
      <c r="A144" s="9">
        <v>6</v>
      </c>
      <c r="B144" s="9" t="s">
        <v>33</v>
      </c>
      <c r="C144" s="9">
        <v>6.26</v>
      </c>
      <c r="D144" s="9">
        <v>-0.31</v>
      </c>
      <c r="E144" s="9">
        <v>-0.25</v>
      </c>
      <c r="F144" s="9">
        <v>4.5999999999999996</v>
      </c>
      <c r="G144" s="9">
        <v>-0.1</v>
      </c>
      <c r="H144" s="9">
        <v>0.01</v>
      </c>
      <c r="I144" s="9">
        <v>10.210000000000001</v>
      </c>
      <c r="J144" s="9">
        <v>49.1</v>
      </c>
      <c r="K144" s="9">
        <v>11.7</v>
      </c>
      <c r="L144" s="9">
        <v>32.700000000000003</v>
      </c>
      <c r="M144" s="10">
        <v>55.3</v>
      </c>
      <c r="N144" s="10">
        <v>22.5</v>
      </c>
      <c r="O144" s="11"/>
      <c r="P144" s="11"/>
      <c r="Q144" s="11"/>
    </row>
    <row r="145" spans="1:17">
      <c r="A145" s="9">
        <v>6</v>
      </c>
      <c r="B145" s="9" t="s">
        <v>36</v>
      </c>
      <c r="C145" s="9">
        <v>6.26</v>
      </c>
      <c r="D145" s="9">
        <v>-0.32</v>
      </c>
      <c r="E145" s="9">
        <v>-0.81</v>
      </c>
      <c r="F145" s="9">
        <v>4.5999999999999996</v>
      </c>
      <c r="G145" s="9">
        <v>-0.25</v>
      </c>
      <c r="H145" s="9">
        <v>0.01</v>
      </c>
      <c r="I145" s="9">
        <v>9.49</v>
      </c>
      <c r="J145" s="9">
        <v>61.1</v>
      </c>
      <c r="K145" s="9">
        <v>22.2</v>
      </c>
      <c r="L145" s="9">
        <v>32.200000000000003</v>
      </c>
      <c r="M145" s="10">
        <v>58.5</v>
      </c>
      <c r="N145" s="10">
        <v>30.1</v>
      </c>
      <c r="O145" s="11"/>
      <c r="P145" s="11"/>
      <c r="Q145" s="11"/>
    </row>
    <row r="146" spans="1:17">
      <c r="A146" s="9">
        <v>6</v>
      </c>
      <c r="B146" s="9" t="s">
        <v>37</v>
      </c>
      <c r="C146" s="9">
        <v>6.04</v>
      </c>
      <c r="D146" s="9">
        <v>-0.32</v>
      </c>
      <c r="E146" s="9">
        <v>-0.6</v>
      </c>
      <c r="F146" s="9">
        <v>4.5999999999999996</v>
      </c>
      <c r="G146" s="9">
        <v>-0.1</v>
      </c>
      <c r="H146" s="9">
        <v>0.01</v>
      </c>
      <c r="I146" s="9">
        <v>9.6300000000000008</v>
      </c>
      <c r="J146" s="9">
        <v>62.5</v>
      </c>
      <c r="K146" s="9">
        <v>21.7</v>
      </c>
      <c r="L146" s="9">
        <v>33.5</v>
      </c>
      <c r="M146" s="10">
        <v>63.8</v>
      </c>
      <c r="N146" s="10">
        <v>26.5</v>
      </c>
      <c r="O146" s="11"/>
      <c r="P146" s="11"/>
      <c r="Q146" s="11"/>
    </row>
    <row r="147" spans="1:17">
      <c r="A147" s="9">
        <v>6</v>
      </c>
      <c r="B147" s="9" t="s">
        <v>39</v>
      </c>
      <c r="C147" s="9">
        <v>5.98</v>
      </c>
      <c r="D147" s="9">
        <v>-0.17</v>
      </c>
      <c r="E147" s="9">
        <v>-0.34</v>
      </c>
      <c r="F147" s="9">
        <v>4.5999999999999996</v>
      </c>
      <c r="G147" s="9">
        <v>-7.0000000000000007E-2</v>
      </c>
      <c r="H147" s="9">
        <v>0.01</v>
      </c>
      <c r="I147" s="9">
        <v>10.01</v>
      </c>
      <c r="J147" s="9">
        <v>64.400000000000006</v>
      </c>
      <c r="K147" s="9">
        <v>22.9</v>
      </c>
      <c r="L147" s="9">
        <v>33.1</v>
      </c>
      <c r="M147" s="10">
        <v>51.9</v>
      </c>
      <c r="N147" s="10">
        <v>21.7</v>
      </c>
      <c r="O147" s="11"/>
      <c r="P147" s="11"/>
      <c r="Q147" s="11"/>
    </row>
    <row r="148" spans="1:17">
      <c r="A148" s="9">
        <v>6</v>
      </c>
      <c r="B148" s="9" t="s">
        <v>40</v>
      </c>
      <c r="C148" s="9">
        <v>6.83</v>
      </c>
      <c r="D148" s="9">
        <v>-0.62</v>
      </c>
      <c r="E148" s="9">
        <v>-0.75</v>
      </c>
      <c r="F148" s="9">
        <v>4.5999999999999996</v>
      </c>
      <c r="G148" s="9">
        <v>-0.21</v>
      </c>
      <c r="H148" s="9">
        <v>-5.0000000000000001E-3</v>
      </c>
      <c r="I148" s="9">
        <v>9.85</v>
      </c>
      <c r="J148" s="9">
        <v>61.2</v>
      </c>
      <c r="K148" s="9">
        <v>31.9</v>
      </c>
      <c r="L148" s="9">
        <v>34.299999999999997</v>
      </c>
      <c r="M148" s="10">
        <v>50.5</v>
      </c>
      <c r="N148" s="10">
        <v>16.899999999999999</v>
      </c>
      <c r="O148" s="11"/>
      <c r="P148" s="11"/>
      <c r="Q148" s="11"/>
    </row>
    <row r="149" spans="1:17">
      <c r="A149" s="9">
        <v>6</v>
      </c>
      <c r="B149" s="9" t="s">
        <v>41</v>
      </c>
      <c r="C149" s="9">
        <v>6.2</v>
      </c>
      <c r="D149" s="9">
        <v>-0.28999999999999998</v>
      </c>
      <c r="E149" s="9">
        <v>-0.49</v>
      </c>
      <c r="F149" s="9">
        <v>4.5999999999999996</v>
      </c>
      <c r="G149" s="9">
        <v>-0.02</v>
      </c>
      <c r="H149" s="9">
        <v>-0.152</v>
      </c>
      <c r="I149" s="9">
        <v>9.84</v>
      </c>
      <c r="J149" s="9">
        <v>77.3</v>
      </c>
      <c r="K149" s="9">
        <v>25.7</v>
      </c>
      <c r="L149" s="9">
        <v>34.4</v>
      </c>
      <c r="M149" s="10">
        <v>55.8</v>
      </c>
      <c r="N149" s="10">
        <v>30.8</v>
      </c>
      <c r="O149" s="11"/>
      <c r="P149" s="11"/>
      <c r="Q149" s="11"/>
    </row>
    <row r="150" spans="1:17">
      <c r="A150" s="9">
        <v>6</v>
      </c>
      <c r="B150" s="9" t="s">
        <v>42</v>
      </c>
      <c r="C150" s="9">
        <v>5.49</v>
      </c>
      <c r="D150" s="9">
        <v>-0.19</v>
      </c>
      <c r="E150" s="9">
        <v>-0.28000000000000003</v>
      </c>
      <c r="F150" s="9">
        <v>4.5999999999999996</v>
      </c>
      <c r="G150" s="9">
        <v>-0.04</v>
      </c>
      <c r="H150" s="9">
        <v>0.01</v>
      </c>
      <c r="I150" s="9">
        <v>9.59</v>
      </c>
      <c r="J150" s="9">
        <v>58.2</v>
      </c>
      <c r="K150" s="9">
        <v>26.7</v>
      </c>
      <c r="L150" s="9">
        <v>34</v>
      </c>
      <c r="M150" s="9">
        <v>34.200000000000003</v>
      </c>
      <c r="N150" s="9">
        <v>83.3</v>
      </c>
    </row>
    <row r="151" spans="1:17">
      <c r="A151" s="9">
        <v>6</v>
      </c>
      <c r="B151" s="9" t="s">
        <v>43</v>
      </c>
      <c r="C151" s="9">
        <v>5.13</v>
      </c>
      <c r="D151" s="9">
        <v>-0.04</v>
      </c>
      <c r="E151" s="9">
        <v>0.03</v>
      </c>
      <c r="F151" s="9">
        <v>4.5999999999999996</v>
      </c>
      <c r="G151" s="9">
        <v>-0.06</v>
      </c>
      <c r="H151" s="9">
        <v>0.01</v>
      </c>
      <c r="I151" s="9">
        <v>9.66</v>
      </c>
      <c r="J151" s="9">
        <v>55.5</v>
      </c>
      <c r="K151" s="9">
        <v>15</v>
      </c>
      <c r="L151" s="9">
        <v>33.299999999999997</v>
      </c>
      <c r="M151" s="9">
        <v>35.200000000000003</v>
      </c>
      <c r="N151" s="9">
        <v>80.8</v>
      </c>
    </row>
    <row r="152" spans="1:17">
      <c r="A152" s="9">
        <v>6</v>
      </c>
      <c r="B152" s="9" t="s">
        <v>44</v>
      </c>
      <c r="C152" s="9">
        <v>5.4</v>
      </c>
      <c r="D152" s="9">
        <v>-7.0000000000000007E-2</v>
      </c>
      <c r="E152" s="9">
        <v>-0.06</v>
      </c>
      <c r="F152" s="9">
        <v>4.5999999999999996</v>
      </c>
      <c r="G152" s="9">
        <v>-0.03</v>
      </c>
      <c r="H152" s="9">
        <v>-4.8000000000000001E-2</v>
      </c>
      <c r="I152" s="9">
        <v>9.7899999999999991</v>
      </c>
      <c r="J152" s="9">
        <v>61</v>
      </c>
      <c r="K152" s="9">
        <v>25.4</v>
      </c>
      <c r="L152" s="9">
        <v>34.4</v>
      </c>
      <c r="M152" s="9">
        <v>36.6</v>
      </c>
      <c r="N152" s="9">
        <v>81.400000000000006</v>
      </c>
    </row>
    <row r="153" spans="1:17">
      <c r="A153" s="9">
        <v>6</v>
      </c>
      <c r="B153" s="9" t="s">
        <v>45</v>
      </c>
      <c r="C153" s="9">
        <v>5.28</v>
      </c>
      <c r="D153" s="9">
        <v>-0.02</v>
      </c>
      <c r="E153" s="9">
        <v>-0.08</v>
      </c>
      <c r="F153" s="9">
        <v>4.5999999999999996</v>
      </c>
      <c r="G153" s="9">
        <v>0.02</v>
      </c>
      <c r="H153" s="9">
        <v>0.01</v>
      </c>
      <c r="I153" s="9">
        <v>9.81</v>
      </c>
      <c r="J153" s="9">
        <v>55.2</v>
      </c>
      <c r="K153" s="9">
        <v>13.2</v>
      </c>
      <c r="L153" s="9">
        <v>33</v>
      </c>
      <c r="M153" s="9">
        <v>33.700000000000003</v>
      </c>
      <c r="N153" s="9">
        <v>82</v>
      </c>
    </row>
    <row r="154" spans="1:17">
      <c r="A154" s="9">
        <v>6</v>
      </c>
      <c r="B154" s="9" t="s">
        <v>47</v>
      </c>
      <c r="C154" s="9">
        <v>5.03</v>
      </c>
      <c r="D154" s="9">
        <v>-0.01</v>
      </c>
      <c r="E154" s="9">
        <v>0.13</v>
      </c>
      <c r="F154" s="9">
        <v>4.5999999999999996</v>
      </c>
      <c r="G154" s="9">
        <v>0.01</v>
      </c>
      <c r="H154" s="9">
        <v>0.01</v>
      </c>
      <c r="I154" s="9">
        <v>9.7799999999999994</v>
      </c>
      <c r="J154" s="9">
        <v>49.8</v>
      </c>
      <c r="K154" s="9">
        <v>8.4</v>
      </c>
      <c r="L154" s="9">
        <v>33.700000000000003</v>
      </c>
      <c r="M154" s="9">
        <v>32.200000000000003</v>
      </c>
      <c r="N154" s="9">
        <v>81.599999999999994</v>
      </c>
    </row>
    <row r="155" spans="1:17">
      <c r="A155" s="9">
        <v>6</v>
      </c>
      <c r="B155" s="9" t="s">
        <v>49</v>
      </c>
      <c r="C155" s="9">
        <v>5.12</v>
      </c>
      <c r="D155" s="9">
        <v>-0.08</v>
      </c>
      <c r="E155" s="9">
        <v>0.12</v>
      </c>
      <c r="F155" s="9">
        <v>4.5999999999999996</v>
      </c>
      <c r="G155" s="9">
        <v>0</v>
      </c>
      <c r="H155" s="9">
        <v>0.01</v>
      </c>
      <c r="I155" s="9">
        <v>9.77</v>
      </c>
      <c r="J155" s="9">
        <v>46.9</v>
      </c>
      <c r="K155" s="9">
        <v>14.4</v>
      </c>
      <c r="L155" s="9">
        <v>34.200000000000003</v>
      </c>
      <c r="M155" s="9">
        <v>32.200000000000003</v>
      </c>
      <c r="N155" s="9">
        <v>81.7</v>
      </c>
    </row>
    <row r="156" spans="1:17">
      <c r="A156" s="9">
        <v>6</v>
      </c>
      <c r="B156" s="9" t="s">
        <v>51</v>
      </c>
      <c r="C156" s="9">
        <v>4.4800000000000004</v>
      </c>
      <c r="D156" s="9">
        <v>0.16</v>
      </c>
      <c r="E156" s="9">
        <v>0.66</v>
      </c>
      <c r="F156" s="9">
        <v>4.5999999999999996</v>
      </c>
      <c r="G156" s="9">
        <v>7.0000000000000007E-2</v>
      </c>
      <c r="H156" s="9">
        <v>0.01</v>
      </c>
      <c r="I156" s="9">
        <v>9.98</v>
      </c>
      <c r="J156" s="9">
        <v>53.1</v>
      </c>
      <c r="K156" s="9">
        <v>9.5</v>
      </c>
      <c r="L156" s="9">
        <v>35.200000000000003</v>
      </c>
      <c r="M156" s="9">
        <v>34.1</v>
      </c>
      <c r="N156" s="9">
        <v>80.400000000000006</v>
      </c>
    </row>
    <row r="157" spans="1:17">
      <c r="A157" s="9">
        <v>6</v>
      </c>
      <c r="B157" s="9" t="s">
        <v>53</v>
      </c>
      <c r="C157" s="9">
        <v>5.0199999999999996</v>
      </c>
      <c r="D157" s="9">
        <v>-0.06</v>
      </c>
      <c r="E157" s="9">
        <v>0.38</v>
      </c>
      <c r="F157" s="9">
        <v>4.5999999999999996</v>
      </c>
      <c r="G157" s="9">
        <v>0.06</v>
      </c>
      <c r="H157" s="9">
        <v>0.01</v>
      </c>
      <c r="I157" s="9">
        <v>10.02</v>
      </c>
      <c r="J157" s="9">
        <v>48.2</v>
      </c>
      <c r="K157" s="9">
        <v>10.4</v>
      </c>
      <c r="L157" s="9">
        <v>34</v>
      </c>
      <c r="M157" s="9">
        <v>33.9</v>
      </c>
      <c r="N157" s="9">
        <v>80.900000000000006</v>
      </c>
    </row>
    <row r="158" spans="1:17">
      <c r="A158" s="9">
        <v>6</v>
      </c>
      <c r="B158" s="9" t="s">
        <v>55</v>
      </c>
      <c r="C158" s="9">
        <v>5.31</v>
      </c>
      <c r="D158" s="9">
        <v>-0.14000000000000001</v>
      </c>
      <c r="E158" s="9">
        <v>-0.31</v>
      </c>
      <c r="F158" s="9">
        <v>4.5999999999999996</v>
      </c>
      <c r="G158" s="9">
        <v>-0.08</v>
      </c>
      <c r="H158" s="9">
        <v>-0.02</v>
      </c>
      <c r="I158" s="9">
        <v>9.35</v>
      </c>
      <c r="J158" s="9">
        <v>69.900000000000006</v>
      </c>
      <c r="K158" s="9">
        <v>22</v>
      </c>
      <c r="L158" s="9">
        <v>33.5</v>
      </c>
      <c r="M158" s="9">
        <v>38.6</v>
      </c>
      <c r="N158" s="9">
        <v>82.9</v>
      </c>
    </row>
    <row r="159" spans="1:17">
      <c r="A159" s="9">
        <v>6</v>
      </c>
      <c r="B159" s="9" t="s">
        <v>57</v>
      </c>
      <c r="C159" s="9">
        <v>4.9800000000000004</v>
      </c>
      <c r="D159" s="9">
        <v>-7.0000000000000007E-2</v>
      </c>
      <c r="E159" s="9">
        <v>0.12</v>
      </c>
      <c r="F159" s="9">
        <v>4.5999999999999996</v>
      </c>
      <c r="G159" s="9">
        <v>0</v>
      </c>
      <c r="H159" s="9">
        <v>-0.01</v>
      </c>
      <c r="I159" s="9">
        <v>9.6199999999999992</v>
      </c>
      <c r="J159" s="9">
        <v>71.8</v>
      </c>
      <c r="K159" s="9">
        <v>31.9</v>
      </c>
      <c r="L159" s="9">
        <v>33.5</v>
      </c>
      <c r="M159" s="9">
        <v>39.4</v>
      </c>
      <c r="N159" s="9">
        <v>81.900000000000006</v>
      </c>
    </row>
    <row r="160" spans="1:17">
      <c r="A160" s="9">
        <v>6</v>
      </c>
      <c r="B160" s="9" t="s">
        <v>58</v>
      </c>
      <c r="C160" s="9">
        <v>5.33</v>
      </c>
      <c r="D160" s="9">
        <v>-0.02</v>
      </c>
      <c r="E160" s="9">
        <v>0.03</v>
      </c>
      <c r="F160" s="9">
        <v>4.5999999999999996</v>
      </c>
      <c r="G160" s="9">
        <v>-0.01</v>
      </c>
      <c r="H160" s="9">
        <v>0.01</v>
      </c>
      <c r="I160" s="9">
        <v>9.94</v>
      </c>
      <c r="J160" s="9">
        <v>66.599999999999994</v>
      </c>
      <c r="K160" s="9">
        <v>23.7</v>
      </c>
      <c r="L160" s="9">
        <v>33.9</v>
      </c>
      <c r="M160" s="9">
        <v>36</v>
      </c>
      <c r="N160" s="9">
        <v>81</v>
      </c>
    </row>
    <row r="161" spans="1:14">
      <c r="A161" s="9">
        <v>6</v>
      </c>
      <c r="B161" s="9" t="s">
        <v>60</v>
      </c>
      <c r="C161" s="9">
        <v>5.58</v>
      </c>
      <c r="D161" s="9">
        <v>-0.14000000000000001</v>
      </c>
      <c r="E161" s="9">
        <v>-0.03</v>
      </c>
      <c r="F161" s="9">
        <v>4.5999999999999996</v>
      </c>
      <c r="G161" s="9">
        <v>0.05</v>
      </c>
      <c r="H161" s="9">
        <v>0.01</v>
      </c>
      <c r="I161" s="9">
        <v>10.07</v>
      </c>
      <c r="J161" s="9">
        <v>65.400000000000006</v>
      </c>
      <c r="K161" s="9">
        <v>21.9</v>
      </c>
      <c r="L161" s="9">
        <v>34.200000000000003</v>
      </c>
      <c r="M161" s="9">
        <v>35.700000000000003</v>
      </c>
      <c r="N161" s="9">
        <v>79.900000000000006</v>
      </c>
    </row>
    <row r="162" spans="1:14">
      <c r="A162" s="9">
        <v>6</v>
      </c>
      <c r="B162" s="9" t="s">
        <v>66</v>
      </c>
      <c r="C162" s="9">
        <v>5.54</v>
      </c>
      <c r="D162" s="9">
        <v>-0.15</v>
      </c>
      <c r="E162" s="9">
        <v>-0.14000000000000001</v>
      </c>
      <c r="F162" s="9">
        <v>4.5999999999999996</v>
      </c>
      <c r="G162" s="9">
        <v>0.08</v>
      </c>
      <c r="H162" s="9">
        <v>0.01</v>
      </c>
      <c r="I162" s="9">
        <v>9.94</v>
      </c>
      <c r="J162" s="9">
        <v>67.8</v>
      </c>
      <c r="K162" s="9">
        <v>18.7</v>
      </c>
      <c r="L162" s="9">
        <v>33.299999999999997</v>
      </c>
      <c r="M162" s="9">
        <v>31.8</v>
      </c>
      <c r="N162" s="9">
        <v>80.8</v>
      </c>
    </row>
    <row r="163" spans="1:14">
      <c r="A163" s="9">
        <v>6</v>
      </c>
      <c r="B163" s="9" t="s">
        <v>67</v>
      </c>
      <c r="C163" s="9">
        <v>5.27</v>
      </c>
      <c r="D163" s="9">
        <v>-0.08</v>
      </c>
      <c r="E163" s="9">
        <v>-0.17</v>
      </c>
      <c r="F163" s="9">
        <v>4.5999999999999996</v>
      </c>
      <c r="G163" s="9">
        <v>-0.04</v>
      </c>
      <c r="H163" s="9">
        <v>-2.8000000000000001E-2</v>
      </c>
      <c r="I163" s="9">
        <v>9.5500000000000007</v>
      </c>
      <c r="J163" s="9">
        <v>64</v>
      </c>
      <c r="K163" s="9">
        <v>29.4</v>
      </c>
      <c r="L163" s="9">
        <v>34.6</v>
      </c>
      <c r="M163" s="9">
        <v>36.299999999999997</v>
      </c>
      <c r="N163" s="9">
        <v>82.6</v>
      </c>
    </row>
    <row r="164" spans="1:14">
      <c r="A164" s="9">
        <v>6</v>
      </c>
      <c r="B164" s="9" t="s">
        <v>69</v>
      </c>
      <c r="C164" s="9">
        <v>5.38</v>
      </c>
      <c r="D164" s="9">
        <v>0</v>
      </c>
      <c r="E164" s="9">
        <v>-0.09</v>
      </c>
      <c r="F164" s="9">
        <v>4.5999999999999996</v>
      </c>
      <c r="G164" s="9">
        <v>0.03</v>
      </c>
      <c r="H164" s="9">
        <v>-1.6E-2</v>
      </c>
      <c r="I164" s="9">
        <v>9.91</v>
      </c>
      <c r="J164" s="9">
        <v>64.8</v>
      </c>
      <c r="K164" s="9">
        <v>25.5</v>
      </c>
      <c r="L164" s="9">
        <v>34.9</v>
      </c>
      <c r="M164" s="9">
        <v>35.9</v>
      </c>
      <c r="N164" s="9">
        <v>80.400000000000006</v>
      </c>
    </row>
    <row r="165" spans="1:14">
      <c r="A165" s="9">
        <v>6</v>
      </c>
      <c r="B165" s="9" t="s">
        <v>71</v>
      </c>
      <c r="C165" s="9">
        <v>5.13</v>
      </c>
      <c r="D165" s="9">
        <v>-0.04</v>
      </c>
      <c r="E165" s="9">
        <v>0.1</v>
      </c>
      <c r="F165" s="9">
        <v>4.5999999999999996</v>
      </c>
      <c r="G165" s="9">
        <v>0.05</v>
      </c>
      <c r="H165" s="9">
        <v>0.01</v>
      </c>
      <c r="I165" s="9">
        <v>9.85</v>
      </c>
      <c r="J165" s="9">
        <v>59.4</v>
      </c>
      <c r="K165" s="9">
        <v>16.7</v>
      </c>
      <c r="L165" s="9">
        <v>34.700000000000003</v>
      </c>
      <c r="M165" s="9">
        <v>35.299999999999997</v>
      </c>
      <c r="N165" s="9">
        <v>82.1</v>
      </c>
    </row>
    <row r="166" spans="1:14">
      <c r="A166" s="9">
        <v>6</v>
      </c>
      <c r="B166" s="9" t="s">
        <v>72</v>
      </c>
      <c r="C166" s="9">
        <v>4.92</v>
      </c>
      <c r="D166" s="9">
        <v>0.19</v>
      </c>
      <c r="E166" s="9">
        <v>0.25</v>
      </c>
      <c r="F166" s="9">
        <v>4.5999999999999996</v>
      </c>
      <c r="G166" s="9">
        <v>0.05</v>
      </c>
      <c r="H166" s="9">
        <v>0.01</v>
      </c>
      <c r="I166" s="9">
        <v>10.02</v>
      </c>
      <c r="J166" s="9">
        <v>55.8</v>
      </c>
      <c r="K166" s="9">
        <v>14.5</v>
      </c>
      <c r="L166" s="9">
        <v>33.4</v>
      </c>
      <c r="M166" s="9">
        <v>35.799999999999997</v>
      </c>
      <c r="N166" s="9">
        <v>80.599999999999994</v>
      </c>
    </row>
    <row r="167" spans="1:14">
      <c r="A167" s="9">
        <v>6</v>
      </c>
      <c r="B167" s="9" t="s">
        <v>74</v>
      </c>
      <c r="C167" s="9">
        <v>5.26</v>
      </c>
      <c r="D167" s="9">
        <v>0.02</v>
      </c>
      <c r="E167" s="9">
        <v>0.01</v>
      </c>
      <c r="F167" s="9">
        <v>4.5999999999999996</v>
      </c>
      <c r="G167" s="9">
        <v>0.04</v>
      </c>
      <c r="H167" s="9">
        <v>0.01</v>
      </c>
      <c r="I167" s="9">
        <v>9.94</v>
      </c>
      <c r="J167" s="9">
        <v>64.400000000000006</v>
      </c>
      <c r="K167" s="9">
        <v>15.4</v>
      </c>
      <c r="L167" s="9">
        <v>34</v>
      </c>
      <c r="M167" s="9">
        <v>35.1</v>
      </c>
      <c r="N167" s="9">
        <v>80.2</v>
      </c>
    </row>
    <row r="168" spans="1:14">
      <c r="A168" s="9">
        <v>6</v>
      </c>
      <c r="B168" s="9" t="s">
        <v>75</v>
      </c>
      <c r="C168" s="9">
        <v>5.32</v>
      </c>
      <c r="D168" s="9">
        <v>7.0000000000000007E-2</v>
      </c>
      <c r="E168" s="9">
        <v>-0.14000000000000001</v>
      </c>
      <c r="F168" s="9">
        <v>4.5999999999999996</v>
      </c>
      <c r="G168" s="9">
        <v>0.02</v>
      </c>
      <c r="H168" s="9">
        <v>0.01</v>
      </c>
      <c r="I168" s="9">
        <v>9.89</v>
      </c>
      <c r="J168" s="9">
        <v>61.9</v>
      </c>
      <c r="K168" s="9">
        <v>20.2</v>
      </c>
      <c r="L168" s="9">
        <v>34.5</v>
      </c>
      <c r="M168" s="9">
        <v>33.5</v>
      </c>
      <c r="N168" s="9">
        <v>81.900000000000006</v>
      </c>
    </row>
    <row r="169" spans="1:14">
      <c r="A169" s="9">
        <v>6</v>
      </c>
      <c r="B169" s="9" t="s">
        <v>79</v>
      </c>
      <c r="C169" s="9">
        <v>5.36</v>
      </c>
      <c r="D169" s="9">
        <v>0.06</v>
      </c>
      <c r="E169" s="9">
        <v>0.03</v>
      </c>
      <c r="F169" s="9">
        <v>4.5999999999999996</v>
      </c>
      <c r="G169" s="9">
        <v>0.06</v>
      </c>
      <c r="H169" s="9">
        <v>0.01</v>
      </c>
      <c r="I169" s="9">
        <v>10.130000000000001</v>
      </c>
      <c r="J169" s="9">
        <v>60.9</v>
      </c>
      <c r="K169" s="9">
        <v>17.100000000000001</v>
      </c>
      <c r="L169" s="9">
        <v>35.5</v>
      </c>
      <c r="M169" s="9">
        <v>32.200000000000003</v>
      </c>
      <c r="N169" s="9">
        <v>78</v>
      </c>
    </row>
    <row r="170" spans="1:14">
      <c r="A170" s="9">
        <v>6</v>
      </c>
      <c r="B170" s="9" t="s">
        <v>80</v>
      </c>
      <c r="C170" s="9">
        <v>5.39</v>
      </c>
      <c r="D170" s="9">
        <v>0.17</v>
      </c>
      <c r="E170" s="9">
        <v>0.13</v>
      </c>
      <c r="F170" s="9">
        <v>4.5999999999999996</v>
      </c>
      <c r="G170" s="9">
        <v>0.05</v>
      </c>
      <c r="H170" s="9">
        <v>0.01</v>
      </c>
      <c r="I170" s="9">
        <v>10.34</v>
      </c>
      <c r="J170" s="9">
        <v>49.8</v>
      </c>
      <c r="K170" s="9">
        <v>12.8</v>
      </c>
      <c r="L170" s="9">
        <v>35</v>
      </c>
      <c r="M170" s="9">
        <v>33.799999999999997</v>
      </c>
      <c r="N170" s="9">
        <v>78.5</v>
      </c>
    </row>
    <row r="171" spans="1:14">
      <c r="A171" s="9">
        <v>6</v>
      </c>
      <c r="B171" s="9" t="s">
        <v>81</v>
      </c>
      <c r="C171" s="9">
        <v>5.56</v>
      </c>
      <c r="D171" s="9">
        <v>0.02</v>
      </c>
      <c r="E171" s="9">
        <v>-0.03</v>
      </c>
      <c r="F171" s="9">
        <v>4.5999999999999996</v>
      </c>
      <c r="G171" s="9">
        <v>0.01</v>
      </c>
      <c r="H171" s="9">
        <v>0.01</v>
      </c>
      <c r="I171" s="9">
        <v>10.18</v>
      </c>
      <c r="J171" s="9">
        <v>56.6</v>
      </c>
      <c r="K171" s="9">
        <v>15.2</v>
      </c>
      <c r="L171" s="9">
        <v>34.5</v>
      </c>
      <c r="M171" s="9">
        <v>33.6</v>
      </c>
      <c r="N171" s="9">
        <v>80.5</v>
      </c>
    </row>
    <row r="172" spans="1:14">
      <c r="A172" s="9">
        <v>6</v>
      </c>
      <c r="B172" s="9" t="s">
        <v>82</v>
      </c>
      <c r="C172" s="9">
        <v>6</v>
      </c>
      <c r="D172" s="9">
        <v>-0.02</v>
      </c>
      <c r="E172" s="9">
        <v>-0.43</v>
      </c>
      <c r="F172" s="9">
        <v>4.5999999999999996</v>
      </c>
      <c r="G172" s="9">
        <v>0.09</v>
      </c>
      <c r="H172" s="9">
        <v>-2.3E-2</v>
      </c>
      <c r="I172" s="9">
        <v>10.220000000000001</v>
      </c>
      <c r="J172" s="9">
        <v>56.8</v>
      </c>
      <c r="K172" s="9">
        <v>22.6</v>
      </c>
      <c r="L172" s="9">
        <v>36.700000000000003</v>
      </c>
      <c r="M172" s="9">
        <v>35.9</v>
      </c>
      <c r="N172" s="9">
        <v>76.599999999999994</v>
      </c>
    </row>
    <row r="173" spans="1:14">
      <c r="A173" s="9">
        <v>6</v>
      </c>
      <c r="B173" s="9" t="s">
        <v>83</v>
      </c>
      <c r="C173" s="9">
        <v>6.03</v>
      </c>
      <c r="D173" s="9">
        <v>-0.06</v>
      </c>
      <c r="E173" s="9">
        <v>-0.5</v>
      </c>
      <c r="F173" s="9">
        <v>4.5999999999999996</v>
      </c>
      <c r="G173" s="9">
        <v>-0.08</v>
      </c>
      <c r="H173" s="9">
        <v>0.01</v>
      </c>
      <c r="I173" s="9">
        <v>10</v>
      </c>
      <c r="J173" s="9">
        <v>56.3</v>
      </c>
      <c r="K173" s="9">
        <v>15.3</v>
      </c>
      <c r="L173" s="9">
        <v>34.700000000000003</v>
      </c>
      <c r="M173" s="9">
        <v>34.6</v>
      </c>
      <c r="N173" s="9">
        <v>77.400000000000006</v>
      </c>
    </row>
    <row r="174" spans="1:14">
      <c r="A174" s="9">
        <v>6</v>
      </c>
      <c r="B174" s="9" t="s">
        <v>84</v>
      </c>
      <c r="C174" s="9">
        <v>6.04</v>
      </c>
      <c r="D174" s="9">
        <v>-0.16</v>
      </c>
      <c r="E174" s="9">
        <v>-0.67</v>
      </c>
      <c r="F174" s="9">
        <v>4.5999999999999996</v>
      </c>
      <c r="G174" s="9">
        <v>-0.14000000000000001</v>
      </c>
      <c r="H174" s="9">
        <v>0.01</v>
      </c>
      <c r="I174" s="9">
        <v>9.68</v>
      </c>
      <c r="J174" s="9">
        <v>57.1</v>
      </c>
      <c r="K174" s="9">
        <v>21.9</v>
      </c>
      <c r="L174" s="9">
        <v>33.700000000000003</v>
      </c>
      <c r="M174" s="9">
        <v>33.5</v>
      </c>
      <c r="N174" s="9">
        <v>82.8</v>
      </c>
    </row>
    <row r="175" spans="1:14">
      <c r="A175" s="9">
        <v>6</v>
      </c>
      <c r="B175" s="9" t="s">
        <v>85</v>
      </c>
      <c r="C175" s="9">
        <v>6.36</v>
      </c>
      <c r="D175" s="9">
        <v>-0.28999999999999998</v>
      </c>
      <c r="E175" s="9">
        <v>-0.55000000000000004</v>
      </c>
      <c r="F175" s="9">
        <v>4.5999999999999996</v>
      </c>
      <c r="G175" s="9">
        <v>-0.13</v>
      </c>
      <c r="H175" s="9">
        <v>-0.08</v>
      </c>
      <c r="I175" s="9">
        <v>9.92</v>
      </c>
      <c r="J175" s="9">
        <v>70.8</v>
      </c>
      <c r="K175" s="9">
        <v>19.600000000000001</v>
      </c>
      <c r="L175" s="9">
        <v>34.5</v>
      </c>
      <c r="M175" s="9">
        <v>37.9</v>
      </c>
      <c r="N175" s="9">
        <v>84.3</v>
      </c>
    </row>
    <row r="176" spans="1:14">
      <c r="A176" s="9">
        <v>6</v>
      </c>
      <c r="B176" s="9" t="s">
        <v>86</v>
      </c>
      <c r="C176" s="9">
        <v>5.65</v>
      </c>
      <c r="D176" s="9">
        <v>0.06</v>
      </c>
      <c r="E176" s="9">
        <v>-0.2</v>
      </c>
      <c r="F176" s="9">
        <v>4.5999999999999996</v>
      </c>
      <c r="G176" s="9">
        <v>-0.11</v>
      </c>
      <c r="H176" s="9">
        <v>0.01</v>
      </c>
      <c r="I176" s="9">
        <v>10.02</v>
      </c>
      <c r="J176" s="9">
        <v>63.7</v>
      </c>
      <c r="K176" s="9">
        <v>33.1</v>
      </c>
      <c r="L176" s="9">
        <v>32.299999999999997</v>
      </c>
      <c r="M176" s="9">
        <v>37.1</v>
      </c>
      <c r="N176" s="9">
        <v>80</v>
      </c>
    </row>
    <row r="177" spans="1:14">
      <c r="A177" s="9">
        <v>6</v>
      </c>
      <c r="B177" s="9" t="s">
        <v>88</v>
      </c>
      <c r="C177" s="9">
        <v>5.5</v>
      </c>
      <c r="D177" s="9">
        <v>0.04</v>
      </c>
      <c r="E177" s="9">
        <v>-0.15</v>
      </c>
      <c r="F177" s="9">
        <v>4.5999999999999996</v>
      </c>
      <c r="G177" s="9">
        <v>-0.06</v>
      </c>
      <c r="H177" s="9">
        <v>0.01</v>
      </c>
      <c r="I177" s="9">
        <v>9.9499999999999993</v>
      </c>
      <c r="J177" s="9">
        <v>57.3</v>
      </c>
      <c r="K177" s="9">
        <v>18.600000000000001</v>
      </c>
      <c r="L177" s="9">
        <v>33.299999999999997</v>
      </c>
      <c r="M177" s="9">
        <v>37.4</v>
      </c>
      <c r="N177" s="9">
        <v>79.8</v>
      </c>
    </row>
    <row r="178" spans="1:14">
      <c r="A178" s="9">
        <v>6</v>
      </c>
      <c r="B178" s="9" t="s">
        <v>89</v>
      </c>
      <c r="C178" s="9">
        <v>5.87</v>
      </c>
      <c r="D178" s="9">
        <v>-0.17</v>
      </c>
      <c r="E178" s="9">
        <v>-0.11</v>
      </c>
      <c r="F178" s="9">
        <v>4.5999999999999996</v>
      </c>
      <c r="G178" s="9">
        <v>0</v>
      </c>
      <c r="H178" s="9">
        <v>0.01</v>
      </c>
      <c r="I178" s="9">
        <v>10.199999999999999</v>
      </c>
      <c r="J178" s="9">
        <v>57</v>
      </c>
      <c r="K178" s="9">
        <v>18.2</v>
      </c>
      <c r="L178" s="9">
        <v>35.299999999999997</v>
      </c>
      <c r="M178" s="9">
        <v>33.6</v>
      </c>
      <c r="N178" s="9">
        <v>82.7</v>
      </c>
    </row>
    <row r="179" spans="1:14">
      <c r="A179" s="9">
        <v>6</v>
      </c>
      <c r="B179" s="9" t="s">
        <v>90</v>
      </c>
      <c r="C179" s="9">
        <v>6.16</v>
      </c>
      <c r="D179" s="9">
        <v>-0.11</v>
      </c>
      <c r="E179" s="9">
        <v>-0.36</v>
      </c>
      <c r="F179" s="9">
        <v>4.5999999999999996</v>
      </c>
      <c r="G179" s="9">
        <v>-0.11</v>
      </c>
      <c r="H179" s="9">
        <v>0.01</v>
      </c>
      <c r="I179" s="9">
        <v>10.19</v>
      </c>
      <c r="J179" s="9">
        <v>55.1</v>
      </c>
      <c r="K179" s="9">
        <v>24.8</v>
      </c>
      <c r="L179" s="9">
        <v>35.299999999999997</v>
      </c>
      <c r="M179" s="9">
        <v>32.799999999999997</v>
      </c>
      <c r="N179" s="9">
        <v>74.5</v>
      </c>
    </row>
    <row r="180" spans="1:14">
      <c r="A180" s="9">
        <v>6</v>
      </c>
      <c r="B180" s="9" t="s">
        <v>91</v>
      </c>
      <c r="C180" s="9">
        <v>6.16</v>
      </c>
      <c r="D180" s="9">
        <v>-0.06</v>
      </c>
      <c r="E180" s="9">
        <v>-0.36</v>
      </c>
      <c r="F180" s="9">
        <v>4.5999999999999996</v>
      </c>
      <c r="G180" s="9">
        <v>-0.02</v>
      </c>
      <c r="H180" s="9">
        <v>0.01</v>
      </c>
      <c r="I180" s="9">
        <v>10.33</v>
      </c>
      <c r="J180" s="9">
        <v>54.1</v>
      </c>
      <c r="K180" s="9">
        <v>33.700000000000003</v>
      </c>
      <c r="L180" s="9">
        <v>34.200000000000003</v>
      </c>
      <c r="M180" s="9">
        <v>35.5</v>
      </c>
      <c r="N180" s="9">
        <v>78.3</v>
      </c>
    </row>
    <row r="181" spans="1:14">
      <c r="A181" s="9">
        <v>6</v>
      </c>
      <c r="B181" s="9" t="s">
        <v>92</v>
      </c>
      <c r="C181" s="9">
        <v>5.97</v>
      </c>
      <c r="D181" s="9">
        <v>0</v>
      </c>
      <c r="E181" s="9">
        <v>-0.47</v>
      </c>
      <c r="F181" s="9">
        <v>4.5999999999999996</v>
      </c>
      <c r="G181" s="9">
        <v>-0.08</v>
      </c>
      <c r="H181" s="9">
        <v>0.01</v>
      </c>
      <c r="I181" s="9">
        <v>10.029999999999999</v>
      </c>
      <c r="J181" s="9">
        <v>61.4</v>
      </c>
      <c r="K181" s="9">
        <v>18.3</v>
      </c>
      <c r="L181" s="9">
        <v>33.299999999999997</v>
      </c>
      <c r="M181" s="9">
        <v>35.299999999999997</v>
      </c>
      <c r="N181" s="9">
        <v>79</v>
      </c>
    </row>
    <row r="182" spans="1:14">
      <c r="A182" s="9">
        <v>6</v>
      </c>
      <c r="B182" s="9" t="s">
        <v>93</v>
      </c>
      <c r="C182" s="9">
        <v>6.04</v>
      </c>
      <c r="D182" s="9">
        <v>-0.16</v>
      </c>
      <c r="E182" s="9">
        <v>-0.4</v>
      </c>
      <c r="F182" s="9">
        <v>4.5999999999999996</v>
      </c>
      <c r="G182" s="9">
        <v>-0.2</v>
      </c>
      <c r="H182" s="9">
        <v>0.01</v>
      </c>
      <c r="I182" s="9">
        <v>9.89</v>
      </c>
      <c r="J182" s="9">
        <v>66.099999999999994</v>
      </c>
      <c r="K182" s="9">
        <v>15.5</v>
      </c>
      <c r="L182" s="9">
        <v>30.2</v>
      </c>
      <c r="M182" s="9">
        <v>31.6</v>
      </c>
      <c r="N182" s="9">
        <v>76.900000000000006</v>
      </c>
    </row>
    <row r="183" spans="1:14">
      <c r="A183" s="9">
        <v>6</v>
      </c>
      <c r="B183" s="9" t="s">
        <v>94</v>
      </c>
      <c r="C183" s="9">
        <v>5.99</v>
      </c>
      <c r="D183" s="9">
        <v>0.04</v>
      </c>
      <c r="E183" s="9">
        <v>-0.3</v>
      </c>
      <c r="F183" s="9">
        <v>4.5999999999999996</v>
      </c>
      <c r="G183" s="9">
        <v>0.06</v>
      </c>
      <c r="H183" s="9">
        <v>-4.4999999999999998E-2</v>
      </c>
      <c r="I183" s="9">
        <v>10.35</v>
      </c>
      <c r="J183" s="9">
        <v>55.4</v>
      </c>
      <c r="K183" s="9">
        <v>19.3</v>
      </c>
      <c r="L183" s="9">
        <v>34.299999999999997</v>
      </c>
      <c r="M183" s="9">
        <v>36.5</v>
      </c>
      <c r="N183" s="9">
        <v>82.3</v>
      </c>
    </row>
    <row r="184" spans="1:14">
      <c r="A184" s="9">
        <v>6</v>
      </c>
      <c r="B184" s="9" t="s">
        <v>95</v>
      </c>
      <c r="C184" s="9">
        <v>7.07</v>
      </c>
      <c r="D184" s="9">
        <v>-0.2</v>
      </c>
      <c r="E184" s="9">
        <v>-0.71</v>
      </c>
      <c r="F184" s="9">
        <v>4.5999999999999996</v>
      </c>
      <c r="G184" s="9">
        <v>-0.16</v>
      </c>
      <c r="H184" s="9">
        <v>-0.187</v>
      </c>
      <c r="I184" s="9">
        <v>10.42</v>
      </c>
      <c r="J184" s="9">
        <v>58.9</v>
      </c>
      <c r="K184" s="9">
        <v>26.2</v>
      </c>
      <c r="L184" s="9">
        <v>36.4</v>
      </c>
      <c r="M184" s="9">
        <v>39.1</v>
      </c>
      <c r="N184" s="9">
        <v>83.3</v>
      </c>
    </row>
    <row r="185" spans="1:14">
      <c r="A185" s="9">
        <v>6</v>
      </c>
      <c r="B185" s="9" t="s">
        <v>96</v>
      </c>
      <c r="C185" s="9">
        <v>6.71</v>
      </c>
      <c r="D185" s="9">
        <v>-0.24</v>
      </c>
      <c r="E185" s="9">
        <v>-0.79</v>
      </c>
      <c r="F185" s="9">
        <v>4.5999999999999996</v>
      </c>
      <c r="G185" s="9">
        <v>-0.1</v>
      </c>
      <c r="H185" s="9">
        <v>0</v>
      </c>
      <c r="I185" s="9">
        <v>10.17</v>
      </c>
      <c r="J185" s="9">
        <v>57.7</v>
      </c>
      <c r="K185" s="9">
        <v>26.8</v>
      </c>
      <c r="L185" s="9">
        <v>35.4</v>
      </c>
      <c r="M185" s="9">
        <v>34.6</v>
      </c>
      <c r="N185" s="9">
        <v>83.1</v>
      </c>
    </row>
    <row r="186" spans="1:14">
      <c r="A186" s="9">
        <v>6</v>
      </c>
      <c r="B186" s="9" t="s">
        <v>97</v>
      </c>
      <c r="C186" s="9">
        <v>6.46</v>
      </c>
      <c r="D186" s="9">
        <v>-0.1</v>
      </c>
      <c r="E186" s="9">
        <v>-0.61</v>
      </c>
      <c r="F186" s="9">
        <v>4.5999999999999996</v>
      </c>
      <c r="G186" s="9">
        <v>-0.05</v>
      </c>
      <c r="H186" s="9">
        <v>2E-3</v>
      </c>
      <c r="I186" s="9">
        <v>10.3</v>
      </c>
      <c r="J186" s="9">
        <v>62.1</v>
      </c>
      <c r="K186" s="9">
        <v>36.200000000000003</v>
      </c>
      <c r="L186" s="9">
        <v>33.200000000000003</v>
      </c>
      <c r="M186" s="9">
        <v>38.799999999999997</v>
      </c>
      <c r="N186" s="9">
        <v>83.4</v>
      </c>
    </row>
    <row r="187" spans="1:14">
      <c r="A187" s="9">
        <v>6</v>
      </c>
      <c r="B187" s="9" t="s">
        <v>98</v>
      </c>
      <c r="C187" s="9">
        <v>6.54</v>
      </c>
      <c r="D187" s="9">
        <v>-0.22</v>
      </c>
      <c r="E187" s="9">
        <v>-0.6</v>
      </c>
      <c r="F187" s="9">
        <v>4.5999999999999996</v>
      </c>
      <c r="G187" s="9">
        <v>-0.08</v>
      </c>
      <c r="H187" s="9">
        <v>0.01</v>
      </c>
      <c r="I187" s="9">
        <v>10.25</v>
      </c>
      <c r="J187" s="9">
        <v>65.5</v>
      </c>
      <c r="K187" s="9">
        <v>29.4</v>
      </c>
      <c r="L187" s="9">
        <v>34.1</v>
      </c>
      <c r="M187" s="9">
        <v>38.200000000000003</v>
      </c>
      <c r="N187" s="9">
        <v>81</v>
      </c>
    </row>
    <row r="188" spans="1:14">
      <c r="A188" s="9">
        <v>6</v>
      </c>
      <c r="B188" s="9" t="s">
        <v>99</v>
      </c>
      <c r="C188" s="9">
        <v>6.24</v>
      </c>
      <c r="D188" s="9">
        <v>-0.12</v>
      </c>
      <c r="E188" s="9">
        <v>-0.76</v>
      </c>
      <c r="F188" s="9">
        <v>4.5999999999999996</v>
      </c>
      <c r="G188" s="9">
        <v>-0.08</v>
      </c>
      <c r="H188" s="9">
        <v>-2.8000000000000001E-2</v>
      </c>
      <c r="I188" s="9">
        <v>9.85</v>
      </c>
      <c r="J188" s="9">
        <v>56.6</v>
      </c>
      <c r="K188" s="9">
        <v>19.3</v>
      </c>
      <c r="L188" s="9">
        <v>34.700000000000003</v>
      </c>
      <c r="M188" s="9">
        <v>36.799999999999997</v>
      </c>
      <c r="N188" s="9">
        <v>84.2</v>
      </c>
    </row>
    <row r="189" spans="1:14">
      <c r="A189" s="9">
        <v>6</v>
      </c>
      <c r="B189" s="9" t="s">
        <v>100</v>
      </c>
      <c r="C189" s="9">
        <v>6.7</v>
      </c>
      <c r="D189" s="9">
        <v>-0.09</v>
      </c>
      <c r="E189" s="9">
        <v>-0.9</v>
      </c>
      <c r="F189" s="9">
        <v>4.5999999999999996</v>
      </c>
      <c r="G189" s="9">
        <v>-0.13</v>
      </c>
      <c r="H189" s="9">
        <v>-5.1999999999999998E-2</v>
      </c>
      <c r="I189" s="9">
        <v>10.130000000000001</v>
      </c>
      <c r="J189" s="9">
        <v>55.1</v>
      </c>
      <c r="K189" s="9">
        <v>19.600000000000001</v>
      </c>
      <c r="L189" s="9">
        <v>34.700000000000003</v>
      </c>
      <c r="M189" s="9">
        <v>38.700000000000003</v>
      </c>
      <c r="N189" s="9">
        <v>86.1</v>
      </c>
    </row>
    <row r="190" spans="1:14">
      <c r="A190" s="9">
        <v>6</v>
      </c>
      <c r="B190" s="9" t="s">
        <v>101</v>
      </c>
      <c r="C190" s="9">
        <v>6.59</v>
      </c>
      <c r="D190" s="9">
        <v>0.17</v>
      </c>
      <c r="E190" s="9">
        <v>-1.58</v>
      </c>
      <c r="F190" s="9">
        <v>4.5999999999999996</v>
      </c>
      <c r="G190" s="9">
        <v>-0.27</v>
      </c>
      <c r="H190" s="9">
        <v>0.01</v>
      </c>
      <c r="I190" s="9">
        <v>9.52</v>
      </c>
      <c r="J190" s="9">
        <v>60.1</v>
      </c>
      <c r="K190" s="9">
        <v>24.5</v>
      </c>
      <c r="L190" s="9">
        <v>34.200000000000003</v>
      </c>
      <c r="M190" s="9">
        <v>35.799999999999997</v>
      </c>
      <c r="N190" s="9">
        <v>89.3</v>
      </c>
    </row>
    <row r="191" spans="1:14">
      <c r="A191" s="9">
        <v>7</v>
      </c>
      <c r="B191" s="9" t="s">
        <v>33</v>
      </c>
      <c r="C191" s="9">
        <v>6.21</v>
      </c>
      <c r="D191" s="9">
        <v>-0.33</v>
      </c>
      <c r="E191" s="9">
        <v>-0.22</v>
      </c>
      <c r="F191" s="9">
        <v>4.6500000000000004</v>
      </c>
      <c r="G191" s="9">
        <v>-0.02</v>
      </c>
      <c r="H191" s="9">
        <v>0.01</v>
      </c>
      <c r="I191" s="9">
        <v>10.31</v>
      </c>
      <c r="J191" s="9">
        <v>53.5</v>
      </c>
      <c r="K191" s="9">
        <v>13.5</v>
      </c>
      <c r="L191" s="9">
        <v>32.4</v>
      </c>
      <c r="M191" s="9">
        <v>32.6</v>
      </c>
      <c r="N191" s="9">
        <v>84.4</v>
      </c>
    </row>
    <row r="192" spans="1:14">
      <c r="A192" s="9">
        <v>7</v>
      </c>
      <c r="B192" s="9" t="s">
        <v>36</v>
      </c>
      <c r="C192" s="9">
        <v>6.35</v>
      </c>
      <c r="D192" s="9">
        <v>-0.37</v>
      </c>
      <c r="E192" s="9">
        <v>-0.79</v>
      </c>
      <c r="F192" s="9">
        <v>4.6500000000000004</v>
      </c>
      <c r="G192" s="9">
        <v>-0.01</v>
      </c>
      <c r="H192" s="9">
        <v>7.0000000000000001E-3</v>
      </c>
      <c r="I192" s="9">
        <v>9.85</v>
      </c>
      <c r="J192" s="9">
        <v>61.4</v>
      </c>
      <c r="K192" s="9">
        <v>28.4</v>
      </c>
      <c r="L192" s="9">
        <v>33.5</v>
      </c>
      <c r="M192" s="9">
        <v>34.200000000000003</v>
      </c>
      <c r="N192" s="9">
        <v>84.8</v>
      </c>
    </row>
    <row r="193" spans="1:14">
      <c r="A193" s="9">
        <v>7</v>
      </c>
      <c r="B193" s="9" t="s">
        <v>37</v>
      </c>
      <c r="C193" s="9">
        <v>5.99</v>
      </c>
      <c r="D193" s="9">
        <v>-0.35</v>
      </c>
      <c r="E193" s="9">
        <v>-0.62</v>
      </c>
      <c r="F193" s="9">
        <v>4.6500000000000004</v>
      </c>
      <c r="G193" s="9">
        <v>-7.0000000000000007E-2</v>
      </c>
      <c r="H193" s="9">
        <v>0.01</v>
      </c>
      <c r="I193" s="9">
        <v>9.6199999999999992</v>
      </c>
      <c r="J193" s="9">
        <v>63.7</v>
      </c>
      <c r="K193" s="9">
        <v>22.2</v>
      </c>
      <c r="L193" s="9">
        <v>34</v>
      </c>
      <c r="M193" s="9">
        <v>31.4</v>
      </c>
      <c r="N193" s="9">
        <v>87.1</v>
      </c>
    </row>
    <row r="194" spans="1:14">
      <c r="A194" s="9">
        <v>7</v>
      </c>
      <c r="B194" s="9" t="s">
        <v>39</v>
      </c>
      <c r="C194" s="9">
        <v>5.91</v>
      </c>
      <c r="D194" s="9">
        <v>-0.16</v>
      </c>
      <c r="E194" s="9">
        <v>-0.33</v>
      </c>
      <c r="F194" s="9">
        <v>4.6500000000000004</v>
      </c>
      <c r="G194" s="9">
        <v>0.03</v>
      </c>
      <c r="H194" s="9">
        <v>0.01</v>
      </c>
      <c r="I194" s="9">
        <v>10.11</v>
      </c>
      <c r="J194" s="9">
        <v>64.099999999999994</v>
      </c>
      <c r="K194" s="9">
        <v>24.4</v>
      </c>
      <c r="L194" s="9">
        <v>32.5</v>
      </c>
      <c r="M194" s="9">
        <v>33.4</v>
      </c>
      <c r="N194" s="9">
        <v>86</v>
      </c>
    </row>
    <row r="195" spans="1:14">
      <c r="A195" s="9">
        <v>7</v>
      </c>
      <c r="B195" s="9" t="s">
        <v>40</v>
      </c>
      <c r="C195" s="9">
        <v>6.72</v>
      </c>
      <c r="D195" s="9">
        <v>-0.63</v>
      </c>
      <c r="E195" s="9">
        <v>-0.72</v>
      </c>
      <c r="F195" s="9">
        <v>4.6500000000000004</v>
      </c>
      <c r="G195" s="9">
        <v>-0.01</v>
      </c>
      <c r="H195" s="9">
        <v>0</v>
      </c>
      <c r="I195" s="9">
        <v>10.01</v>
      </c>
      <c r="J195" s="9">
        <v>62.9</v>
      </c>
      <c r="K195" s="9">
        <v>32.299999999999997</v>
      </c>
      <c r="L195" s="9">
        <v>33</v>
      </c>
      <c r="M195" s="9">
        <v>37.9</v>
      </c>
      <c r="N195" s="9">
        <v>85.1</v>
      </c>
    </row>
    <row r="196" spans="1:14">
      <c r="A196" s="9">
        <v>7</v>
      </c>
      <c r="B196" s="9" t="s">
        <v>41</v>
      </c>
      <c r="C196" s="9">
        <v>6.12</v>
      </c>
      <c r="D196" s="9">
        <v>-0.31</v>
      </c>
      <c r="E196" s="9">
        <v>-0.49</v>
      </c>
      <c r="F196" s="9">
        <v>4.6500000000000004</v>
      </c>
      <c r="G196" s="9">
        <v>-0.06</v>
      </c>
      <c r="H196" s="9">
        <v>-0.14799999999999999</v>
      </c>
      <c r="I196" s="9">
        <v>9.75</v>
      </c>
      <c r="J196" s="9">
        <v>77.900000000000006</v>
      </c>
      <c r="K196" s="9">
        <v>29.1</v>
      </c>
      <c r="L196" s="9">
        <v>33.700000000000003</v>
      </c>
      <c r="M196" s="9">
        <v>37.4</v>
      </c>
      <c r="N196" s="9">
        <v>87.1</v>
      </c>
    </row>
    <row r="197" spans="1:14">
      <c r="A197" s="9">
        <v>7</v>
      </c>
      <c r="B197" s="9" t="s">
        <v>42</v>
      </c>
      <c r="C197" s="9">
        <v>5.43</v>
      </c>
      <c r="D197" s="9">
        <v>-0.2</v>
      </c>
      <c r="E197" s="9">
        <v>-0.28000000000000003</v>
      </c>
      <c r="F197" s="9">
        <v>4.6500000000000004</v>
      </c>
      <c r="G197" s="9">
        <v>0.01</v>
      </c>
      <c r="H197" s="9">
        <v>0.01</v>
      </c>
      <c r="I197" s="9">
        <v>9.6199999999999992</v>
      </c>
      <c r="J197" s="9">
        <v>59.8</v>
      </c>
      <c r="K197" s="9">
        <v>27.9</v>
      </c>
      <c r="L197" s="9">
        <v>33.799999999999997</v>
      </c>
      <c r="M197" s="9">
        <v>31.3</v>
      </c>
      <c r="N197" s="9">
        <v>84.8</v>
      </c>
    </row>
    <row r="198" spans="1:14">
      <c r="A198" s="9">
        <v>7</v>
      </c>
      <c r="B198" s="9" t="s">
        <v>43</v>
      </c>
      <c r="C198" s="9">
        <v>5.07</v>
      </c>
      <c r="D198" s="9">
        <v>-0.04</v>
      </c>
      <c r="E198" s="9">
        <v>0.02</v>
      </c>
      <c r="F198" s="9">
        <v>4.6500000000000004</v>
      </c>
      <c r="G198" s="9">
        <v>-0.04</v>
      </c>
      <c r="H198" s="9">
        <v>0.01</v>
      </c>
      <c r="I198" s="9">
        <v>9.67</v>
      </c>
      <c r="J198" s="9">
        <v>55.7</v>
      </c>
      <c r="K198" s="9">
        <v>17.2</v>
      </c>
      <c r="L198" s="9">
        <v>32.1</v>
      </c>
      <c r="M198" s="9">
        <v>32.200000000000003</v>
      </c>
      <c r="N198" s="9">
        <v>82.7</v>
      </c>
    </row>
    <row r="199" spans="1:14">
      <c r="A199" s="9">
        <v>7</v>
      </c>
      <c r="B199" s="9" t="s">
        <v>44</v>
      </c>
      <c r="C199" s="9">
        <v>5.38</v>
      </c>
      <c r="D199" s="9">
        <v>-0.08</v>
      </c>
      <c r="E199" s="9">
        <v>-0.09</v>
      </c>
      <c r="F199" s="9">
        <v>4.6500000000000004</v>
      </c>
      <c r="G199" s="9">
        <v>-0.06</v>
      </c>
      <c r="H199" s="9">
        <v>0.01</v>
      </c>
      <c r="I199" s="9">
        <v>9.82</v>
      </c>
      <c r="J199" s="9">
        <v>61.7</v>
      </c>
      <c r="K199" s="9">
        <v>27.6</v>
      </c>
      <c r="L199" s="9">
        <v>33.6</v>
      </c>
      <c r="M199" s="9">
        <v>34.6</v>
      </c>
      <c r="N199" s="9">
        <v>83.1</v>
      </c>
    </row>
    <row r="200" spans="1:14">
      <c r="A200" s="9">
        <v>7</v>
      </c>
      <c r="B200" s="9" t="s">
        <v>45</v>
      </c>
      <c r="C200" s="9">
        <v>5.2</v>
      </c>
      <c r="D200" s="9">
        <v>-0.02</v>
      </c>
      <c r="E200" s="9">
        <v>-0.08</v>
      </c>
      <c r="F200" s="9">
        <v>4.6500000000000004</v>
      </c>
      <c r="G200" s="9">
        <v>0.01</v>
      </c>
      <c r="H200" s="9">
        <v>0.01</v>
      </c>
      <c r="I200" s="9">
        <v>9.77</v>
      </c>
      <c r="J200" s="9">
        <v>55.5</v>
      </c>
      <c r="K200" s="9">
        <v>14.5</v>
      </c>
      <c r="L200" s="9">
        <v>32.299999999999997</v>
      </c>
      <c r="M200" s="9">
        <v>32.6</v>
      </c>
      <c r="N200" s="9">
        <v>83.8</v>
      </c>
    </row>
    <row r="201" spans="1:14">
      <c r="A201" s="9">
        <v>7</v>
      </c>
      <c r="B201" s="9" t="s">
        <v>47</v>
      </c>
      <c r="C201" s="9">
        <v>5.0199999999999996</v>
      </c>
      <c r="D201" s="9">
        <v>-0.01</v>
      </c>
      <c r="E201" s="9">
        <v>0.11</v>
      </c>
      <c r="F201" s="9">
        <v>4.6500000000000004</v>
      </c>
      <c r="G201" s="9">
        <v>-0.02</v>
      </c>
      <c r="H201" s="9">
        <v>0.01</v>
      </c>
      <c r="I201" s="9">
        <v>9.76</v>
      </c>
      <c r="J201" s="9">
        <v>48.1</v>
      </c>
      <c r="K201" s="9">
        <v>9.6999999999999993</v>
      </c>
      <c r="L201" s="9">
        <v>33.200000000000003</v>
      </c>
      <c r="M201" s="9">
        <v>30.5</v>
      </c>
      <c r="N201" s="9">
        <v>83.5</v>
      </c>
    </row>
    <row r="202" spans="1:14">
      <c r="A202" s="9">
        <v>7</v>
      </c>
      <c r="B202" s="9" t="s">
        <v>49</v>
      </c>
      <c r="C202" s="9">
        <v>5.0999999999999996</v>
      </c>
      <c r="D202" s="9">
        <v>-0.06</v>
      </c>
      <c r="E202" s="9">
        <v>0.11</v>
      </c>
      <c r="F202" s="9">
        <v>4.6500000000000004</v>
      </c>
      <c r="G202" s="9">
        <v>-0.02</v>
      </c>
      <c r="H202" s="9">
        <v>0.01</v>
      </c>
      <c r="I202" s="9">
        <v>9.7899999999999991</v>
      </c>
      <c r="J202" s="9">
        <v>47.7</v>
      </c>
      <c r="K202" s="9">
        <v>16</v>
      </c>
      <c r="L202" s="9">
        <v>33.5</v>
      </c>
      <c r="M202" s="9">
        <v>32.200000000000003</v>
      </c>
      <c r="N202" s="9">
        <v>83.4</v>
      </c>
    </row>
    <row r="203" spans="1:14">
      <c r="A203" s="9">
        <v>7</v>
      </c>
      <c r="B203" s="9" t="s">
        <v>51</v>
      </c>
      <c r="C203" s="9">
        <v>4.46</v>
      </c>
      <c r="D203" s="9">
        <v>0.17</v>
      </c>
      <c r="E203" s="9">
        <v>0.63</v>
      </c>
      <c r="F203" s="9">
        <v>4.6500000000000004</v>
      </c>
      <c r="G203" s="9">
        <v>-0.01</v>
      </c>
      <c r="H203" s="9">
        <v>0.01</v>
      </c>
      <c r="I203" s="9">
        <v>9.91</v>
      </c>
      <c r="J203" s="9">
        <v>53.8</v>
      </c>
      <c r="K203" s="9">
        <v>11.6</v>
      </c>
      <c r="L203" s="9">
        <v>34.4</v>
      </c>
      <c r="M203" s="9">
        <v>32</v>
      </c>
      <c r="N203" s="9">
        <v>82.3</v>
      </c>
    </row>
    <row r="204" spans="1:14">
      <c r="A204" s="9">
        <v>7</v>
      </c>
      <c r="B204" s="9" t="s">
        <v>53</v>
      </c>
      <c r="C204" s="9">
        <v>5</v>
      </c>
      <c r="D204" s="9">
        <v>-0.06</v>
      </c>
      <c r="E204" s="9">
        <v>0.36</v>
      </c>
      <c r="F204" s="9">
        <v>4.6500000000000004</v>
      </c>
      <c r="G204" s="9">
        <v>-0.04</v>
      </c>
      <c r="H204" s="9">
        <v>0.01</v>
      </c>
      <c r="I204" s="9">
        <v>9.92</v>
      </c>
      <c r="J204" s="9">
        <v>48.2</v>
      </c>
      <c r="K204" s="9">
        <v>13.5</v>
      </c>
      <c r="L204" s="9">
        <v>33.4</v>
      </c>
      <c r="M204" s="9">
        <v>31.9</v>
      </c>
      <c r="N204" s="9">
        <v>82.6</v>
      </c>
    </row>
    <row r="205" spans="1:14">
      <c r="A205" s="9">
        <v>7</v>
      </c>
      <c r="B205" s="9" t="s">
        <v>55</v>
      </c>
      <c r="C205" s="9">
        <v>5.32</v>
      </c>
      <c r="D205" s="9">
        <v>-0.15</v>
      </c>
      <c r="E205" s="9">
        <v>-0.31</v>
      </c>
      <c r="F205" s="9">
        <v>4.6500000000000004</v>
      </c>
      <c r="G205" s="9">
        <v>0.08</v>
      </c>
      <c r="H205" s="9">
        <v>-0.04</v>
      </c>
      <c r="I205" s="9">
        <v>9.5500000000000007</v>
      </c>
      <c r="J205" s="9">
        <v>70.400000000000006</v>
      </c>
      <c r="K205" s="9">
        <v>24.2</v>
      </c>
      <c r="L205" s="9">
        <v>34.200000000000003</v>
      </c>
      <c r="M205" s="9">
        <v>36.1</v>
      </c>
      <c r="N205" s="9">
        <v>84.8</v>
      </c>
    </row>
    <row r="206" spans="1:14">
      <c r="A206" s="9">
        <v>7</v>
      </c>
      <c r="B206" s="9" t="s">
        <v>57</v>
      </c>
      <c r="C206" s="9">
        <v>4.95</v>
      </c>
      <c r="D206" s="9">
        <v>-7.0000000000000007E-2</v>
      </c>
      <c r="E206" s="9">
        <v>0.11</v>
      </c>
      <c r="F206" s="9">
        <v>4.6500000000000004</v>
      </c>
      <c r="G206" s="9">
        <v>0.04</v>
      </c>
      <c r="H206" s="9">
        <v>-2.7E-2</v>
      </c>
      <c r="I206" s="9">
        <v>9.65</v>
      </c>
      <c r="J206" s="9">
        <v>72.3</v>
      </c>
      <c r="K206" s="9">
        <v>33.200000000000003</v>
      </c>
      <c r="L206" s="9">
        <v>33.1</v>
      </c>
      <c r="M206" s="9">
        <v>38.5</v>
      </c>
      <c r="N206" s="9">
        <v>83.8</v>
      </c>
    </row>
    <row r="207" spans="1:14">
      <c r="A207" s="9">
        <v>7</v>
      </c>
      <c r="B207" s="9" t="s">
        <v>58</v>
      </c>
      <c r="C207" s="9">
        <v>5.19</v>
      </c>
      <c r="D207" s="9">
        <v>-0.01</v>
      </c>
      <c r="E207" s="9">
        <v>0.04</v>
      </c>
      <c r="F207" s="9">
        <v>4.6500000000000004</v>
      </c>
      <c r="G207" s="9">
        <v>0.01</v>
      </c>
      <c r="H207" s="9">
        <v>0.01</v>
      </c>
      <c r="I207" s="9">
        <v>9.8800000000000008</v>
      </c>
      <c r="J207" s="9">
        <v>67</v>
      </c>
      <c r="K207" s="9">
        <v>27.5</v>
      </c>
      <c r="L207" s="9">
        <v>33.6</v>
      </c>
      <c r="M207" s="9">
        <v>32.799999999999997</v>
      </c>
      <c r="N207" s="9">
        <v>82.9</v>
      </c>
    </row>
    <row r="208" spans="1:14">
      <c r="A208" s="9">
        <v>7</v>
      </c>
      <c r="B208" s="9" t="s">
        <v>60</v>
      </c>
      <c r="C208" s="9">
        <v>5.47</v>
      </c>
      <c r="D208" s="9">
        <v>-0.14000000000000001</v>
      </c>
      <c r="E208" s="9">
        <v>-0.04</v>
      </c>
      <c r="F208" s="9">
        <v>4.6500000000000004</v>
      </c>
      <c r="G208" s="9">
        <v>-0.01</v>
      </c>
      <c r="H208" s="9">
        <v>0.01</v>
      </c>
      <c r="I208" s="9">
        <v>9.94</v>
      </c>
      <c r="J208" s="9">
        <v>67.599999999999994</v>
      </c>
      <c r="K208" s="9">
        <v>24.3</v>
      </c>
      <c r="L208" s="9">
        <v>32.9</v>
      </c>
      <c r="M208" s="9">
        <v>33.6</v>
      </c>
      <c r="N208" s="9">
        <v>81.8</v>
      </c>
    </row>
    <row r="209" spans="1:14">
      <c r="A209" s="9">
        <v>7</v>
      </c>
      <c r="B209" s="9" t="s">
        <v>66</v>
      </c>
      <c r="C209" s="9">
        <v>5.46</v>
      </c>
      <c r="D209" s="9">
        <v>-0.16</v>
      </c>
      <c r="E209" s="9">
        <v>-0.14000000000000001</v>
      </c>
      <c r="F209" s="9">
        <v>4.6500000000000004</v>
      </c>
      <c r="G209" s="9">
        <v>0.06</v>
      </c>
      <c r="H209" s="9">
        <v>0.01</v>
      </c>
      <c r="I209" s="9">
        <v>9.89</v>
      </c>
      <c r="J209" s="9">
        <v>69</v>
      </c>
      <c r="K209" s="9">
        <v>22.5</v>
      </c>
      <c r="L209" s="9">
        <v>33.200000000000003</v>
      </c>
      <c r="M209" s="9">
        <v>33.4</v>
      </c>
      <c r="N209" s="9">
        <v>82.6</v>
      </c>
    </row>
    <row r="210" spans="1:14">
      <c r="A210" s="9">
        <v>7</v>
      </c>
      <c r="B210" s="9" t="s">
        <v>67</v>
      </c>
      <c r="C210" s="9">
        <v>5.27</v>
      </c>
      <c r="D210" s="9">
        <v>-0.08</v>
      </c>
      <c r="E210" s="9">
        <v>-0.17</v>
      </c>
      <c r="F210" s="9">
        <v>4.6500000000000004</v>
      </c>
      <c r="G210" s="9">
        <v>0.08</v>
      </c>
      <c r="H210" s="9">
        <v>-6.7000000000000004E-2</v>
      </c>
      <c r="I210" s="9">
        <v>9.69</v>
      </c>
      <c r="J210" s="9">
        <v>64.5</v>
      </c>
      <c r="K210" s="9">
        <v>31.2</v>
      </c>
      <c r="L210" s="9">
        <v>34</v>
      </c>
      <c r="M210" s="9">
        <v>36.200000000000003</v>
      </c>
      <c r="N210" s="9">
        <v>84.6</v>
      </c>
    </row>
    <row r="211" spans="1:14">
      <c r="A211" s="9">
        <v>7</v>
      </c>
      <c r="B211" s="9" t="s">
        <v>69</v>
      </c>
      <c r="C211" s="9">
        <v>5.39</v>
      </c>
      <c r="D211" s="9">
        <v>0</v>
      </c>
      <c r="E211" s="9">
        <v>-0.1</v>
      </c>
      <c r="F211" s="9">
        <v>4.6500000000000004</v>
      </c>
      <c r="G211" s="9">
        <v>7.0000000000000007E-2</v>
      </c>
      <c r="H211" s="9">
        <v>-7.9000000000000001E-2</v>
      </c>
      <c r="I211" s="9">
        <v>9.93</v>
      </c>
      <c r="J211" s="9">
        <v>65.5</v>
      </c>
      <c r="K211" s="9">
        <v>24.6</v>
      </c>
      <c r="L211" s="9">
        <v>34.799999999999997</v>
      </c>
      <c r="M211" s="9">
        <v>36.200000000000003</v>
      </c>
      <c r="N211" s="9">
        <v>82.7</v>
      </c>
    </row>
    <row r="212" spans="1:14">
      <c r="A212" s="9">
        <v>7</v>
      </c>
      <c r="B212" s="9" t="s">
        <v>71</v>
      </c>
      <c r="C212" s="9">
        <v>5.07</v>
      </c>
      <c r="D212" s="9">
        <v>-0.04</v>
      </c>
      <c r="E212" s="9">
        <v>0.08</v>
      </c>
      <c r="F212" s="9">
        <v>4.6500000000000004</v>
      </c>
      <c r="G212" s="9">
        <v>0.03</v>
      </c>
      <c r="H212" s="9">
        <v>0.01</v>
      </c>
      <c r="I212" s="9">
        <v>9.8000000000000007</v>
      </c>
      <c r="J212" s="9">
        <v>59.7</v>
      </c>
      <c r="K212" s="9">
        <v>17.7</v>
      </c>
      <c r="L212" s="9">
        <v>34.299999999999997</v>
      </c>
      <c r="M212" s="9">
        <v>34.6</v>
      </c>
      <c r="N212" s="9">
        <v>83.8</v>
      </c>
    </row>
    <row r="213" spans="1:14">
      <c r="A213" s="9">
        <v>7</v>
      </c>
      <c r="B213" s="9" t="s">
        <v>72</v>
      </c>
      <c r="C213" s="9">
        <v>4.92</v>
      </c>
      <c r="D213" s="9">
        <v>0.19</v>
      </c>
      <c r="E213" s="9">
        <v>0.23</v>
      </c>
      <c r="F213" s="9">
        <v>4.6500000000000004</v>
      </c>
      <c r="G213" s="9">
        <v>0.04</v>
      </c>
      <c r="H213" s="9">
        <v>0.01</v>
      </c>
      <c r="I213" s="9">
        <v>10.029999999999999</v>
      </c>
      <c r="J213" s="9">
        <v>57</v>
      </c>
      <c r="K213" s="9">
        <v>16.8</v>
      </c>
      <c r="L213" s="9">
        <v>33.200000000000003</v>
      </c>
      <c r="M213" s="9">
        <v>31.1</v>
      </c>
      <c r="N213" s="9">
        <v>82.6</v>
      </c>
    </row>
    <row r="214" spans="1:14">
      <c r="A214" s="9">
        <v>7</v>
      </c>
      <c r="B214" s="9" t="s">
        <v>74</v>
      </c>
      <c r="C214" s="9">
        <v>5.22</v>
      </c>
      <c r="D214" s="9">
        <v>0.02</v>
      </c>
      <c r="E214" s="9">
        <v>0.01</v>
      </c>
      <c r="F214" s="9">
        <v>4.6500000000000004</v>
      </c>
      <c r="G214" s="9">
        <v>0.08</v>
      </c>
      <c r="H214" s="9">
        <v>0.01</v>
      </c>
      <c r="I214" s="9">
        <v>9.99</v>
      </c>
      <c r="J214" s="9">
        <v>64.599999999999994</v>
      </c>
      <c r="K214" s="9">
        <v>18.100000000000001</v>
      </c>
      <c r="L214" s="9">
        <v>33.4</v>
      </c>
      <c r="M214" s="9">
        <v>34.799999999999997</v>
      </c>
      <c r="N214" s="9">
        <v>82.1</v>
      </c>
    </row>
    <row r="215" spans="1:14">
      <c r="A215" s="9">
        <v>7</v>
      </c>
      <c r="B215" s="9" t="s">
        <v>75</v>
      </c>
      <c r="C215" s="9">
        <v>5.28</v>
      </c>
      <c r="D215" s="9">
        <v>0.08</v>
      </c>
      <c r="E215" s="9">
        <v>-0.14000000000000001</v>
      </c>
      <c r="F215" s="9">
        <v>4.6500000000000004</v>
      </c>
      <c r="G215" s="9">
        <v>0.08</v>
      </c>
      <c r="H215" s="9">
        <v>0.01</v>
      </c>
      <c r="I215" s="9">
        <v>9.9700000000000006</v>
      </c>
      <c r="J215" s="9">
        <v>62.6</v>
      </c>
      <c r="K215" s="9">
        <v>19.5</v>
      </c>
      <c r="L215" s="9">
        <v>33.799999999999997</v>
      </c>
      <c r="M215" s="9">
        <v>32.299999999999997</v>
      </c>
      <c r="N215" s="9">
        <v>83.6</v>
      </c>
    </row>
    <row r="216" spans="1:14">
      <c r="A216" s="9">
        <v>7</v>
      </c>
      <c r="B216" s="9" t="s">
        <v>79</v>
      </c>
      <c r="C216" s="9">
        <v>5.28</v>
      </c>
      <c r="D216" s="9">
        <v>7.0000000000000007E-2</v>
      </c>
      <c r="E216" s="9">
        <v>0.04</v>
      </c>
      <c r="F216" s="9">
        <v>4.6500000000000004</v>
      </c>
      <c r="G216" s="9">
        <v>-0.03</v>
      </c>
      <c r="H216" s="9">
        <v>0.01</v>
      </c>
      <c r="I216" s="9">
        <v>10.029999999999999</v>
      </c>
      <c r="J216" s="9">
        <v>62.8</v>
      </c>
      <c r="K216" s="9">
        <v>17.8</v>
      </c>
      <c r="L216" s="9">
        <v>34.799999999999997</v>
      </c>
      <c r="M216" s="9">
        <v>30.5</v>
      </c>
      <c r="N216" s="9">
        <v>80.3</v>
      </c>
    </row>
    <row r="217" spans="1:14">
      <c r="A217" s="9">
        <v>7</v>
      </c>
      <c r="B217" s="9" t="s">
        <v>80</v>
      </c>
      <c r="C217" s="9">
        <v>5.32</v>
      </c>
      <c r="D217" s="9">
        <v>0.16</v>
      </c>
      <c r="E217" s="9">
        <v>0.12</v>
      </c>
      <c r="F217" s="9">
        <v>4.6500000000000004</v>
      </c>
      <c r="G217" s="9">
        <v>-0.02</v>
      </c>
      <c r="H217" s="9">
        <v>0.01</v>
      </c>
      <c r="I217" s="9">
        <v>10.24</v>
      </c>
      <c r="J217" s="9">
        <v>50.2</v>
      </c>
      <c r="K217" s="9">
        <v>13.8</v>
      </c>
      <c r="L217" s="9">
        <v>34.1</v>
      </c>
      <c r="M217" s="9">
        <v>31.6</v>
      </c>
      <c r="N217" s="9">
        <v>80.7</v>
      </c>
    </row>
    <row r="218" spans="1:14">
      <c r="A218" s="9">
        <v>7</v>
      </c>
      <c r="B218" s="9" t="s">
        <v>81</v>
      </c>
      <c r="C218" s="9">
        <v>5.52</v>
      </c>
      <c r="D218" s="9">
        <v>0.02</v>
      </c>
      <c r="E218" s="9">
        <v>-0.03</v>
      </c>
      <c r="F218" s="9">
        <v>4.6500000000000004</v>
      </c>
      <c r="G218" s="9">
        <v>-0.02</v>
      </c>
      <c r="H218" s="9">
        <v>0.01</v>
      </c>
      <c r="I218" s="9">
        <v>10.16</v>
      </c>
      <c r="J218" s="9">
        <v>56.8</v>
      </c>
      <c r="K218" s="9">
        <v>15.5</v>
      </c>
      <c r="L218" s="9">
        <v>33.700000000000003</v>
      </c>
      <c r="M218" s="9">
        <v>32.799999999999997</v>
      </c>
      <c r="N218" s="9">
        <v>82.4</v>
      </c>
    </row>
    <row r="219" spans="1:14">
      <c r="A219" s="9">
        <v>7</v>
      </c>
      <c r="B219" s="9" t="s">
        <v>82</v>
      </c>
      <c r="C219" s="9">
        <v>5.88</v>
      </c>
      <c r="D219" s="9">
        <v>-0.02</v>
      </c>
      <c r="E219" s="9">
        <v>-0.43</v>
      </c>
      <c r="F219" s="9">
        <v>4.6500000000000004</v>
      </c>
      <c r="G219" s="9">
        <v>-0.06</v>
      </c>
      <c r="H219" s="9">
        <v>1E-3</v>
      </c>
      <c r="I219" s="9">
        <v>10.02</v>
      </c>
      <c r="J219" s="9">
        <v>56.3</v>
      </c>
      <c r="K219" s="9">
        <v>20.8</v>
      </c>
      <c r="L219" s="9">
        <v>35.5</v>
      </c>
      <c r="M219" s="9">
        <v>37.1</v>
      </c>
      <c r="N219" s="9">
        <v>79</v>
      </c>
    </row>
    <row r="220" spans="1:14">
      <c r="A220" s="9">
        <v>7</v>
      </c>
      <c r="B220" s="9" t="s">
        <v>83</v>
      </c>
      <c r="C220" s="9">
        <v>6.06</v>
      </c>
      <c r="D220" s="9">
        <v>-0.08</v>
      </c>
      <c r="E220" s="9">
        <v>-0.52</v>
      </c>
      <c r="F220" s="9">
        <v>4.6500000000000004</v>
      </c>
      <c r="G220" s="9">
        <v>0.08</v>
      </c>
      <c r="H220" s="9">
        <v>-1E-3</v>
      </c>
      <c r="I220" s="9">
        <v>10.19</v>
      </c>
      <c r="J220" s="9">
        <v>57.5</v>
      </c>
      <c r="K220" s="9">
        <v>17.899999999999999</v>
      </c>
      <c r="L220" s="9">
        <v>35.200000000000003</v>
      </c>
      <c r="M220" s="9">
        <v>32.700000000000003</v>
      </c>
      <c r="N220" s="9">
        <v>79.8</v>
      </c>
    </row>
    <row r="221" spans="1:14">
      <c r="A221" s="9">
        <v>7</v>
      </c>
      <c r="B221" s="9" t="s">
        <v>84</v>
      </c>
      <c r="C221" s="9">
        <v>6.09</v>
      </c>
      <c r="D221" s="9">
        <v>-0.16</v>
      </c>
      <c r="E221" s="9">
        <v>-0.67</v>
      </c>
      <c r="F221" s="9">
        <v>4.6500000000000004</v>
      </c>
      <c r="G221" s="9">
        <v>0</v>
      </c>
      <c r="H221" s="9">
        <v>0.01</v>
      </c>
      <c r="I221" s="9">
        <v>9.93</v>
      </c>
      <c r="J221" s="9">
        <v>58</v>
      </c>
      <c r="K221" s="9">
        <v>23.6</v>
      </c>
      <c r="L221" s="9">
        <v>33.700000000000003</v>
      </c>
      <c r="M221" s="9">
        <v>31</v>
      </c>
      <c r="N221" s="9">
        <v>84.6</v>
      </c>
    </row>
    <row r="222" spans="1:14">
      <c r="A222" s="9">
        <v>7</v>
      </c>
      <c r="B222" s="9" t="s">
        <v>85</v>
      </c>
      <c r="C222" s="9">
        <v>6.24</v>
      </c>
      <c r="D222" s="9">
        <v>-0.27</v>
      </c>
      <c r="E222" s="9">
        <v>-0.52</v>
      </c>
      <c r="F222" s="9">
        <v>4.6500000000000004</v>
      </c>
      <c r="G222" s="9">
        <v>-0.06</v>
      </c>
      <c r="H222" s="9">
        <v>-0.106</v>
      </c>
      <c r="I222" s="9">
        <v>9.94</v>
      </c>
      <c r="J222" s="9">
        <v>71.5</v>
      </c>
      <c r="K222" s="9">
        <v>25.6</v>
      </c>
      <c r="L222" s="9">
        <v>33.5</v>
      </c>
      <c r="M222" s="9">
        <v>35.799999999999997</v>
      </c>
      <c r="N222" s="9">
        <v>86.3</v>
      </c>
    </row>
    <row r="223" spans="1:14">
      <c r="A223" s="9">
        <v>7</v>
      </c>
      <c r="B223" s="9" t="s">
        <v>86</v>
      </c>
      <c r="C223" s="9">
        <v>5.66</v>
      </c>
      <c r="D223" s="9">
        <v>0.06</v>
      </c>
      <c r="E223" s="9">
        <v>-0.23</v>
      </c>
      <c r="F223" s="9">
        <v>4.6500000000000004</v>
      </c>
      <c r="G223" s="9">
        <v>0.01</v>
      </c>
      <c r="H223" s="9">
        <v>0.01</v>
      </c>
      <c r="I223" s="9">
        <v>10.17</v>
      </c>
      <c r="J223" s="9">
        <v>65</v>
      </c>
      <c r="K223" s="9">
        <v>35.6</v>
      </c>
      <c r="L223" s="9">
        <v>32.4</v>
      </c>
      <c r="M223" s="9">
        <v>38.299999999999997</v>
      </c>
      <c r="N223" s="9">
        <v>81.8</v>
      </c>
    </row>
    <row r="224" spans="1:14">
      <c r="A224" s="9">
        <v>7</v>
      </c>
      <c r="B224" s="9" t="s">
        <v>88</v>
      </c>
      <c r="C224" s="9">
        <v>5.41</v>
      </c>
      <c r="D224" s="9">
        <v>0.04</v>
      </c>
      <c r="E224" s="9">
        <v>-0.14000000000000001</v>
      </c>
      <c r="F224" s="9">
        <v>4.6500000000000004</v>
      </c>
      <c r="G224" s="9">
        <v>0</v>
      </c>
      <c r="H224" s="9">
        <v>0.01</v>
      </c>
      <c r="I224" s="9">
        <v>9.9700000000000006</v>
      </c>
      <c r="J224" s="9">
        <v>59.3</v>
      </c>
      <c r="K224" s="9">
        <v>21.4</v>
      </c>
      <c r="L224" s="9">
        <v>33.4</v>
      </c>
      <c r="M224" s="9">
        <v>36.700000000000003</v>
      </c>
      <c r="N224" s="9">
        <v>81.8</v>
      </c>
    </row>
    <row r="225" spans="1:14">
      <c r="A225" s="9">
        <v>7</v>
      </c>
      <c r="B225" s="9" t="s">
        <v>89</v>
      </c>
      <c r="C225" s="9">
        <v>5.83</v>
      </c>
      <c r="D225" s="9">
        <v>-0.17</v>
      </c>
      <c r="E225" s="9">
        <v>-0.1</v>
      </c>
      <c r="F225" s="9">
        <v>4.6500000000000004</v>
      </c>
      <c r="G225" s="9">
        <v>0.14000000000000001</v>
      </c>
      <c r="H225" s="9">
        <v>0.01</v>
      </c>
      <c r="I225" s="9">
        <v>10.36</v>
      </c>
      <c r="J225" s="9">
        <v>57.1</v>
      </c>
      <c r="K225" s="9">
        <v>20.2</v>
      </c>
      <c r="L225" s="9">
        <v>34.4</v>
      </c>
      <c r="M225" s="9">
        <v>33.700000000000003</v>
      </c>
      <c r="N225" s="9">
        <v>84.6</v>
      </c>
    </row>
    <row r="226" spans="1:14">
      <c r="A226" s="9">
        <v>7</v>
      </c>
      <c r="B226" s="9" t="s">
        <v>90</v>
      </c>
      <c r="C226" s="9">
        <v>6.2</v>
      </c>
      <c r="D226" s="9">
        <v>-0.11</v>
      </c>
      <c r="E226" s="9">
        <v>-0.36</v>
      </c>
      <c r="F226" s="9">
        <v>4.6500000000000004</v>
      </c>
      <c r="G226" s="9">
        <v>0.11</v>
      </c>
      <c r="H226" s="9">
        <v>-2.5000000000000001E-2</v>
      </c>
      <c r="I226" s="9">
        <v>10.47</v>
      </c>
      <c r="J226" s="9">
        <v>57</v>
      </c>
      <c r="K226" s="9">
        <v>27.2</v>
      </c>
      <c r="L226" s="9">
        <v>35.799999999999997</v>
      </c>
      <c r="M226" s="9">
        <v>31.1</v>
      </c>
      <c r="N226" s="9">
        <v>77</v>
      </c>
    </row>
    <row r="227" spans="1:14">
      <c r="A227" s="9">
        <v>7</v>
      </c>
      <c r="B227" s="9" t="s">
        <v>91</v>
      </c>
      <c r="C227" s="9">
        <v>5.99</v>
      </c>
      <c r="D227" s="9">
        <v>-0.05</v>
      </c>
      <c r="E227" s="9">
        <v>-0.35</v>
      </c>
      <c r="F227" s="9">
        <v>4.6500000000000004</v>
      </c>
      <c r="G227" s="9">
        <v>-0.04</v>
      </c>
      <c r="H227" s="9">
        <v>0.01</v>
      </c>
      <c r="I227" s="9">
        <v>10.210000000000001</v>
      </c>
      <c r="J227" s="9">
        <v>55</v>
      </c>
      <c r="K227" s="9">
        <v>34.1</v>
      </c>
      <c r="L227" s="9">
        <v>33.5</v>
      </c>
      <c r="M227" s="9">
        <v>32.5</v>
      </c>
      <c r="N227" s="9">
        <v>80.599999999999994</v>
      </c>
    </row>
    <row r="228" spans="1:14">
      <c r="A228" s="9">
        <v>7</v>
      </c>
      <c r="B228" s="9" t="s">
        <v>92</v>
      </c>
      <c r="C228" s="9">
        <v>5.95</v>
      </c>
      <c r="D228" s="9">
        <v>-0.01</v>
      </c>
      <c r="E228" s="9">
        <v>-0.47</v>
      </c>
      <c r="F228" s="9">
        <v>4.6500000000000004</v>
      </c>
      <c r="G228" s="9">
        <v>0.05</v>
      </c>
      <c r="H228" s="9">
        <v>0.01</v>
      </c>
      <c r="I228" s="9">
        <v>10.18</v>
      </c>
      <c r="J228" s="9">
        <v>63</v>
      </c>
      <c r="K228" s="9">
        <v>19.2</v>
      </c>
      <c r="L228" s="9">
        <v>33.200000000000003</v>
      </c>
      <c r="M228" s="9">
        <v>33.700000000000003</v>
      </c>
      <c r="N228" s="9">
        <v>81</v>
      </c>
    </row>
    <row r="229" spans="1:14">
      <c r="A229" s="9">
        <v>7</v>
      </c>
      <c r="B229" s="9" t="s">
        <v>93</v>
      </c>
      <c r="C229" s="9">
        <v>6.03</v>
      </c>
      <c r="D229" s="9">
        <v>-0.17</v>
      </c>
      <c r="E229" s="9">
        <v>-0.39</v>
      </c>
      <c r="F229" s="9">
        <v>4.6500000000000004</v>
      </c>
      <c r="G229" s="9">
        <v>-0.01</v>
      </c>
      <c r="H229" s="9">
        <v>0.01</v>
      </c>
      <c r="I229" s="9">
        <v>10.130000000000001</v>
      </c>
      <c r="J229" s="9">
        <v>68</v>
      </c>
      <c r="K229" s="9">
        <v>17.100000000000001</v>
      </c>
      <c r="L229" s="9">
        <v>31</v>
      </c>
      <c r="M229" s="9">
        <v>29.9</v>
      </c>
      <c r="N229" s="9">
        <v>79.099999999999994</v>
      </c>
    </row>
    <row r="230" spans="1:14">
      <c r="A230" s="9">
        <v>7</v>
      </c>
      <c r="B230" s="9" t="s">
        <v>94</v>
      </c>
      <c r="C230" s="9">
        <v>5.9</v>
      </c>
      <c r="D230" s="9">
        <v>0.04</v>
      </c>
      <c r="E230" s="9">
        <v>-0.28999999999999998</v>
      </c>
      <c r="F230" s="9">
        <v>4.6500000000000004</v>
      </c>
      <c r="G230" s="9">
        <v>0</v>
      </c>
      <c r="H230" s="9">
        <v>0.01</v>
      </c>
      <c r="I230" s="9">
        <v>10.31</v>
      </c>
      <c r="J230" s="9">
        <v>57.9</v>
      </c>
      <c r="K230" s="9">
        <v>21.5</v>
      </c>
      <c r="L230" s="9">
        <v>34.1</v>
      </c>
      <c r="M230" s="9">
        <v>33.299999999999997</v>
      </c>
      <c r="N230" s="9">
        <v>83.9</v>
      </c>
    </row>
    <row r="231" spans="1:14">
      <c r="A231" s="9">
        <v>7</v>
      </c>
      <c r="B231" s="9" t="s">
        <v>95</v>
      </c>
      <c r="C231" s="9">
        <v>6.93</v>
      </c>
      <c r="D231" s="9">
        <v>-0.19</v>
      </c>
      <c r="E231" s="9">
        <v>-0.68</v>
      </c>
      <c r="F231" s="9">
        <v>4.6500000000000004</v>
      </c>
      <c r="G231" s="9">
        <v>0.06</v>
      </c>
      <c r="H231" s="9">
        <v>0.01</v>
      </c>
      <c r="I231" s="9">
        <v>10.78</v>
      </c>
      <c r="J231" s="9">
        <v>58.9</v>
      </c>
      <c r="K231" s="9">
        <v>24.8</v>
      </c>
      <c r="L231" s="9">
        <v>34.5</v>
      </c>
      <c r="M231" s="9">
        <v>34.799999999999997</v>
      </c>
      <c r="N231" s="9">
        <v>85.1</v>
      </c>
    </row>
    <row r="232" spans="1:14">
      <c r="A232" s="9">
        <v>7</v>
      </c>
      <c r="B232" s="9" t="s">
        <v>96</v>
      </c>
      <c r="C232" s="9">
        <v>6.7</v>
      </c>
      <c r="D232" s="9">
        <v>-0.27</v>
      </c>
      <c r="E232" s="9">
        <v>-0.76</v>
      </c>
      <c r="F232" s="9">
        <v>4.6500000000000004</v>
      </c>
      <c r="G232" s="9">
        <v>7.0000000000000007E-2</v>
      </c>
      <c r="H232" s="9">
        <v>0.01</v>
      </c>
      <c r="I232" s="9">
        <v>10.41</v>
      </c>
      <c r="J232" s="9">
        <v>59.3</v>
      </c>
      <c r="K232" s="9">
        <v>25.6</v>
      </c>
      <c r="L232" s="9">
        <v>34.5</v>
      </c>
      <c r="M232" s="9">
        <v>33.799999999999997</v>
      </c>
      <c r="N232" s="9">
        <v>84.7</v>
      </c>
    </row>
    <row r="233" spans="1:14">
      <c r="A233" s="9">
        <v>7</v>
      </c>
      <c r="B233" s="9" t="s">
        <v>97</v>
      </c>
      <c r="C233" s="9">
        <v>6.34</v>
      </c>
      <c r="D233" s="9">
        <v>-0.1</v>
      </c>
      <c r="E233" s="9">
        <v>-0.6</v>
      </c>
      <c r="F233" s="9">
        <v>4.6500000000000004</v>
      </c>
      <c r="G233" s="9">
        <v>-0.03</v>
      </c>
      <c r="H233" s="9">
        <v>-0.13700000000000001</v>
      </c>
      <c r="I233" s="9">
        <v>10.119999999999999</v>
      </c>
      <c r="J233" s="9">
        <v>64.099999999999994</v>
      </c>
      <c r="K233" s="9">
        <v>38.299999999999997</v>
      </c>
      <c r="L233" s="9">
        <v>34</v>
      </c>
      <c r="M233" s="9">
        <v>38.9</v>
      </c>
      <c r="N233" s="9">
        <v>85.1</v>
      </c>
    </row>
    <row r="234" spans="1:14">
      <c r="A234" s="9">
        <v>7</v>
      </c>
      <c r="B234" s="9" t="s">
        <v>98</v>
      </c>
      <c r="C234" s="9">
        <v>6.41</v>
      </c>
      <c r="D234" s="9">
        <v>-0.22</v>
      </c>
      <c r="E234" s="9">
        <v>-0.56999999999999995</v>
      </c>
      <c r="F234" s="9">
        <v>4.6500000000000004</v>
      </c>
      <c r="G234" s="9">
        <v>0.02</v>
      </c>
      <c r="H234" s="9">
        <v>-4.8000000000000001E-2</v>
      </c>
      <c r="I234" s="9">
        <v>10.25</v>
      </c>
      <c r="J234" s="9">
        <v>66.599999999999994</v>
      </c>
      <c r="K234" s="9">
        <v>30.8</v>
      </c>
      <c r="L234" s="9">
        <v>34.299999999999997</v>
      </c>
      <c r="M234" s="9">
        <v>37.5</v>
      </c>
      <c r="N234" s="9">
        <v>82.8</v>
      </c>
    </row>
    <row r="235" spans="1:14">
      <c r="A235" s="9">
        <v>7</v>
      </c>
      <c r="B235" s="9" t="s">
        <v>99</v>
      </c>
      <c r="C235" s="9">
        <v>6.21</v>
      </c>
      <c r="D235" s="9">
        <v>-0.13</v>
      </c>
      <c r="E235" s="9">
        <v>-0.75</v>
      </c>
      <c r="F235" s="9">
        <v>4.6500000000000004</v>
      </c>
      <c r="G235" s="9">
        <v>0.15</v>
      </c>
      <c r="H235" s="9">
        <v>-4.8000000000000001E-2</v>
      </c>
      <c r="I235" s="9">
        <v>10.09</v>
      </c>
      <c r="J235" s="9">
        <v>60.1</v>
      </c>
      <c r="K235" s="9">
        <v>20.7</v>
      </c>
      <c r="L235" s="9">
        <v>34.5</v>
      </c>
      <c r="M235" s="9">
        <v>34.1</v>
      </c>
      <c r="N235" s="9">
        <v>85.9</v>
      </c>
    </row>
    <row r="236" spans="1:14">
      <c r="A236" s="9">
        <v>7</v>
      </c>
      <c r="B236" s="9" t="s">
        <v>100</v>
      </c>
      <c r="C236" s="9">
        <v>6.65</v>
      </c>
      <c r="D236" s="9">
        <v>-0.12</v>
      </c>
      <c r="E236" s="9">
        <v>-0.9</v>
      </c>
      <c r="F236" s="9">
        <v>4.6500000000000004</v>
      </c>
      <c r="G236" s="9">
        <v>0.01</v>
      </c>
      <c r="H236" s="9">
        <v>0.01</v>
      </c>
      <c r="I236" s="9">
        <v>10.31</v>
      </c>
      <c r="J236" s="9">
        <v>51.6</v>
      </c>
      <c r="K236" s="9">
        <v>21.5</v>
      </c>
      <c r="L236" s="9">
        <v>34.1</v>
      </c>
      <c r="M236" s="9">
        <v>39</v>
      </c>
      <c r="N236" s="9">
        <v>87.5</v>
      </c>
    </row>
    <row r="237" spans="1:14">
      <c r="A237" s="9">
        <v>7</v>
      </c>
      <c r="B237" s="9" t="s">
        <v>101</v>
      </c>
      <c r="C237" s="9">
        <v>6.41</v>
      </c>
      <c r="D237" s="9">
        <v>0.11</v>
      </c>
      <c r="E237" s="9">
        <v>-1.48</v>
      </c>
      <c r="F237" s="9">
        <v>4.6500000000000004</v>
      </c>
      <c r="G237" s="9">
        <v>-0.25</v>
      </c>
      <c r="H237" s="9">
        <v>-2E-3</v>
      </c>
      <c r="I237" s="9">
        <v>9.44</v>
      </c>
      <c r="J237" s="9">
        <v>60.2</v>
      </c>
      <c r="K237" s="9">
        <v>28.8</v>
      </c>
      <c r="L237" s="9">
        <v>33.9</v>
      </c>
      <c r="M237" s="9">
        <v>33.9</v>
      </c>
      <c r="N237" s="9">
        <v>90.1</v>
      </c>
    </row>
    <row r="238" spans="1:14">
      <c r="A238" s="9">
        <v>8</v>
      </c>
      <c r="B238" s="9" t="s">
        <v>33</v>
      </c>
      <c r="C238" s="9">
        <v>6.21</v>
      </c>
      <c r="D238" s="9">
        <v>-0.33</v>
      </c>
      <c r="E238" s="9">
        <v>-0.19</v>
      </c>
      <c r="F238" s="9">
        <v>4.55</v>
      </c>
      <c r="G238" s="9">
        <v>0.03</v>
      </c>
      <c r="H238" s="9">
        <v>0.01</v>
      </c>
      <c r="I238" s="9">
        <v>10.28</v>
      </c>
      <c r="J238" s="9">
        <v>56.1</v>
      </c>
      <c r="K238" s="9">
        <v>16</v>
      </c>
      <c r="L238" s="9">
        <v>32.200000000000003</v>
      </c>
      <c r="M238" s="9">
        <v>33.299999999999997</v>
      </c>
      <c r="N238" s="9">
        <v>87.9</v>
      </c>
    </row>
    <row r="239" spans="1:14">
      <c r="A239" s="9">
        <v>8</v>
      </c>
      <c r="B239" s="9" t="s">
        <v>36</v>
      </c>
      <c r="C239" s="9">
        <v>6.38</v>
      </c>
      <c r="D239" s="9">
        <v>-0.41</v>
      </c>
      <c r="E239" s="9">
        <v>-0.77</v>
      </c>
      <c r="F239" s="9">
        <v>4.55</v>
      </c>
      <c r="G239" s="9">
        <v>0.11</v>
      </c>
      <c r="H239" s="9">
        <v>0.01</v>
      </c>
      <c r="I239" s="9">
        <v>9.85</v>
      </c>
      <c r="J239" s="9">
        <v>63.2</v>
      </c>
      <c r="K239" s="9">
        <v>29.2</v>
      </c>
      <c r="L239" s="9">
        <v>31.6</v>
      </c>
      <c r="M239" s="9">
        <v>32.9</v>
      </c>
      <c r="N239" s="9">
        <v>88.4</v>
      </c>
    </row>
    <row r="240" spans="1:14">
      <c r="A240" s="9">
        <v>8</v>
      </c>
      <c r="B240" s="9" t="s">
        <v>37</v>
      </c>
      <c r="C240" s="9">
        <v>6.02</v>
      </c>
      <c r="D240" s="9">
        <v>-0.37</v>
      </c>
      <c r="E240" s="9">
        <v>-0.64</v>
      </c>
      <c r="F240" s="9">
        <v>4.55</v>
      </c>
      <c r="G240" s="9">
        <v>-0.06</v>
      </c>
      <c r="H240" s="9">
        <v>0</v>
      </c>
      <c r="I240" s="9">
        <v>9.51</v>
      </c>
      <c r="J240" s="9">
        <v>65.7</v>
      </c>
      <c r="K240" s="9">
        <v>21.8</v>
      </c>
      <c r="L240" s="9">
        <v>33.200000000000003</v>
      </c>
      <c r="M240" s="9">
        <v>32.799999999999997</v>
      </c>
      <c r="N240" s="9">
        <v>90.2</v>
      </c>
    </row>
    <row r="241" spans="1:14">
      <c r="A241" s="9">
        <v>8</v>
      </c>
      <c r="B241" s="9" t="s">
        <v>39</v>
      </c>
      <c r="C241" s="9">
        <v>5.99</v>
      </c>
      <c r="D241" s="9">
        <v>-0.16</v>
      </c>
      <c r="E241" s="9">
        <v>-0.35</v>
      </c>
      <c r="F241" s="9">
        <v>4.55</v>
      </c>
      <c r="G241" s="9">
        <v>0.06</v>
      </c>
      <c r="H241" s="9">
        <v>0.01</v>
      </c>
      <c r="I241" s="9">
        <v>10.1</v>
      </c>
      <c r="J241" s="9">
        <v>65.8</v>
      </c>
      <c r="K241" s="9">
        <v>26.6</v>
      </c>
      <c r="L241" s="9">
        <v>32.200000000000003</v>
      </c>
      <c r="M241" s="9">
        <v>33.9</v>
      </c>
      <c r="N241" s="9">
        <v>89.4</v>
      </c>
    </row>
    <row r="242" spans="1:14">
      <c r="A242" s="9">
        <v>8</v>
      </c>
      <c r="B242" s="9" t="s">
        <v>40</v>
      </c>
      <c r="C242" s="9">
        <v>6.81</v>
      </c>
      <c r="D242" s="9">
        <v>-0.66</v>
      </c>
      <c r="E242" s="9">
        <v>-0.69</v>
      </c>
      <c r="F242" s="9">
        <v>4.55</v>
      </c>
      <c r="G242" s="9">
        <v>0.04</v>
      </c>
      <c r="H242" s="9">
        <v>-0.03</v>
      </c>
      <c r="I242" s="9">
        <v>10.01</v>
      </c>
      <c r="J242" s="9">
        <v>64.3</v>
      </c>
      <c r="K242" s="9">
        <v>32.799999999999997</v>
      </c>
      <c r="L242" s="9">
        <v>34</v>
      </c>
      <c r="M242" s="9">
        <v>36</v>
      </c>
      <c r="N242" s="9">
        <v>88.6</v>
      </c>
    </row>
    <row r="243" spans="1:14">
      <c r="A243" s="9">
        <v>8</v>
      </c>
      <c r="B243" s="9" t="s">
        <v>41</v>
      </c>
      <c r="C243" s="9">
        <v>6.15</v>
      </c>
      <c r="D243" s="9">
        <v>-0.33</v>
      </c>
      <c r="E243" s="9">
        <v>-0.5</v>
      </c>
      <c r="F243" s="9">
        <v>4.55</v>
      </c>
      <c r="G243" s="9">
        <v>-0.04</v>
      </c>
      <c r="H243" s="9">
        <v>-0.04</v>
      </c>
      <c r="I243" s="9">
        <v>9.75</v>
      </c>
      <c r="J243" s="9">
        <v>79.2</v>
      </c>
      <c r="K243" s="9">
        <v>30.6</v>
      </c>
      <c r="L243" s="9">
        <v>33</v>
      </c>
      <c r="M243" s="9">
        <v>35.799999999999997</v>
      </c>
      <c r="N243" s="9">
        <v>90.2</v>
      </c>
    </row>
    <row r="244" spans="1:14">
      <c r="A244" s="9">
        <v>8</v>
      </c>
      <c r="B244" s="9" t="s">
        <v>42</v>
      </c>
      <c r="C244" s="9">
        <v>5.48</v>
      </c>
      <c r="D244" s="9">
        <v>-0.21</v>
      </c>
      <c r="E244" s="9">
        <v>-0.32</v>
      </c>
      <c r="F244" s="9">
        <v>4.55</v>
      </c>
      <c r="G244" s="9">
        <v>0.02</v>
      </c>
      <c r="H244" s="9">
        <v>-0.01</v>
      </c>
      <c r="I244" s="9">
        <v>9.5</v>
      </c>
      <c r="J244" s="9">
        <v>62.8</v>
      </c>
      <c r="K244" s="9">
        <v>25.8</v>
      </c>
      <c r="L244" s="9">
        <v>33.5</v>
      </c>
      <c r="M244" s="9">
        <v>32.200000000000003</v>
      </c>
      <c r="N244" s="9">
        <v>88.7</v>
      </c>
    </row>
    <row r="245" spans="1:14">
      <c r="A245" s="9">
        <v>8</v>
      </c>
      <c r="B245" s="9" t="s">
        <v>43</v>
      </c>
      <c r="C245" s="9">
        <v>5.0599999999999996</v>
      </c>
      <c r="D245" s="9">
        <v>-0.05</v>
      </c>
      <c r="E245" s="9">
        <v>0</v>
      </c>
      <c r="F245" s="9">
        <v>4.55</v>
      </c>
      <c r="G245" s="9">
        <v>-0.05</v>
      </c>
      <c r="H245" s="9">
        <v>0.01</v>
      </c>
      <c r="I245" s="9">
        <v>9.52</v>
      </c>
      <c r="J245" s="9">
        <v>58.4</v>
      </c>
      <c r="K245" s="9">
        <v>16.7</v>
      </c>
      <c r="L245" s="9">
        <v>32.4</v>
      </c>
      <c r="M245" s="9">
        <v>32.200000000000003</v>
      </c>
      <c r="N245" s="9">
        <v>86.8</v>
      </c>
    </row>
    <row r="246" spans="1:14">
      <c r="A246" s="9">
        <v>8</v>
      </c>
      <c r="B246" s="9" t="s">
        <v>44</v>
      </c>
      <c r="C246" s="9">
        <v>5.43</v>
      </c>
      <c r="D246" s="9">
        <v>-0.09</v>
      </c>
      <c r="E246" s="9">
        <v>-0.09</v>
      </c>
      <c r="F246" s="9">
        <v>4.55</v>
      </c>
      <c r="G246" s="9">
        <v>0.03</v>
      </c>
      <c r="H246" s="9">
        <v>0.01</v>
      </c>
      <c r="I246" s="9">
        <v>9.82</v>
      </c>
      <c r="J246" s="9">
        <v>63.8</v>
      </c>
      <c r="K246" s="9">
        <v>25.9</v>
      </c>
      <c r="L246" s="9">
        <v>33.6</v>
      </c>
      <c r="M246" s="9">
        <v>36</v>
      </c>
      <c r="N246" s="9">
        <v>86.4</v>
      </c>
    </row>
    <row r="247" spans="1:14">
      <c r="A247" s="9">
        <v>8</v>
      </c>
      <c r="B247" s="9" t="s">
        <v>45</v>
      </c>
      <c r="C247" s="9">
        <v>5.24</v>
      </c>
      <c r="D247" s="9">
        <v>-0.02</v>
      </c>
      <c r="E247" s="9">
        <v>-0.09</v>
      </c>
      <c r="F247" s="9">
        <v>4.55</v>
      </c>
      <c r="G247" s="9">
        <v>-0.01</v>
      </c>
      <c r="H247" s="9">
        <v>0.01</v>
      </c>
      <c r="I247" s="9">
        <v>9.68</v>
      </c>
      <c r="J247" s="9">
        <v>57.4</v>
      </c>
      <c r="K247" s="9">
        <v>14.5</v>
      </c>
      <c r="L247" s="9">
        <v>32.9</v>
      </c>
      <c r="M247" s="9">
        <v>31.8</v>
      </c>
      <c r="N247" s="9">
        <v>87.3</v>
      </c>
    </row>
    <row r="248" spans="1:14">
      <c r="A248" s="9">
        <v>8</v>
      </c>
      <c r="B248" s="9" t="s">
        <v>47</v>
      </c>
      <c r="C248" s="9">
        <v>5.03</v>
      </c>
      <c r="D248" s="9">
        <v>-0.02</v>
      </c>
      <c r="E248" s="9">
        <v>0.1</v>
      </c>
      <c r="F248" s="9">
        <v>4.55</v>
      </c>
      <c r="G248" s="9">
        <v>0</v>
      </c>
      <c r="H248" s="9">
        <v>0.01</v>
      </c>
      <c r="I248" s="9">
        <v>9.67</v>
      </c>
      <c r="J248" s="9">
        <v>51</v>
      </c>
      <c r="K248" s="9">
        <v>10.5</v>
      </c>
      <c r="L248" s="9">
        <v>33.1</v>
      </c>
      <c r="M248" s="9">
        <v>31.9</v>
      </c>
      <c r="N248" s="9">
        <v>87.2</v>
      </c>
    </row>
    <row r="249" spans="1:14">
      <c r="A249" s="9">
        <v>8</v>
      </c>
      <c r="B249" s="9" t="s">
        <v>49</v>
      </c>
      <c r="C249" s="9">
        <v>5.0999999999999996</v>
      </c>
      <c r="D249" s="9">
        <v>-0.06</v>
      </c>
      <c r="E249" s="9">
        <v>0.1</v>
      </c>
      <c r="F249" s="9">
        <v>4.55</v>
      </c>
      <c r="G249" s="9">
        <v>0.02</v>
      </c>
      <c r="H249" s="9">
        <v>0.01</v>
      </c>
      <c r="I249" s="9">
        <v>9.73</v>
      </c>
      <c r="J249" s="9">
        <v>51.6</v>
      </c>
      <c r="K249" s="9">
        <v>17.2</v>
      </c>
      <c r="L249" s="9">
        <v>32.9</v>
      </c>
      <c r="M249" s="9">
        <v>32.4</v>
      </c>
      <c r="N249" s="9">
        <v>87</v>
      </c>
    </row>
    <row r="250" spans="1:14">
      <c r="A250" s="9">
        <v>8</v>
      </c>
      <c r="B250" s="9" t="s">
        <v>51</v>
      </c>
      <c r="C250" s="9">
        <v>4.49</v>
      </c>
      <c r="D250" s="9">
        <v>0.16</v>
      </c>
      <c r="E250" s="9">
        <v>0.62</v>
      </c>
      <c r="F250" s="9">
        <v>4.55</v>
      </c>
      <c r="G250" s="9">
        <v>0.02</v>
      </c>
      <c r="H250" s="9">
        <v>0.01</v>
      </c>
      <c r="I250" s="9">
        <v>9.85</v>
      </c>
      <c r="J250" s="9">
        <v>54.6</v>
      </c>
      <c r="K250" s="9">
        <v>14.2</v>
      </c>
      <c r="L250" s="9">
        <v>34</v>
      </c>
      <c r="M250" s="9">
        <v>33.299999999999997</v>
      </c>
      <c r="N250" s="9">
        <v>86.1</v>
      </c>
    </row>
    <row r="251" spans="1:14">
      <c r="A251" s="9">
        <v>8</v>
      </c>
      <c r="B251" s="9" t="s">
        <v>53</v>
      </c>
      <c r="C251" s="9">
        <v>5.08</v>
      </c>
      <c r="D251" s="9">
        <v>-7.0000000000000007E-2</v>
      </c>
      <c r="E251" s="9">
        <v>0.34</v>
      </c>
      <c r="F251" s="9">
        <v>4.55</v>
      </c>
      <c r="G251" s="9">
        <v>0.05</v>
      </c>
      <c r="H251" s="9">
        <v>0.01</v>
      </c>
      <c r="I251" s="9">
        <v>9.92</v>
      </c>
      <c r="J251" s="9">
        <v>51.8</v>
      </c>
      <c r="K251" s="9">
        <v>13.8</v>
      </c>
      <c r="L251" s="9">
        <v>32.799999999999997</v>
      </c>
      <c r="M251" s="9">
        <v>32.9</v>
      </c>
      <c r="N251" s="9">
        <v>86.5</v>
      </c>
    </row>
    <row r="252" spans="1:14">
      <c r="A252" s="9">
        <v>8</v>
      </c>
      <c r="B252" s="9" t="s">
        <v>55</v>
      </c>
      <c r="C252" s="9">
        <v>5.28</v>
      </c>
      <c r="D252" s="9">
        <v>-0.15</v>
      </c>
      <c r="E252" s="9">
        <v>-0.28000000000000003</v>
      </c>
      <c r="F252" s="9">
        <v>4.55</v>
      </c>
      <c r="G252" s="9">
        <v>0.03</v>
      </c>
      <c r="H252" s="9">
        <v>-0.21</v>
      </c>
      <c r="I252" s="9">
        <v>9.2100000000000009</v>
      </c>
      <c r="J252" s="9">
        <v>72.099999999999994</v>
      </c>
      <c r="K252" s="9">
        <v>28.4</v>
      </c>
      <c r="L252" s="9">
        <v>35.5</v>
      </c>
      <c r="M252" s="9">
        <v>38.700000000000003</v>
      </c>
      <c r="N252" s="9">
        <v>88.6</v>
      </c>
    </row>
    <row r="253" spans="1:14">
      <c r="A253" s="9">
        <v>8</v>
      </c>
      <c r="B253" s="9" t="s">
        <v>57</v>
      </c>
      <c r="C253" s="9">
        <v>4.97</v>
      </c>
      <c r="D253" s="9">
        <v>-0.08</v>
      </c>
      <c r="E253" s="9">
        <v>0.11</v>
      </c>
      <c r="F253" s="9">
        <v>4.55</v>
      </c>
      <c r="G253" s="9">
        <v>0.03</v>
      </c>
      <c r="H253" s="9">
        <v>0.01</v>
      </c>
      <c r="I253" s="9">
        <v>9.59</v>
      </c>
      <c r="J253" s="9">
        <v>73.7</v>
      </c>
      <c r="K253" s="9">
        <v>28.4</v>
      </c>
      <c r="L253" s="9">
        <v>33</v>
      </c>
      <c r="M253" s="9">
        <v>38.4</v>
      </c>
      <c r="N253" s="9">
        <v>87.5</v>
      </c>
    </row>
    <row r="254" spans="1:14">
      <c r="A254" s="9">
        <v>8</v>
      </c>
      <c r="B254" s="9" t="s">
        <v>58</v>
      </c>
      <c r="C254" s="9">
        <v>5.12</v>
      </c>
      <c r="D254" s="9">
        <v>0</v>
      </c>
      <c r="E254" s="9">
        <v>0.06</v>
      </c>
      <c r="F254" s="9">
        <v>4.55</v>
      </c>
      <c r="G254" s="9">
        <v>0.01</v>
      </c>
      <c r="H254" s="9">
        <v>-0.04</v>
      </c>
      <c r="I254" s="9">
        <v>9.6999999999999993</v>
      </c>
      <c r="J254" s="9">
        <v>69.099999999999994</v>
      </c>
      <c r="K254" s="9">
        <v>27.4</v>
      </c>
      <c r="L254" s="9">
        <v>33.6</v>
      </c>
      <c r="M254" s="9">
        <v>33.799999999999997</v>
      </c>
      <c r="N254" s="9">
        <v>87.1</v>
      </c>
    </row>
    <row r="255" spans="1:14">
      <c r="A255" s="9">
        <v>8</v>
      </c>
      <c r="B255" s="9" t="s">
        <v>60</v>
      </c>
      <c r="C255" s="9">
        <v>5.43</v>
      </c>
      <c r="D255" s="9">
        <v>-0.14000000000000001</v>
      </c>
      <c r="E255" s="9">
        <v>-0.05</v>
      </c>
      <c r="F255" s="9">
        <v>4.55</v>
      </c>
      <c r="G255" s="9">
        <v>-0.1</v>
      </c>
      <c r="H255" s="9">
        <v>0.01</v>
      </c>
      <c r="I255" s="9">
        <v>9.7100000000000009</v>
      </c>
      <c r="J255" s="9">
        <v>69.900000000000006</v>
      </c>
      <c r="K255" s="9">
        <v>22.7</v>
      </c>
      <c r="L255" s="9">
        <v>32.799999999999997</v>
      </c>
      <c r="M255" s="9">
        <v>32.799999999999997</v>
      </c>
      <c r="N255" s="9">
        <v>86.2</v>
      </c>
    </row>
    <row r="256" spans="1:14">
      <c r="A256" s="9">
        <v>8</v>
      </c>
      <c r="B256" s="9" t="s">
        <v>66</v>
      </c>
      <c r="C256" s="9">
        <v>5.4</v>
      </c>
      <c r="D256" s="9">
        <v>-0.16</v>
      </c>
      <c r="E256" s="9">
        <v>-0.13</v>
      </c>
      <c r="F256" s="9">
        <v>4.55</v>
      </c>
      <c r="G256" s="9">
        <v>-0.09</v>
      </c>
      <c r="H256" s="9">
        <v>-0.01</v>
      </c>
      <c r="I256" s="9">
        <v>9.5500000000000007</v>
      </c>
      <c r="J256" s="9">
        <v>70.2</v>
      </c>
      <c r="K256" s="9">
        <v>27.2</v>
      </c>
      <c r="L256" s="9">
        <v>32.700000000000003</v>
      </c>
      <c r="M256" s="9">
        <v>34.700000000000003</v>
      </c>
      <c r="N256" s="9">
        <v>86.7</v>
      </c>
    </row>
    <row r="257" spans="1:14">
      <c r="A257" s="9">
        <v>8</v>
      </c>
      <c r="B257" s="9" t="s">
        <v>67</v>
      </c>
      <c r="C257" s="9">
        <v>5.28</v>
      </c>
      <c r="D257" s="9">
        <v>-0.09</v>
      </c>
      <c r="E257" s="9">
        <v>-0.17</v>
      </c>
      <c r="F257" s="9">
        <v>4.55</v>
      </c>
      <c r="G257" s="9">
        <v>0.05</v>
      </c>
      <c r="H257" s="9">
        <v>0.01</v>
      </c>
      <c r="I257" s="9">
        <v>9.6300000000000008</v>
      </c>
      <c r="J257" s="9">
        <v>65.900000000000006</v>
      </c>
      <c r="K257" s="9">
        <v>25.3</v>
      </c>
      <c r="L257" s="9">
        <v>33.4</v>
      </c>
      <c r="M257" s="9">
        <v>35.299999999999997</v>
      </c>
      <c r="N257" s="9">
        <v>87.9</v>
      </c>
    </row>
    <row r="258" spans="1:14">
      <c r="A258" s="9">
        <v>8</v>
      </c>
      <c r="B258" s="9" t="s">
        <v>69</v>
      </c>
      <c r="C258" s="9">
        <v>5.4</v>
      </c>
      <c r="D258" s="9">
        <v>-0.01</v>
      </c>
      <c r="E258" s="9">
        <v>-0.12</v>
      </c>
      <c r="F258" s="9">
        <v>4.55</v>
      </c>
      <c r="G258" s="9">
        <v>0.03</v>
      </c>
      <c r="H258" s="9">
        <v>-0.05</v>
      </c>
      <c r="I258" s="9">
        <v>9.8000000000000007</v>
      </c>
      <c r="J258" s="9">
        <v>65.900000000000006</v>
      </c>
      <c r="K258" s="9">
        <v>26.4</v>
      </c>
      <c r="L258" s="9">
        <v>34.200000000000003</v>
      </c>
      <c r="M258" s="9">
        <v>35.299999999999997</v>
      </c>
      <c r="N258" s="9">
        <v>87.3</v>
      </c>
    </row>
    <row r="259" spans="1:14">
      <c r="A259" s="9">
        <v>8</v>
      </c>
      <c r="B259" s="9" t="s">
        <v>71</v>
      </c>
      <c r="C259" s="9">
        <v>5.0999999999999996</v>
      </c>
      <c r="D259" s="9">
        <v>-0.05</v>
      </c>
      <c r="E259" s="9">
        <v>7.0000000000000007E-2</v>
      </c>
      <c r="F259" s="9">
        <v>4.55</v>
      </c>
      <c r="G259" s="9">
        <v>-0.02</v>
      </c>
      <c r="H259" s="9">
        <v>-0.03</v>
      </c>
      <c r="I259" s="9">
        <v>9.61</v>
      </c>
      <c r="J259" s="9">
        <v>62.8</v>
      </c>
      <c r="K259" s="9">
        <v>18.8</v>
      </c>
      <c r="L259" s="9">
        <v>34.299999999999997</v>
      </c>
      <c r="M259" s="9">
        <v>35</v>
      </c>
      <c r="N259" s="9">
        <v>87.5</v>
      </c>
    </row>
    <row r="260" spans="1:14">
      <c r="A260" s="9">
        <v>8</v>
      </c>
      <c r="B260" s="9" t="s">
        <v>72</v>
      </c>
      <c r="C260" s="9">
        <v>4.9400000000000004</v>
      </c>
      <c r="D260" s="9">
        <v>0.18</v>
      </c>
      <c r="E260" s="9">
        <v>0.21</v>
      </c>
      <c r="F260" s="9">
        <v>4.55</v>
      </c>
      <c r="G260" s="9">
        <v>0.03</v>
      </c>
      <c r="H260" s="9">
        <v>0.01</v>
      </c>
      <c r="I260" s="9">
        <v>9.93</v>
      </c>
      <c r="J260" s="9">
        <v>57.7</v>
      </c>
      <c r="K260" s="9">
        <v>17.2</v>
      </c>
      <c r="L260" s="9">
        <v>32.9</v>
      </c>
      <c r="M260" s="9">
        <v>31.7</v>
      </c>
      <c r="N260" s="9">
        <v>86.8</v>
      </c>
    </row>
    <row r="261" spans="1:14">
      <c r="A261" s="9">
        <v>8</v>
      </c>
      <c r="B261" s="9" t="s">
        <v>74</v>
      </c>
      <c r="C261" s="9">
        <v>5.22</v>
      </c>
      <c r="D261" s="9">
        <v>0.02</v>
      </c>
      <c r="E261" s="9">
        <v>-0.01</v>
      </c>
      <c r="F261" s="9">
        <v>4.55</v>
      </c>
      <c r="G261" s="9">
        <v>-0.02</v>
      </c>
      <c r="H261" s="9">
        <v>0.01</v>
      </c>
      <c r="I261" s="9">
        <v>9.77</v>
      </c>
      <c r="J261" s="9">
        <v>65.7</v>
      </c>
      <c r="K261" s="9">
        <v>19.2</v>
      </c>
      <c r="L261" s="9">
        <v>33.4</v>
      </c>
      <c r="M261" s="9">
        <v>34.299999999999997</v>
      </c>
      <c r="N261" s="9">
        <v>85.9</v>
      </c>
    </row>
    <row r="262" spans="1:14">
      <c r="A262" s="9">
        <v>8</v>
      </c>
      <c r="B262" s="9" t="s">
        <v>75</v>
      </c>
      <c r="C262" s="9">
        <v>5.35</v>
      </c>
      <c r="D262" s="9">
        <v>0.09</v>
      </c>
      <c r="E262" s="9">
        <v>-0.17</v>
      </c>
      <c r="F262" s="9">
        <v>4.55</v>
      </c>
      <c r="G262" s="9">
        <v>0.05</v>
      </c>
      <c r="H262" s="9">
        <v>0.01</v>
      </c>
      <c r="I262" s="9">
        <v>9.8800000000000008</v>
      </c>
      <c r="J262" s="9">
        <v>65</v>
      </c>
      <c r="K262" s="9">
        <v>16.7</v>
      </c>
      <c r="L262" s="9">
        <v>33.6</v>
      </c>
      <c r="M262" s="9">
        <v>31.6</v>
      </c>
      <c r="N262" s="9">
        <v>87.6</v>
      </c>
    </row>
    <row r="263" spans="1:14">
      <c r="A263" s="9">
        <v>8</v>
      </c>
      <c r="B263" s="9" t="s">
        <v>79</v>
      </c>
      <c r="C263" s="9">
        <v>5.25</v>
      </c>
      <c r="D263" s="9">
        <v>0.08</v>
      </c>
      <c r="E263" s="9">
        <v>0.05</v>
      </c>
      <c r="F263" s="9">
        <v>4.55</v>
      </c>
      <c r="G263" s="9">
        <v>-0.04</v>
      </c>
      <c r="H263" s="9">
        <v>0.01</v>
      </c>
      <c r="I263" s="9">
        <v>9.89</v>
      </c>
      <c r="J263" s="9">
        <v>64.099999999999994</v>
      </c>
      <c r="K263" s="9">
        <v>17.899999999999999</v>
      </c>
      <c r="L263" s="9">
        <v>33.6</v>
      </c>
      <c r="M263" s="9">
        <v>31.3</v>
      </c>
      <c r="N263" s="9">
        <v>84.9</v>
      </c>
    </row>
    <row r="264" spans="1:14">
      <c r="A264" s="9">
        <v>8</v>
      </c>
      <c r="B264" s="9" t="s">
        <v>80</v>
      </c>
      <c r="C264" s="9">
        <v>5.34</v>
      </c>
      <c r="D264" s="9">
        <v>0.16</v>
      </c>
      <c r="E264" s="9">
        <v>0.11</v>
      </c>
      <c r="F264" s="9">
        <v>4.55</v>
      </c>
      <c r="G264" s="9">
        <v>-0.04</v>
      </c>
      <c r="H264" s="9">
        <v>0.01</v>
      </c>
      <c r="I264" s="9">
        <v>10.130000000000001</v>
      </c>
      <c r="J264" s="9">
        <v>51.5</v>
      </c>
      <c r="K264" s="9">
        <v>13.1</v>
      </c>
      <c r="L264" s="9">
        <v>33.700000000000003</v>
      </c>
      <c r="M264" s="9">
        <v>32.700000000000003</v>
      </c>
      <c r="N264" s="9">
        <v>85</v>
      </c>
    </row>
    <row r="265" spans="1:14">
      <c r="A265" s="9">
        <v>8</v>
      </c>
      <c r="B265" s="9" t="s">
        <v>81</v>
      </c>
      <c r="C265" s="9">
        <v>5.56</v>
      </c>
      <c r="D265" s="9">
        <v>0.02</v>
      </c>
      <c r="E265" s="9">
        <v>-0.04</v>
      </c>
      <c r="F265" s="9">
        <v>4.55</v>
      </c>
      <c r="G265" s="9">
        <v>0.02</v>
      </c>
      <c r="H265" s="9">
        <v>0.01</v>
      </c>
      <c r="I265" s="9">
        <v>10.119999999999999</v>
      </c>
      <c r="J265" s="9">
        <v>57.9</v>
      </c>
      <c r="K265" s="9">
        <v>15.4</v>
      </c>
      <c r="L265" s="9">
        <v>33.6</v>
      </c>
      <c r="M265" s="9">
        <v>33.299999999999997</v>
      </c>
      <c r="N265" s="9">
        <v>86.5</v>
      </c>
    </row>
    <row r="266" spans="1:14">
      <c r="A266" s="9">
        <v>8</v>
      </c>
      <c r="B266" s="9" t="s">
        <v>82</v>
      </c>
      <c r="C266" s="9">
        <v>5.91</v>
      </c>
      <c r="D266" s="9">
        <v>-0.02</v>
      </c>
      <c r="E266" s="9">
        <v>-0.44</v>
      </c>
      <c r="F266" s="9">
        <v>4.55</v>
      </c>
      <c r="G266" s="9">
        <v>-0.06</v>
      </c>
      <c r="H266" s="9">
        <v>-0.02</v>
      </c>
      <c r="I266" s="9">
        <v>9.91</v>
      </c>
      <c r="J266" s="9">
        <v>59</v>
      </c>
      <c r="K266" s="9">
        <v>20.399999999999999</v>
      </c>
      <c r="L266" s="9">
        <v>35.1</v>
      </c>
      <c r="M266" s="9">
        <v>36.9</v>
      </c>
      <c r="N266" s="9">
        <v>83.5</v>
      </c>
    </row>
    <row r="267" spans="1:14">
      <c r="A267" s="9">
        <v>8</v>
      </c>
      <c r="B267" s="9" t="s">
        <v>83</v>
      </c>
      <c r="C267" s="9">
        <v>6.11</v>
      </c>
      <c r="D267" s="9">
        <v>-0.11</v>
      </c>
      <c r="E267" s="9">
        <v>-0.52</v>
      </c>
      <c r="F267" s="9">
        <v>4.55</v>
      </c>
      <c r="G267" s="9">
        <v>0.05</v>
      </c>
      <c r="H267" s="9">
        <v>-0.01</v>
      </c>
      <c r="I267" s="9">
        <v>10.06</v>
      </c>
      <c r="J267" s="9">
        <v>61.5</v>
      </c>
      <c r="K267" s="9">
        <v>16.7</v>
      </c>
      <c r="L267" s="9">
        <v>34.299999999999997</v>
      </c>
      <c r="M267" s="9">
        <v>34.700000000000003</v>
      </c>
      <c r="N267" s="9">
        <v>84.3</v>
      </c>
    </row>
    <row r="268" spans="1:14">
      <c r="A268" s="9">
        <v>8</v>
      </c>
      <c r="B268" s="9" t="s">
        <v>84</v>
      </c>
      <c r="C268" s="9">
        <v>6.04</v>
      </c>
      <c r="D268" s="9">
        <v>-0.15</v>
      </c>
      <c r="E268" s="9">
        <v>-0.66</v>
      </c>
      <c r="F268" s="9">
        <v>4.55</v>
      </c>
      <c r="G268" s="9">
        <v>7.0000000000000007E-2</v>
      </c>
      <c r="H268" s="9">
        <v>0.01</v>
      </c>
      <c r="I268" s="9">
        <v>9.86</v>
      </c>
      <c r="J268" s="9">
        <v>61.6</v>
      </c>
      <c r="K268" s="9">
        <v>25.5</v>
      </c>
      <c r="L268" s="9">
        <v>32.4</v>
      </c>
      <c r="M268" s="9">
        <v>32</v>
      </c>
      <c r="N268" s="9">
        <v>87.7</v>
      </c>
    </row>
    <row r="269" spans="1:14">
      <c r="A269" s="9">
        <v>8</v>
      </c>
      <c r="B269" s="9" t="s">
        <v>85</v>
      </c>
      <c r="C269" s="9">
        <v>6.35</v>
      </c>
      <c r="D269" s="9">
        <v>-0.26</v>
      </c>
      <c r="E269" s="9">
        <v>-0.51</v>
      </c>
      <c r="F269" s="9">
        <v>4.55</v>
      </c>
      <c r="G269" s="9">
        <v>0.08</v>
      </c>
      <c r="H269" s="9">
        <v>-0.13</v>
      </c>
      <c r="I269" s="9">
        <v>9.94</v>
      </c>
      <c r="J269" s="9">
        <v>72.400000000000006</v>
      </c>
      <c r="K269" s="9">
        <v>39.5</v>
      </c>
      <c r="L269" s="9">
        <v>33.5</v>
      </c>
      <c r="M269" s="9">
        <v>34.5</v>
      </c>
      <c r="N269" s="9">
        <v>89.7</v>
      </c>
    </row>
    <row r="270" spans="1:14">
      <c r="A270" s="9">
        <v>8</v>
      </c>
      <c r="B270" s="9" t="s">
        <v>86</v>
      </c>
      <c r="C270" s="9">
        <v>5.65</v>
      </c>
      <c r="D270" s="9">
        <v>7.0000000000000007E-2</v>
      </c>
      <c r="E270" s="9">
        <v>-0.24</v>
      </c>
      <c r="F270" s="9">
        <v>4.55</v>
      </c>
      <c r="G270" s="9">
        <v>0.01</v>
      </c>
      <c r="H270" s="9">
        <v>0.01</v>
      </c>
      <c r="I270" s="9">
        <v>10.050000000000001</v>
      </c>
      <c r="J270" s="9">
        <v>66.2</v>
      </c>
      <c r="K270" s="9">
        <v>34.799999999999997</v>
      </c>
      <c r="L270" s="9">
        <v>32.200000000000003</v>
      </c>
      <c r="M270" s="9">
        <v>38.9</v>
      </c>
      <c r="N270" s="9">
        <v>85.9</v>
      </c>
    </row>
    <row r="271" spans="1:14">
      <c r="A271" s="9">
        <v>8</v>
      </c>
      <c r="B271" s="9" t="s">
        <v>88</v>
      </c>
      <c r="C271" s="9">
        <v>5.38</v>
      </c>
      <c r="D271" s="9">
        <v>0.04</v>
      </c>
      <c r="E271" s="9">
        <v>-0.13</v>
      </c>
      <c r="F271" s="9">
        <v>4.55</v>
      </c>
      <c r="G271" s="9">
        <v>-0.06</v>
      </c>
      <c r="H271" s="9">
        <v>0.01</v>
      </c>
      <c r="I271" s="9">
        <v>9.7799999999999994</v>
      </c>
      <c r="J271" s="9">
        <v>60.8</v>
      </c>
      <c r="K271" s="9">
        <v>22.2</v>
      </c>
      <c r="L271" s="9">
        <v>33.4</v>
      </c>
      <c r="M271" s="9">
        <v>35.299999999999997</v>
      </c>
      <c r="N271" s="9">
        <v>86.1</v>
      </c>
    </row>
    <row r="272" spans="1:14">
      <c r="A272" s="9">
        <v>8</v>
      </c>
      <c r="B272" s="9" t="s">
        <v>89</v>
      </c>
      <c r="C272" s="9">
        <v>5.83</v>
      </c>
      <c r="D272" s="9">
        <v>-0.17</v>
      </c>
      <c r="E272" s="9">
        <v>-0.09</v>
      </c>
      <c r="F272" s="9">
        <v>4.55</v>
      </c>
      <c r="G272" s="9">
        <v>0.03</v>
      </c>
      <c r="H272" s="9">
        <v>0.01</v>
      </c>
      <c r="I272" s="9">
        <v>10.15</v>
      </c>
      <c r="J272" s="9">
        <v>60.8</v>
      </c>
      <c r="K272" s="9">
        <v>19</v>
      </c>
      <c r="L272" s="9">
        <v>32.4</v>
      </c>
      <c r="M272" s="9">
        <v>33.299999999999997</v>
      </c>
      <c r="N272" s="9">
        <v>88.2</v>
      </c>
    </row>
    <row r="273" spans="1:14">
      <c r="A273" s="9">
        <v>8</v>
      </c>
      <c r="B273" s="9" t="s">
        <v>90</v>
      </c>
      <c r="C273" s="9">
        <v>6.16</v>
      </c>
      <c r="D273" s="9">
        <v>-0.11</v>
      </c>
      <c r="E273" s="9">
        <v>-0.38</v>
      </c>
      <c r="F273" s="9">
        <v>4.55</v>
      </c>
      <c r="G273" s="9">
        <v>0.02</v>
      </c>
      <c r="H273" s="9">
        <v>0</v>
      </c>
      <c r="I273" s="9">
        <v>10.24</v>
      </c>
      <c r="J273" s="9">
        <v>56.6</v>
      </c>
      <c r="K273" s="9">
        <v>29</v>
      </c>
      <c r="L273" s="9">
        <v>35.299999999999997</v>
      </c>
      <c r="M273" s="9">
        <v>31.7</v>
      </c>
      <c r="N273" s="9">
        <v>82.3</v>
      </c>
    </row>
    <row r="274" spans="1:14">
      <c r="A274" s="9">
        <v>8</v>
      </c>
      <c r="B274" s="9" t="s">
        <v>91</v>
      </c>
      <c r="C274" s="9">
        <v>5.95</v>
      </c>
      <c r="D274" s="9">
        <v>-0.03</v>
      </c>
      <c r="E274" s="9">
        <v>-0.34</v>
      </c>
      <c r="F274" s="9">
        <v>4.55</v>
      </c>
      <c r="G274" s="9">
        <v>-0.11</v>
      </c>
      <c r="H274" s="9">
        <v>0.01</v>
      </c>
      <c r="I274" s="9">
        <v>10.02</v>
      </c>
      <c r="J274" s="9">
        <v>57.9</v>
      </c>
      <c r="K274" s="9">
        <v>34.5</v>
      </c>
      <c r="L274" s="9">
        <v>33.200000000000003</v>
      </c>
      <c r="M274" s="9">
        <v>34</v>
      </c>
      <c r="N274" s="9">
        <v>84.9</v>
      </c>
    </row>
    <row r="275" spans="1:14">
      <c r="A275" s="9">
        <v>8</v>
      </c>
      <c r="B275" s="9" t="s">
        <v>92</v>
      </c>
      <c r="C275" s="9">
        <v>5.89</v>
      </c>
      <c r="D275" s="9">
        <v>-0.01</v>
      </c>
      <c r="E275" s="9">
        <v>-0.45</v>
      </c>
      <c r="F275" s="9">
        <v>4.55</v>
      </c>
      <c r="G275" s="9">
        <v>-0.02</v>
      </c>
      <c r="H275" s="9">
        <v>0.01</v>
      </c>
      <c r="I275" s="9">
        <v>9.98</v>
      </c>
      <c r="J275" s="9">
        <v>63.2</v>
      </c>
      <c r="K275" s="9">
        <v>20.100000000000001</v>
      </c>
      <c r="L275" s="9">
        <v>32.700000000000003</v>
      </c>
      <c r="M275" s="9">
        <v>34.1</v>
      </c>
      <c r="N275" s="9">
        <v>85</v>
      </c>
    </row>
    <row r="276" spans="1:14">
      <c r="A276" s="9">
        <v>8</v>
      </c>
      <c r="B276" s="9" t="s">
        <v>93</v>
      </c>
      <c r="C276" s="9">
        <v>6.05</v>
      </c>
      <c r="D276" s="9">
        <v>-0.18</v>
      </c>
      <c r="E276" s="9">
        <v>-0.4</v>
      </c>
      <c r="F276" s="9">
        <v>4.55</v>
      </c>
      <c r="G276" s="9">
        <v>0.03</v>
      </c>
      <c r="H276" s="9">
        <v>0.01</v>
      </c>
      <c r="I276" s="9">
        <v>10.050000000000001</v>
      </c>
      <c r="J276" s="9">
        <v>69.099999999999994</v>
      </c>
      <c r="K276" s="9">
        <v>17.899999999999999</v>
      </c>
      <c r="L276" s="9">
        <v>31.1</v>
      </c>
      <c r="M276" s="9">
        <v>34.9</v>
      </c>
      <c r="N276" s="9">
        <v>83.8</v>
      </c>
    </row>
    <row r="277" spans="1:14">
      <c r="A277" s="9">
        <v>8</v>
      </c>
      <c r="B277" s="9" t="s">
        <v>94</v>
      </c>
      <c r="C277" s="9">
        <v>5.85</v>
      </c>
      <c r="D277" s="9">
        <v>0.06</v>
      </c>
      <c r="E277" s="9">
        <v>-0.28999999999999998</v>
      </c>
      <c r="F277" s="9">
        <v>4.55</v>
      </c>
      <c r="G277" s="9">
        <v>-7.0000000000000007E-2</v>
      </c>
      <c r="H277" s="9">
        <v>0.01</v>
      </c>
      <c r="I277" s="9">
        <v>10.11</v>
      </c>
      <c r="J277" s="9">
        <v>58.9</v>
      </c>
      <c r="K277" s="9">
        <v>22.8</v>
      </c>
      <c r="L277" s="9">
        <v>33.1</v>
      </c>
      <c r="M277" s="9">
        <v>34.5</v>
      </c>
      <c r="N277" s="9">
        <v>87.5</v>
      </c>
    </row>
    <row r="278" spans="1:14">
      <c r="A278" s="9">
        <v>8</v>
      </c>
      <c r="B278" s="9" t="s">
        <v>95</v>
      </c>
      <c r="C278" s="9">
        <v>6.91</v>
      </c>
      <c r="D278" s="9">
        <v>-0.18</v>
      </c>
      <c r="E278" s="9">
        <v>-0.67</v>
      </c>
      <c r="F278" s="9">
        <v>4.55</v>
      </c>
      <c r="G278" s="9">
        <v>-0.05</v>
      </c>
      <c r="H278" s="9">
        <v>0</v>
      </c>
      <c r="I278" s="9">
        <v>10.55</v>
      </c>
      <c r="J278" s="9">
        <v>59.3</v>
      </c>
      <c r="K278" s="9">
        <v>24.6</v>
      </c>
      <c r="L278" s="9">
        <v>33.299999999999997</v>
      </c>
      <c r="M278" s="9">
        <v>36.9</v>
      </c>
      <c r="N278" s="9">
        <v>88.7</v>
      </c>
    </row>
    <row r="279" spans="1:14">
      <c r="A279" s="9">
        <v>8</v>
      </c>
      <c r="B279" s="9" t="s">
        <v>96</v>
      </c>
      <c r="C279" s="9">
        <v>6.56</v>
      </c>
      <c r="D279" s="9">
        <v>-0.27</v>
      </c>
      <c r="E279" s="9">
        <v>-0.73</v>
      </c>
      <c r="F279" s="9">
        <v>4.55</v>
      </c>
      <c r="G279" s="9">
        <v>-0.06</v>
      </c>
      <c r="H279" s="9">
        <v>0.01</v>
      </c>
      <c r="I279" s="9">
        <v>10.06</v>
      </c>
      <c r="J279" s="9">
        <v>58.8</v>
      </c>
      <c r="K279" s="9">
        <v>23.5</v>
      </c>
      <c r="L279" s="9">
        <v>33.4</v>
      </c>
      <c r="M279" s="9">
        <v>36.5</v>
      </c>
      <c r="N279" s="9">
        <v>88.1</v>
      </c>
    </row>
    <row r="280" spans="1:14">
      <c r="A280" s="9">
        <v>8</v>
      </c>
      <c r="B280" s="9" t="s">
        <v>97</v>
      </c>
      <c r="C280" s="9">
        <v>6.3</v>
      </c>
      <c r="D280" s="9">
        <v>-0.1</v>
      </c>
      <c r="E280" s="9">
        <v>-0.59</v>
      </c>
      <c r="F280" s="9">
        <v>4.55</v>
      </c>
      <c r="G280" s="9">
        <v>-0.09</v>
      </c>
      <c r="H280" s="9">
        <v>0.01</v>
      </c>
      <c r="I280" s="9">
        <v>10.08</v>
      </c>
      <c r="J280" s="9">
        <v>63.9</v>
      </c>
      <c r="K280" s="9">
        <v>37.299999999999997</v>
      </c>
      <c r="L280" s="9">
        <v>32.6</v>
      </c>
      <c r="M280" s="9">
        <v>37.9</v>
      </c>
      <c r="N280" s="9">
        <v>88.4</v>
      </c>
    </row>
    <row r="281" spans="1:14">
      <c r="A281" s="9">
        <v>8</v>
      </c>
      <c r="B281" s="9" t="s">
        <v>98</v>
      </c>
      <c r="C281" s="9">
        <v>6.35</v>
      </c>
      <c r="D281" s="9">
        <v>-0.21</v>
      </c>
      <c r="E281" s="9">
        <v>-0.55000000000000004</v>
      </c>
      <c r="F281" s="9">
        <v>4.55</v>
      </c>
      <c r="G281" s="9">
        <v>-7.0000000000000007E-2</v>
      </c>
      <c r="H281" s="9">
        <v>0.01</v>
      </c>
      <c r="I281" s="9">
        <v>10.08</v>
      </c>
      <c r="J281" s="9">
        <v>64.8</v>
      </c>
      <c r="K281" s="9">
        <v>34.9</v>
      </c>
      <c r="L281" s="9">
        <v>33.200000000000003</v>
      </c>
      <c r="M281" s="9">
        <v>38</v>
      </c>
      <c r="N281" s="9">
        <v>86.8</v>
      </c>
    </row>
    <row r="282" spans="1:14">
      <c r="A282" s="9">
        <v>8</v>
      </c>
      <c r="B282" s="9" t="s">
        <v>99</v>
      </c>
      <c r="C282" s="9">
        <v>6.14</v>
      </c>
      <c r="D282" s="9">
        <v>-0.13</v>
      </c>
      <c r="E282" s="9">
        <v>-0.75</v>
      </c>
      <c r="F282" s="9">
        <v>4.55</v>
      </c>
      <c r="G282" s="9">
        <v>-0.04</v>
      </c>
      <c r="H282" s="9">
        <v>0.01</v>
      </c>
      <c r="I282" s="9">
        <v>9.77</v>
      </c>
      <c r="J282" s="9">
        <v>60.3</v>
      </c>
      <c r="K282" s="9">
        <v>20</v>
      </c>
      <c r="L282" s="9">
        <v>34.200000000000003</v>
      </c>
      <c r="M282" s="9">
        <v>33.6</v>
      </c>
      <c r="N282" s="9">
        <v>89.3</v>
      </c>
    </row>
    <row r="283" spans="1:14">
      <c r="A283" s="9">
        <v>8</v>
      </c>
      <c r="B283" s="9" t="s">
        <v>100</v>
      </c>
      <c r="C283" s="9">
        <v>6.64</v>
      </c>
      <c r="D283" s="9">
        <v>-0.11</v>
      </c>
      <c r="E283" s="9">
        <v>-0.91</v>
      </c>
      <c r="F283" s="9">
        <v>4.55</v>
      </c>
      <c r="G283" s="9">
        <v>-0.04</v>
      </c>
      <c r="H283" s="9">
        <v>0.01</v>
      </c>
      <c r="I283" s="9">
        <v>10.130000000000001</v>
      </c>
      <c r="J283" s="9">
        <v>54.1</v>
      </c>
      <c r="K283" s="9">
        <v>18.3</v>
      </c>
      <c r="L283" s="9">
        <v>33.6</v>
      </c>
      <c r="M283" s="9">
        <v>37.799999999999997</v>
      </c>
      <c r="N283" s="9">
        <v>90.2</v>
      </c>
    </row>
    <row r="284" spans="1:14">
      <c r="A284" s="9">
        <v>8</v>
      </c>
      <c r="B284" s="9" t="s">
        <v>101</v>
      </c>
      <c r="C284" s="9">
        <v>6.4</v>
      </c>
      <c r="D284" s="9">
        <v>0.11</v>
      </c>
      <c r="E284" s="9">
        <v>-1.41</v>
      </c>
      <c r="F284" s="9">
        <v>4.55</v>
      </c>
      <c r="G284" s="9">
        <v>-0.01</v>
      </c>
      <c r="H284" s="9">
        <v>-0.03</v>
      </c>
      <c r="I284" s="9">
        <v>9.44</v>
      </c>
      <c r="J284" s="9">
        <v>59.8</v>
      </c>
      <c r="K284" s="9">
        <v>31.4</v>
      </c>
      <c r="L284" s="9">
        <v>33.200000000000003</v>
      </c>
      <c r="M284" s="9">
        <v>36</v>
      </c>
      <c r="N284" s="9">
        <v>92.4</v>
      </c>
    </row>
  </sheetData>
  <mergeCells count="1">
    <mergeCell ref="A1:B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zoomScaleNormal="100" workbookViewId="0">
      <selection activeCell="E47" sqref="E47"/>
    </sheetView>
  </sheetViews>
  <sheetFormatPr defaultColWidth="11.5703125" defaultRowHeight="12.75"/>
  <cols>
    <col min="1" max="1" width="11.5703125" style="20"/>
    <col min="2" max="2" width="58.28515625" customWidth="1"/>
    <col min="3" max="10" width="13" customWidth="1"/>
  </cols>
  <sheetData>
    <row r="1" spans="1:10" ht="15.6">
      <c r="A1" s="21" t="s">
        <v>112</v>
      </c>
      <c r="B1" s="20" t="s">
        <v>113</v>
      </c>
      <c r="C1" s="20" t="s">
        <v>114</v>
      </c>
      <c r="D1" s="20" t="s">
        <v>115</v>
      </c>
      <c r="E1" s="20" t="s">
        <v>116</v>
      </c>
      <c r="F1" s="20" t="s">
        <v>117</v>
      </c>
      <c r="G1" s="20" t="s">
        <v>118</v>
      </c>
      <c r="H1" s="20" t="s">
        <v>119</v>
      </c>
      <c r="I1" s="20"/>
      <c r="J1" s="20"/>
    </row>
    <row r="2" spans="1:10" ht="15.6">
      <c r="A2" s="20">
        <v>1</v>
      </c>
      <c r="B2" t="s">
        <v>120</v>
      </c>
      <c r="C2" s="22" t="s">
        <v>121</v>
      </c>
      <c r="D2" s="22" t="s">
        <v>122</v>
      </c>
      <c r="E2" s="22" t="s">
        <v>123</v>
      </c>
      <c r="F2" s="22" t="s">
        <v>124</v>
      </c>
      <c r="G2" s="22" t="s">
        <v>125</v>
      </c>
      <c r="H2" s="22" t="s">
        <v>126</v>
      </c>
    </row>
    <row r="3" spans="1:10" ht="15.6">
      <c r="A3" s="20">
        <v>2</v>
      </c>
      <c r="B3" t="s">
        <v>127</v>
      </c>
      <c r="C3" s="22" t="s">
        <v>123</v>
      </c>
      <c r="D3" s="22" t="s">
        <v>124</v>
      </c>
      <c r="E3" s="22" t="s">
        <v>125</v>
      </c>
      <c r="F3" s="22" t="s">
        <v>126</v>
      </c>
      <c r="G3" s="22" t="s">
        <v>128</v>
      </c>
      <c r="H3" s="22" t="s">
        <v>129</v>
      </c>
    </row>
  </sheetData>
  <hyperlinks>
    <hyperlink ref="C2" r:id="rId1" xr:uid="{00000000-0004-0000-0500-000000000000}"/>
    <hyperlink ref="D2" r:id="rId2" xr:uid="{00000000-0004-0000-0500-000001000000}"/>
    <hyperlink ref="E2" r:id="rId3" xr:uid="{00000000-0004-0000-0500-000002000000}"/>
    <hyperlink ref="F2" r:id="rId4" xr:uid="{00000000-0004-0000-0500-000003000000}"/>
    <hyperlink ref="G2" r:id="rId5" xr:uid="{00000000-0004-0000-0500-000004000000}"/>
    <hyperlink ref="H2" r:id="rId6" xr:uid="{00000000-0004-0000-0500-000005000000}"/>
    <hyperlink ref="C3" r:id="rId7" xr:uid="{00000000-0004-0000-0500-000006000000}"/>
    <hyperlink ref="D3" r:id="rId8" xr:uid="{00000000-0004-0000-0500-000007000000}"/>
    <hyperlink ref="E3" r:id="rId9" xr:uid="{00000000-0004-0000-0500-000008000000}"/>
    <hyperlink ref="F3" r:id="rId10" xr:uid="{00000000-0004-0000-0500-000009000000}"/>
    <hyperlink ref="G3" r:id="rId11" xr:uid="{00000000-0004-0000-0500-00000A000000}"/>
    <hyperlink ref="H3" r:id="rId12" xr:uid="{00000000-0004-0000-0500-00000B000000}"/>
  </hyperlink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85"/>
  <sheetViews>
    <sheetView zoomScaleNormal="100" workbookViewId="0">
      <selection activeCell="M13" sqref="M13"/>
    </sheetView>
  </sheetViews>
  <sheetFormatPr defaultColWidth="11.5703125" defaultRowHeight="12.75"/>
  <sheetData>
    <row r="1" spans="1:23">
      <c r="A1" s="1"/>
      <c r="B1" s="9"/>
      <c r="C1" s="9"/>
      <c r="D1" s="8"/>
      <c r="E1" s="8"/>
      <c r="F1" s="8"/>
      <c r="G1" s="8"/>
      <c r="H1" s="23"/>
      <c r="I1" s="23"/>
      <c r="J1" s="8"/>
      <c r="K1" s="8"/>
      <c r="L1" s="8"/>
    </row>
    <row r="2" spans="1:23" ht="68.25">
      <c r="A2" s="1" t="s">
        <v>25</v>
      </c>
      <c r="B2" s="9" t="s">
        <v>130</v>
      </c>
      <c r="C2" s="9" t="s">
        <v>131</v>
      </c>
      <c r="D2" s="8" t="s">
        <v>132</v>
      </c>
      <c r="E2" s="8" t="s">
        <v>103</v>
      </c>
      <c r="F2" s="8" t="s">
        <v>104</v>
      </c>
      <c r="G2" s="8" t="s">
        <v>133</v>
      </c>
      <c r="H2" s="25" t="s">
        <v>134</v>
      </c>
      <c r="I2" s="23" t="s">
        <v>105</v>
      </c>
      <c r="J2" s="8" t="s">
        <v>135</v>
      </c>
      <c r="K2" s="8" t="s">
        <v>106</v>
      </c>
      <c r="L2" s="8" t="s">
        <v>107</v>
      </c>
      <c r="O2" s="8" t="s">
        <v>135</v>
      </c>
      <c r="P2" s="8" t="s">
        <v>102</v>
      </c>
      <c r="Q2" s="8" t="s">
        <v>103</v>
      </c>
      <c r="R2" s="8" t="s">
        <v>104</v>
      </c>
      <c r="S2" s="8" t="s">
        <v>105</v>
      </c>
      <c r="T2" s="8" t="s">
        <v>106</v>
      </c>
      <c r="U2" s="8" t="s">
        <v>107</v>
      </c>
      <c r="V2" s="1" t="s">
        <v>136</v>
      </c>
      <c r="W2" s="1" t="s">
        <v>137</v>
      </c>
    </row>
    <row r="3" spans="1:23">
      <c r="A3" s="9">
        <v>3</v>
      </c>
      <c r="B3" s="9">
        <v>1</v>
      </c>
      <c r="C3" s="24" t="s">
        <v>33</v>
      </c>
      <c r="D3" s="15">
        <v>6.33</v>
      </c>
      <c r="E3" s="15">
        <v>-0.28999999999999998</v>
      </c>
      <c r="F3" s="15">
        <v>-0.32</v>
      </c>
      <c r="G3" s="15">
        <v>5.72</v>
      </c>
      <c r="H3" s="15">
        <v>10.42</v>
      </c>
      <c r="I3" s="15">
        <v>4.71</v>
      </c>
      <c r="J3" s="15">
        <v>10.45</v>
      </c>
      <c r="K3" s="15">
        <v>1.9999999999999601E-2</v>
      </c>
      <c r="L3" s="15">
        <v>7.0000000000000001E-3</v>
      </c>
      <c r="O3" s="15">
        <f>J3</f>
        <v>10.45</v>
      </c>
      <c r="P3" s="15">
        <v>6.33</v>
      </c>
      <c r="Q3" s="15">
        <v>-0.28999999999999998</v>
      </c>
      <c r="R3" s="15">
        <v>-0.32</v>
      </c>
      <c r="S3" s="15">
        <v>4.71</v>
      </c>
      <c r="T3" s="15">
        <v>1.9999999999999601E-2</v>
      </c>
      <c r="U3" s="15">
        <v>7.0000000000000001E-3</v>
      </c>
      <c r="V3" s="9">
        <f>SUM(P3:U3)</f>
        <v>10.456999999999999</v>
      </c>
      <c r="W3" s="9">
        <f>O3-V3</f>
        <v>-6.9999999999996732E-3</v>
      </c>
    </row>
    <row r="4" spans="1:23">
      <c r="A4" s="9">
        <v>3</v>
      </c>
      <c r="B4" s="9">
        <v>2</v>
      </c>
      <c r="C4" s="24" t="s">
        <v>36</v>
      </c>
      <c r="D4" s="15">
        <v>6.36</v>
      </c>
      <c r="E4" s="15">
        <v>-0.25</v>
      </c>
      <c r="F4" s="15">
        <v>-0.88</v>
      </c>
      <c r="G4" s="15">
        <v>5.22</v>
      </c>
      <c r="H4" s="15">
        <v>9.93</v>
      </c>
      <c r="I4" s="15">
        <v>4.71</v>
      </c>
      <c r="J4" s="15">
        <v>9.9600000000000009</v>
      </c>
      <c r="K4" s="15">
        <v>1.9999999999999601E-2</v>
      </c>
      <c r="L4" s="15">
        <v>7.0000000000000001E-3</v>
      </c>
      <c r="O4" s="15">
        <f>J4</f>
        <v>9.9600000000000009</v>
      </c>
      <c r="P4" s="15">
        <v>6.36</v>
      </c>
      <c r="Q4" s="15">
        <v>-0.25</v>
      </c>
      <c r="R4" s="15">
        <v>-0.88</v>
      </c>
      <c r="S4" s="15">
        <v>4.71</v>
      </c>
      <c r="T4" s="15">
        <v>1.9999999999999601E-2</v>
      </c>
      <c r="U4" s="15">
        <v>7.0000000000000001E-3</v>
      </c>
      <c r="V4" s="9">
        <f>SUM(P4:U4)</f>
        <v>9.9670000000000005</v>
      </c>
      <c r="W4" s="9">
        <f>O4-V4</f>
        <v>-6.9999999999996732E-3</v>
      </c>
    </row>
    <row r="5" spans="1:23">
      <c r="A5" s="9">
        <v>3</v>
      </c>
      <c r="B5" s="9">
        <v>3</v>
      </c>
      <c r="C5" s="24" t="s">
        <v>37</v>
      </c>
      <c r="D5" s="15">
        <v>5.95</v>
      </c>
      <c r="E5" s="15">
        <v>-0.28999999999999998</v>
      </c>
      <c r="F5" s="15">
        <v>-0.62</v>
      </c>
      <c r="G5" s="15">
        <v>5.04</v>
      </c>
      <c r="H5" s="15">
        <v>9.75</v>
      </c>
      <c r="I5" s="15">
        <v>4.71</v>
      </c>
      <c r="J5" s="15">
        <v>9.74</v>
      </c>
      <c r="K5" s="15">
        <v>-9.9999999999997903E-3</v>
      </c>
      <c r="L5" s="15">
        <v>-4.0000000000000001E-3</v>
      </c>
      <c r="O5" s="15">
        <f>J5</f>
        <v>9.74</v>
      </c>
      <c r="P5" s="15">
        <v>5.95</v>
      </c>
      <c r="Q5" s="15">
        <v>-0.28999999999999998</v>
      </c>
      <c r="R5" s="15">
        <v>-0.62</v>
      </c>
      <c r="S5" s="15">
        <v>4.71</v>
      </c>
      <c r="T5" s="15">
        <v>-9.9999999999997903E-3</v>
      </c>
      <c r="U5" s="15">
        <v>-4.0000000000000001E-3</v>
      </c>
      <c r="V5" s="9">
        <f>SUM(P5:U5)</f>
        <v>9.7360000000000007</v>
      </c>
      <c r="W5" s="9">
        <f>O5-V5</f>
        <v>3.9999999999995595E-3</v>
      </c>
    </row>
    <row r="6" spans="1:23">
      <c r="A6" s="9">
        <v>3</v>
      </c>
      <c r="B6" s="9">
        <v>4</v>
      </c>
      <c r="C6" s="24" t="s">
        <v>39</v>
      </c>
      <c r="D6" s="15">
        <v>5.83</v>
      </c>
      <c r="E6" s="15">
        <v>-0.16</v>
      </c>
      <c r="F6" s="15">
        <v>-0.34</v>
      </c>
      <c r="G6" s="15">
        <v>5.33</v>
      </c>
      <c r="H6" s="15">
        <v>10.039999999999999</v>
      </c>
      <c r="I6" s="15">
        <v>4.71</v>
      </c>
      <c r="J6" s="15">
        <v>10.01</v>
      </c>
      <c r="K6" s="15">
        <v>-1.9999999999999601E-2</v>
      </c>
      <c r="L6" s="15">
        <v>-0.01</v>
      </c>
      <c r="O6" s="15">
        <f>J6</f>
        <v>10.01</v>
      </c>
      <c r="P6" s="15">
        <v>5.83</v>
      </c>
      <c r="Q6" s="15">
        <v>-0.16</v>
      </c>
      <c r="R6" s="15">
        <v>-0.34</v>
      </c>
      <c r="S6" s="15">
        <v>4.71</v>
      </c>
      <c r="T6" s="15">
        <v>-1.9999999999999601E-2</v>
      </c>
      <c r="U6" s="15">
        <v>-0.01</v>
      </c>
      <c r="V6" s="9">
        <f>SUM(P6:U6)</f>
        <v>10.01</v>
      </c>
      <c r="W6" s="9">
        <f>O6-V6</f>
        <v>0</v>
      </c>
    </row>
    <row r="7" spans="1:23">
      <c r="A7" s="9">
        <v>3</v>
      </c>
      <c r="B7" s="9">
        <v>5</v>
      </c>
      <c r="C7" s="24" t="s">
        <v>40</v>
      </c>
      <c r="D7" s="15">
        <v>6.92</v>
      </c>
      <c r="E7" s="15">
        <v>-0.56999999999999995</v>
      </c>
      <c r="F7" s="15">
        <v>-0.87</v>
      </c>
      <c r="G7" s="15">
        <v>5.47</v>
      </c>
      <c r="H7" s="15">
        <v>10.18</v>
      </c>
      <c r="I7" s="15">
        <v>4.71</v>
      </c>
      <c r="J7" s="15">
        <v>10.16</v>
      </c>
      <c r="K7" s="15">
        <v>-1.9999999999999601E-2</v>
      </c>
      <c r="L7" s="15">
        <v>7.0000000000000001E-3</v>
      </c>
      <c r="O7" s="15">
        <f>J7</f>
        <v>10.16</v>
      </c>
      <c r="P7" s="15">
        <v>6.92</v>
      </c>
      <c r="Q7" s="15">
        <v>-0.56999999999999995</v>
      </c>
      <c r="R7" s="15">
        <v>-0.87</v>
      </c>
      <c r="S7" s="15">
        <v>4.71</v>
      </c>
      <c r="T7" s="15">
        <v>-1.9999999999999601E-2</v>
      </c>
      <c r="U7" s="15">
        <v>7.0000000000000001E-3</v>
      </c>
      <c r="V7" s="9">
        <f>SUM(P7:U7)</f>
        <v>10.177</v>
      </c>
      <c r="W7" s="9">
        <f>O7-V7</f>
        <v>-1.699999999999946E-2</v>
      </c>
    </row>
    <row r="8" spans="1:23">
      <c r="A8" s="9">
        <v>3</v>
      </c>
      <c r="B8" s="9">
        <v>6</v>
      </c>
      <c r="C8" s="24" t="s">
        <v>41</v>
      </c>
      <c r="D8" s="15">
        <v>6.09</v>
      </c>
      <c r="E8" s="15">
        <v>-0.25</v>
      </c>
      <c r="F8" s="15">
        <v>-0.5</v>
      </c>
      <c r="G8" s="15">
        <v>5.33</v>
      </c>
      <c r="H8" s="15">
        <v>10.039999999999999</v>
      </c>
      <c r="I8" s="15">
        <v>4.71</v>
      </c>
      <c r="J8" s="15">
        <v>10.029999999999999</v>
      </c>
      <c r="K8" s="15">
        <v>4.0000000000000903E-2</v>
      </c>
      <c r="L8" s="15">
        <v>-0.05</v>
      </c>
      <c r="O8" s="15">
        <f>J8</f>
        <v>10.029999999999999</v>
      </c>
      <c r="P8" s="15">
        <v>6.09</v>
      </c>
      <c r="Q8" s="15">
        <v>-0.25</v>
      </c>
      <c r="R8" s="15">
        <v>-0.5</v>
      </c>
      <c r="S8" s="15">
        <v>4.71</v>
      </c>
      <c r="T8" s="15">
        <v>4.0000000000000903E-2</v>
      </c>
      <c r="U8" s="15">
        <v>-0.05</v>
      </c>
      <c r="V8" s="9">
        <f>SUM(P8:U8)</f>
        <v>10.040000000000001</v>
      </c>
      <c r="W8" s="9">
        <f>O8-V8</f>
        <v>-1.0000000000001563E-2</v>
      </c>
    </row>
    <row r="9" spans="1:23">
      <c r="A9" s="9">
        <v>3</v>
      </c>
      <c r="B9" s="9">
        <v>7</v>
      </c>
      <c r="C9" s="24" t="s">
        <v>42</v>
      </c>
      <c r="D9" s="15">
        <v>5.37</v>
      </c>
      <c r="E9" s="15">
        <v>-0.14000000000000001</v>
      </c>
      <c r="F9" s="15">
        <v>-0.28000000000000003</v>
      </c>
      <c r="G9" s="15">
        <v>4.95</v>
      </c>
      <c r="H9" s="15">
        <v>9.66</v>
      </c>
      <c r="I9" s="15">
        <v>4.71</v>
      </c>
      <c r="J9" s="15">
        <v>9.64</v>
      </c>
      <c r="K9" s="15">
        <v>0</v>
      </c>
      <c r="L9" s="15">
        <v>-1.9E-2</v>
      </c>
      <c r="O9" s="15">
        <f>J9</f>
        <v>9.64</v>
      </c>
      <c r="P9" s="15">
        <v>5.37</v>
      </c>
      <c r="Q9" s="15">
        <v>-0.14000000000000001</v>
      </c>
      <c r="R9" s="15">
        <v>-0.28000000000000003</v>
      </c>
      <c r="S9" s="15">
        <v>4.71</v>
      </c>
      <c r="T9" s="15">
        <v>0</v>
      </c>
      <c r="U9" s="15">
        <v>-1.9E-2</v>
      </c>
      <c r="V9" s="9">
        <f>SUM(P9:U9)</f>
        <v>9.641</v>
      </c>
      <c r="W9" s="9">
        <f>O9-V9</f>
        <v>-9.9999999999944578E-4</v>
      </c>
    </row>
    <row r="10" spans="1:23">
      <c r="A10" s="9">
        <v>3</v>
      </c>
      <c r="B10" s="9">
        <v>8</v>
      </c>
      <c r="C10" s="24" t="s">
        <v>43</v>
      </c>
      <c r="D10" s="15">
        <v>5.04</v>
      </c>
      <c r="E10" s="15">
        <v>-0.02</v>
      </c>
      <c r="F10" s="15">
        <v>0.04</v>
      </c>
      <c r="G10" s="15">
        <v>5.0599999999999996</v>
      </c>
      <c r="H10" s="15">
        <v>9.76</v>
      </c>
      <c r="I10" s="15">
        <v>4.71</v>
      </c>
      <c r="J10" s="15">
        <v>9.74</v>
      </c>
      <c r="K10" s="15">
        <v>-2.9999999999999399E-2</v>
      </c>
      <c r="L10" s="15">
        <v>7.0000000000000001E-3</v>
      </c>
      <c r="O10" s="15">
        <f>J10</f>
        <v>9.74</v>
      </c>
      <c r="P10" s="15">
        <v>5.04</v>
      </c>
      <c r="Q10" s="15">
        <v>-0.02</v>
      </c>
      <c r="R10" s="15">
        <v>0.04</v>
      </c>
      <c r="S10" s="15">
        <v>4.71</v>
      </c>
      <c r="T10" s="15">
        <v>-2.9999999999999399E-2</v>
      </c>
      <c r="U10" s="15">
        <v>7.0000000000000001E-3</v>
      </c>
      <c r="V10" s="9">
        <f>SUM(P10:U10)</f>
        <v>9.7469999999999999</v>
      </c>
      <c r="W10" s="9">
        <f>O10-V10</f>
        <v>-6.9999999999996732E-3</v>
      </c>
    </row>
    <row r="11" spans="1:23">
      <c r="A11" s="9">
        <v>3</v>
      </c>
      <c r="B11" s="9">
        <v>9</v>
      </c>
      <c r="C11" s="24" t="s">
        <v>44</v>
      </c>
      <c r="D11" s="15">
        <v>5.25</v>
      </c>
      <c r="E11" s="15">
        <v>-0.05</v>
      </c>
      <c r="F11" s="15">
        <v>-0.03</v>
      </c>
      <c r="G11" s="15">
        <v>5.17</v>
      </c>
      <c r="H11" s="15">
        <v>9.8800000000000008</v>
      </c>
      <c r="I11" s="15">
        <v>4.71</v>
      </c>
      <c r="J11" s="15">
        <v>9.8699999999999992</v>
      </c>
      <c r="K11" s="15">
        <v>-1.00000000000016E-2</v>
      </c>
      <c r="L11" s="15">
        <v>3.0000000000000001E-3</v>
      </c>
      <c r="O11" s="15">
        <f>J11</f>
        <v>9.8699999999999992</v>
      </c>
      <c r="P11" s="15">
        <v>5.25</v>
      </c>
      <c r="Q11" s="15">
        <v>-0.05</v>
      </c>
      <c r="R11" s="15">
        <v>-0.03</v>
      </c>
      <c r="S11" s="15">
        <v>4.71</v>
      </c>
      <c r="T11" s="15">
        <v>-1.00000000000016E-2</v>
      </c>
      <c r="U11" s="15">
        <v>3.0000000000000001E-3</v>
      </c>
      <c r="V11" s="9">
        <f>SUM(P11:U11)</f>
        <v>9.8729999999999976</v>
      </c>
      <c r="W11" s="9">
        <f>O11-V11</f>
        <v>-2.9999999999983373E-3</v>
      </c>
    </row>
    <row r="12" spans="1:23">
      <c r="A12" s="9">
        <v>3</v>
      </c>
      <c r="B12" s="9">
        <v>10</v>
      </c>
      <c r="C12" s="24" t="s">
        <v>45</v>
      </c>
      <c r="D12" s="15">
        <v>5.13</v>
      </c>
      <c r="E12" s="15">
        <v>-0.02</v>
      </c>
      <c r="F12" s="15">
        <v>-7.0000000000000007E-2</v>
      </c>
      <c r="G12" s="15">
        <v>5.04</v>
      </c>
      <c r="H12" s="15">
        <v>9.74</v>
      </c>
      <c r="I12" s="15">
        <v>4.71</v>
      </c>
      <c r="J12" s="15">
        <v>9.66</v>
      </c>
      <c r="K12" s="15">
        <v>-8.99999999999999E-2</v>
      </c>
      <c r="L12" s="15">
        <v>7.0000000000000001E-3</v>
      </c>
      <c r="O12" s="15">
        <f>J12</f>
        <v>9.66</v>
      </c>
      <c r="P12" s="15">
        <v>5.13</v>
      </c>
      <c r="Q12" s="15">
        <v>-0.02</v>
      </c>
      <c r="R12" s="15">
        <v>-7.0000000000000007E-2</v>
      </c>
      <c r="S12" s="15">
        <v>4.71</v>
      </c>
      <c r="T12" s="15">
        <v>-8.99999999999999E-2</v>
      </c>
      <c r="U12" s="15">
        <v>7.0000000000000001E-3</v>
      </c>
      <c r="V12" s="9">
        <f>SUM(P12:U12)</f>
        <v>9.6669999999999998</v>
      </c>
      <c r="W12" s="9">
        <f>O12-V12</f>
        <v>-6.9999999999996732E-3</v>
      </c>
    </row>
    <row r="13" spans="1:23">
      <c r="A13" s="9">
        <v>3</v>
      </c>
      <c r="B13" s="9">
        <v>11</v>
      </c>
      <c r="C13" s="24" t="s">
        <v>47</v>
      </c>
      <c r="D13" s="15">
        <v>4.91</v>
      </c>
      <c r="E13" s="15">
        <v>-0.01</v>
      </c>
      <c r="F13" s="15">
        <v>0.17</v>
      </c>
      <c r="G13" s="15">
        <v>5.07</v>
      </c>
      <c r="H13" s="15">
        <v>9.7799999999999994</v>
      </c>
      <c r="I13" s="15">
        <v>4.71</v>
      </c>
      <c r="J13" s="15">
        <v>9.8000000000000007</v>
      </c>
      <c r="K13" s="15">
        <v>9.9999999999997903E-3</v>
      </c>
      <c r="L13" s="15">
        <v>7.0000000000000001E-3</v>
      </c>
      <c r="O13" s="15">
        <f>J13</f>
        <v>9.8000000000000007</v>
      </c>
      <c r="P13" s="15">
        <v>4.91</v>
      </c>
      <c r="Q13" s="15">
        <v>-0.01</v>
      </c>
      <c r="R13" s="15">
        <v>0.17</v>
      </c>
      <c r="S13" s="15">
        <v>4.71</v>
      </c>
      <c r="T13" s="15">
        <v>9.9999999999997903E-3</v>
      </c>
      <c r="U13" s="15">
        <v>7.0000000000000001E-3</v>
      </c>
      <c r="V13" s="9">
        <f>SUM(P13:U13)</f>
        <v>9.7970000000000006</v>
      </c>
      <c r="W13" s="9">
        <f>O13-V13</f>
        <v>3.0000000000001137E-3</v>
      </c>
    </row>
    <row r="14" spans="1:23">
      <c r="A14" s="9">
        <v>3</v>
      </c>
      <c r="B14" s="9">
        <v>12</v>
      </c>
      <c r="C14" s="24" t="s">
        <v>49</v>
      </c>
      <c r="D14" s="15">
        <v>5.03</v>
      </c>
      <c r="E14" s="15">
        <v>-0.11</v>
      </c>
      <c r="F14" s="15">
        <v>0.16</v>
      </c>
      <c r="G14" s="15">
        <v>5.08</v>
      </c>
      <c r="H14" s="15">
        <v>9.7899999999999991</v>
      </c>
      <c r="I14" s="15">
        <v>4.71</v>
      </c>
      <c r="J14" s="15">
        <v>9.7899999999999991</v>
      </c>
      <c r="K14" s="15">
        <v>0</v>
      </c>
      <c r="L14" s="15">
        <v>7.0000000000000001E-3</v>
      </c>
      <c r="O14" s="15">
        <f>J14</f>
        <v>9.7899999999999991</v>
      </c>
      <c r="P14" s="15">
        <v>5.03</v>
      </c>
      <c r="Q14" s="15">
        <v>-0.11</v>
      </c>
      <c r="R14" s="15">
        <v>0.16</v>
      </c>
      <c r="S14" s="15">
        <v>4.71</v>
      </c>
      <c r="T14" s="15">
        <v>0</v>
      </c>
      <c r="U14" s="15">
        <v>7.0000000000000001E-3</v>
      </c>
      <c r="V14" s="9">
        <f>SUM(P14:U14)</f>
        <v>9.7969999999999988</v>
      </c>
      <c r="W14" s="9">
        <f>O14-V14</f>
        <v>-6.9999999999996732E-3</v>
      </c>
    </row>
    <row r="15" spans="1:23">
      <c r="A15" s="9">
        <v>3</v>
      </c>
      <c r="B15" s="9">
        <v>13</v>
      </c>
      <c r="C15" s="24" t="s">
        <v>51</v>
      </c>
      <c r="D15" s="15">
        <v>4.32</v>
      </c>
      <c r="E15" s="15">
        <v>0.13</v>
      </c>
      <c r="F15" s="15">
        <v>0.69</v>
      </c>
      <c r="G15" s="15">
        <v>5.15</v>
      </c>
      <c r="H15" s="15">
        <v>9.85</v>
      </c>
      <c r="I15" s="15">
        <v>4.71</v>
      </c>
      <c r="J15" s="15">
        <v>9.84</v>
      </c>
      <c r="K15" s="15">
        <v>-1.9999999999999601E-2</v>
      </c>
      <c r="L15" s="15">
        <v>7.0000000000000001E-3</v>
      </c>
      <c r="O15" s="15">
        <f>J15</f>
        <v>9.84</v>
      </c>
      <c r="P15" s="15">
        <v>4.32</v>
      </c>
      <c r="Q15" s="15">
        <v>0.13</v>
      </c>
      <c r="R15" s="15">
        <v>0.69</v>
      </c>
      <c r="S15" s="15">
        <v>4.71</v>
      </c>
      <c r="T15" s="15">
        <v>-1.9999999999999601E-2</v>
      </c>
      <c r="U15" s="15">
        <v>7.0000000000000001E-3</v>
      </c>
      <c r="V15" s="9">
        <f>SUM(P15:U15)</f>
        <v>9.8370000000000015</v>
      </c>
      <c r="W15" s="9">
        <f>O15-V15</f>
        <v>2.9999999999983373E-3</v>
      </c>
    </row>
    <row r="16" spans="1:23">
      <c r="A16" s="9">
        <v>3</v>
      </c>
      <c r="B16" s="9">
        <v>14</v>
      </c>
      <c r="C16" s="24" t="s">
        <v>53</v>
      </c>
      <c r="D16" s="15">
        <v>4.8499999999999996</v>
      </c>
      <c r="E16" s="15">
        <v>-0.05</v>
      </c>
      <c r="F16" s="15">
        <v>0.44</v>
      </c>
      <c r="G16" s="15">
        <v>5.24</v>
      </c>
      <c r="H16" s="15">
        <v>9.94</v>
      </c>
      <c r="I16" s="15">
        <v>4.71</v>
      </c>
      <c r="J16" s="15">
        <v>9.99</v>
      </c>
      <c r="K16" s="15">
        <v>4.0000000000000903E-2</v>
      </c>
      <c r="L16" s="15">
        <v>7.0000000000000001E-3</v>
      </c>
      <c r="O16" s="15">
        <f>J16</f>
        <v>9.99</v>
      </c>
      <c r="P16" s="15">
        <v>4.8499999999999996</v>
      </c>
      <c r="Q16" s="15">
        <v>-0.05</v>
      </c>
      <c r="R16" s="15">
        <v>0.44</v>
      </c>
      <c r="S16" s="15">
        <v>4.71</v>
      </c>
      <c r="T16" s="15">
        <v>4.0000000000000903E-2</v>
      </c>
      <c r="U16" s="15">
        <v>7.0000000000000001E-3</v>
      </c>
      <c r="V16" s="9">
        <f>SUM(P16:U16)</f>
        <v>9.9969999999999999</v>
      </c>
      <c r="W16" s="9">
        <f>O16-V16</f>
        <v>-6.9999999999996732E-3</v>
      </c>
    </row>
    <row r="17" spans="1:23">
      <c r="A17" s="9">
        <v>3</v>
      </c>
      <c r="B17" s="9">
        <v>15</v>
      </c>
      <c r="C17" s="24" t="s">
        <v>55</v>
      </c>
      <c r="D17" s="15">
        <v>5.28</v>
      </c>
      <c r="E17" s="15">
        <v>-0.14000000000000001</v>
      </c>
      <c r="F17" s="15">
        <v>-0.32</v>
      </c>
      <c r="G17" s="15">
        <v>4.82</v>
      </c>
      <c r="H17" s="15">
        <v>9.5299999999999994</v>
      </c>
      <c r="I17" s="15">
        <v>4.71</v>
      </c>
      <c r="J17" s="15">
        <v>9.5</v>
      </c>
      <c r="K17" s="15">
        <v>-9.9999999999997903E-3</v>
      </c>
      <c r="L17" s="15">
        <v>-0.02</v>
      </c>
      <c r="O17" s="15">
        <f>J17</f>
        <v>9.5</v>
      </c>
      <c r="P17" s="15">
        <v>5.28</v>
      </c>
      <c r="Q17" s="15">
        <v>-0.14000000000000001</v>
      </c>
      <c r="R17" s="15">
        <v>-0.32</v>
      </c>
      <c r="S17" s="15">
        <v>4.71</v>
      </c>
      <c r="T17" s="15">
        <v>-9.9999999999997903E-3</v>
      </c>
      <c r="U17" s="15">
        <v>-0.02</v>
      </c>
      <c r="V17" s="9">
        <f>SUM(P17:U17)</f>
        <v>9.5000000000000018</v>
      </c>
      <c r="W17" s="9">
        <f>O17-V17</f>
        <v>0</v>
      </c>
    </row>
    <row r="18" spans="1:23">
      <c r="A18" s="9">
        <v>3</v>
      </c>
      <c r="B18" s="9">
        <v>16</v>
      </c>
      <c r="C18" s="24" t="s">
        <v>57</v>
      </c>
      <c r="D18" s="15">
        <v>4.91</v>
      </c>
      <c r="E18" s="15">
        <v>-0.09</v>
      </c>
      <c r="F18" s="15">
        <v>0.13</v>
      </c>
      <c r="G18" s="15">
        <v>4.95</v>
      </c>
      <c r="H18" s="15">
        <v>9.65</v>
      </c>
      <c r="I18" s="15">
        <v>4.71</v>
      </c>
      <c r="J18" s="15">
        <v>9.59</v>
      </c>
      <c r="K18" s="15">
        <v>0</v>
      </c>
      <c r="L18" s="15">
        <v>-5.6000000000000001E-2</v>
      </c>
      <c r="O18" s="15">
        <f>J18</f>
        <v>9.59</v>
      </c>
      <c r="P18" s="15">
        <v>4.91</v>
      </c>
      <c r="Q18" s="15">
        <v>-0.09</v>
      </c>
      <c r="R18" s="15">
        <v>0.13</v>
      </c>
      <c r="S18" s="15">
        <v>4.71</v>
      </c>
      <c r="T18" s="15">
        <v>0</v>
      </c>
      <c r="U18" s="15">
        <v>-5.6000000000000001E-2</v>
      </c>
      <c r="V18" s="9">
        <f>SUM(P18:U18)</f>
        <v>9.604000000000001</v>
      </c>
      <c r="W18" s="9">
        <f>O18-V18</f>
        <v>-1.4000000000001123E-2</v>
      </c>
    </row>
    <row r="19" spans="1:23">
      <c r="A19" s="9">
        <v>3</v>
      </c>
      <c r="B19" s="9">
        <v>17</v>
      </c>
      <c r="C19" s="24" t="s">
        <v>58</v>
      </c>
      <c r="D19" s="15">
        <v>5.36</v>
      </c>
      <c r="E19" s="15">
        <v>-0.03</v>
      </c>
      <c r="F19" s="15">
        <v>0.02</v>
      </c>
      <c r="G19" s="15">
        <v>5.35</v>
      </c>
      <c r="H19" s="15">
        <v>10.06</v>
      </c>
      <c r="I19" s="15">
        <v>4.71</v>
      </c>
      <c r="J19" s="15">
        <v>10.11</v>
      </c>
      <c r="K19" s="15">
        <v>3.9999999999999203E-2</v>
      </c>
      <c r="L19" s="15">
        <v>7.0000000000000001E-3</v>
      </c>
      <c r="O19" s="15">
        <f>J19</f>
        <v>10.11</v>
      </c>
      <c r="P19" s="15">
        <v>5.36</v>
      </c>
      <c r="Q19" s="15">
        <v>-0.03</v>
      </c>
      <c r="R19" s="15">
        <v>0.02</v>
      </c>
      <c r="S19" s="15">
        <v>4.71</v>
      </c>
      <c r="T19" s="15">
        <v>3.9999999999999203E-2</v>
      </c>
      <c r="U19" s="15">
        <v>7.0000000000000001E-3</v>
      </c>
      <c r="V19" s="9">
        <f>SUM(P19:U19)</f>
        <v>10.106999999999998</v>
      </c>
      <c r="W19" s="9">
        <f>O19-V19</f>
        <v>3.00000000000189E-3</v>
      </c>
    </row>
    <row r="20" spans="1:23">
      <c r="A20" s="9">
        <v>3</v>
      </c>
      <c r="B20" s="9">
        <v>18</v>
      </c>
      <c r="C20" s="24" t="s">
        <v>60</v>
      </c>
      <c r="D20" s="15">
        <v>5.42</v>
      </c>
      <c r="E20" s="15">
        <v>-0.12</v>
      </c>
      <c r="F20" s="15">
        <v>-0.04</v>
      </c>
      <c r="G20" s="15">
        <v>5.26</v>
      </c>
      <c r="H20" s="15">
        <v>9.9600000000000009</v>
      </c>
      <c r="I20" s="15">
        <v>4.71</v>
      </c>
      <c r="J20" s="15">
        <v>9.98</v>
      </c>
      <c r="K20" s="15">
        <v>5.99999999999987E-2</v>
      </c>
      <c r="L20" s="15">
        <v>-4.2999999999999997E-2</v>
      </c>
      <c r="O20" s="15">
        <f>J20</f>
        <v>9.98</v>
      </c>
      <c r="P20" s="15">
        <v>5.42</v>
      </c>
      <c r="Q20" s="15">
        <v>-0.12</v>
      </c>
      <c r="R20" s="15">
        <v>-0.04</v>
      </c>
      <c r="S20" s="15">
        <v>4.71</v>
      </c>
      <c r="T20" s="15">
        <v>5.99999999999987E-2</v>
      </c>
      <c r="U20" s="15">
        <v>-4.2999999999999997E-2</v>
      </c>
      <c r="V20" s="9">
        <f>SUM(P20:U20)</f>
        <v>9.9869999999999983</v>
      </c>
      <c r="W20" s="9">
        <f>O20-V20</f>
        <v>-6.9999999999978968E-3</v>
      </c>
    </row>
    <row r="21" spans="1:23">
      <c r="A21" s="9">
        <v>3</v>
      </c>
      <c r="B21" s="9">
        <v>19</v>
      </c>
      <c r="C21" s="24" t="s">
        <v>66</v>
      </c>
      <c r="D21" s="15">
        <v>5.45</v>
      </c>
      <c r="E21" s="15">
        <v>-0.14000000000000001</v>
      </c>
      <c r="F21" s="15">
        <v>-0.17</v>
      </c>
      <c r="G21" s="15">
        <v>5.14</v>
      </c>
      <c r="H21" s="15">
        <v>9.85</v>
      </c>
      <c r="I21" s="15">
        <v>4.71</v>
      </c>
      <c r="J21" s="15">
        <v>9.7899999999999991</v>
      </c>
      <c r="K21" s="15">
        <v>-7.0000000000000298E-2</v>
      </c>
      <c r="L21" s="15">
        <v>7.0000000000000001E-3</v>
      </c>
      <c r="O21" s="15">
        <f>J21</f>
        <v>9.7899999999999991</v>
      </c>
      <c r="P21" s="15">
        <v>5.45</v>
      </c>
      <c r="Q21" s="15">
        <v>-0.14000000000000001</v>
      </c>
      <c r="R21" s="15">
        <v>-0.17</v>
      </c>
      <c r="S21" s="15">
        <v>4.71</v>
      </c>
      <c r="T21" s="15">
        <v>-7.0000000000000298E-2</v>
      </c>
      <c r="U21" s="15">
        <v>7.0000000000000001E-3</v>
      </c>
      <c r="V21" s="9">
        <f>SUM(P21:U21)</f>
        <v>9.7870000000000008</v>
      </c>
      <c r="W21" s="9">
        <f>O21-V21</f>
        <v>2.9999999999983373E-3</v>
      </c>
    </row>
    <row r="22" spans="1:23">
      <c r="A22" s="9">
        <v>3</v>
      </c>
      <c r="B22" s="9">
        <v>20</v>
      </c>
      <c r="C22" s="24" t="s">
        <v>67</v>
      </c>
      <c r="D22" s="15">
        <v>5.24</v>
      </c>
      <c r="E22" s="15">
        <v>-7.0000000000000007E-2</v>
      </c>
      <c r="F22" s="15">
        <v>-0.21</v>
      </c>
      <c r="G22" s="15">
        <v>4.95</v>
      </c>
      <c r="H22" s="15">
        <v>9.66</v>
      </c>
      <c r="I22" s="15">
        <v>4.71</v>
      </c>
      <c r="J22" s="15">
        <v>9.7100000000000009</v>
      </c>
      <c r="K22" s="15">
        <v>3.9999999999999203E-2</v>
      </c>
      <c r="L22" s="15">
        <v>7.0000000000000001E-3</v>
      </c>
      <c r="O22" s="15">
        <f>J22</f>
        <v>9.7100000000000009</v>
      </c>
      <c r="P22" s="15">
        <v>5.24</v>
      </c>
      <c r="Q22" s="15">
        <v>-7.0000000000000007E-2</v>
      </c>
      <c r="R22" s="15">
        <v>-0.21</v>
      </c>
      <c r="S22" s="15">
        <v>4.71</v>
      </c>
      <c r="T22" s="15">
        <v>3.9999999999999203E-2</v>
      </c>
      <c r="U22" s="15">
        <v>7.0000000000000001E-3</v>
      </c>
      <c r="V22" s="9">
        <f>SUM(P22:U22)</f>
        <v>9.7169999999999987</v>
      </c>
      <c r="W22" s="9">
        <f>O22-V22</f>
        <v>-6.9999999999978968E-3</v>
      </c>
    </row>
    <row r="23" spans="1:23">
      <c r="A23" s="9">
        <v>3</v>
      </c>
      <c r="B23" s="9">
        <v>21</v>
      </c>
      <c r="C23" s="24" t="s">
        <v>69</v>
      </c>
      <c r="D23" s="15">
        <v>5.19</v>
      </c>
      <c r="E23" s="15">
        <v>0.01</v>
      </c>
      <c r="F23" s="15">
        <v>-0.06</v>
      </c>
      <c r="G23" s="15">
        <v>5.14</v>
      </c>
      <c r="H23" s="15">
        <v>9.85</v>
      </c>
      <c r="I23" s="15">
        <v>4.71</v>
      </c>
      <c r="J23" s="15">
        <v>9.83</v>
      </c>
      <c r="K23" s="15">
        <v>-2.9999999999999399E-2</v>
      </c>
      <c r="L23" s="15">
        <v>7.0000000000000001E-3</v>
      </c>
      <c r="O23" s="15">
        <f>J23</f>
        <v>9.83</v>
      </c>
      <c r="P23" s="15">
        <v>5.19</v>
      </c>
      <c r="Q23" s="15">
        <v>0.01</v>
      </c>
      <c r="R23" s="15">
        <v>-0.06</v>
      </c>
      <c r="S23" s="15">
        <v>4.71</v>
      </c>
      <c r="T23" s="15">
        <v>-2.9999999999999399E-2</v>
      </c>
      <c r="U23" s="15">
        <v>7.0000000000000001E-3</v>
      </c>
      <c r="V23" s="9">
        <f>SUM(P23:U23)</f>
        <v>9.8270000000000017</v>
      </c>
      <c r="W23" s="9">
        <f>O23-V23</f>
        <v>2.9999999999983373E-3</v>
      </c>
    </row>
    <row r="24" spans="1:23">
      <c r="A24" s="9">
        <v>3</v>
      </c>
      <c r="B24" s="9">
        <v>22</v>
      </c>
      <c r="C24" s="24" t="s">
        <v>71</v>
      </c>
      <c r="D24" s="15">
        <v>4.9400000000000004</v>
      </c>
      <c r="E24" s="15">
        <v>-0.06</v>
      </c>
      <c r="F24" s="15">
        <v>0.12</v>
      </c>
      <c r="G24" s="15">
        <v>5</v>
      </c>
      <c r="H24" s="15">
        <v>9.6999999999999993</v>
      </c>
      <c r="I24" s="15">
        <v>4.71</v>
      </c>
      <c r="J24" s="15">
        <v>9.7200000000000006</v>
      </c>
      <c r="K24" s="15">
        <v>2.0000000000001399E-2</v>
      </c>
      <c r="L24" s="15">
        <v>7.0000000000000001E-3</v>
      </c>
      <c r="O24" s="15">
        <f>J24</f>
        <v>9.7200000000000006</v>
      </c>
      <c r="P24" s="15">
        <v>4.9400000000000004</v>
      </c>
      <c r="Q24" s="15">
        <v>-0.06</v>
      </c>
      <c r="R24" s="15">
        <v>0.12</v>
      </c>
      <c r="S24" s="15">
        <v>4.71</v>
      </c>
      <c r="T24" s="15">
        <v>2.0000000000001399E-2</v>
      </c>
      <c r="U24" s="15">
        <v>7.0000000000000001E-3</v>
      </c>
      <c r="V24" s="9">
        <f>SUM(P24:U24)</f>
        <v>9.7370000000000019</v>
      </c>
      <c r="W24" s="9">
        <f>O24-V24</f>
        <v>-1.7000000000001236E-2</v>
      </c>
    </row>
    <row r="25" spans="1:23">
      <c r="A25" s="9">
        <v>3</v>
      </c>
      <c r="B25" s="9">
        <v>23</v>
      </c>
      <c r="C25" s="24" t="s">
        <v>72</v>
      </c>
      <c r="D25" s="15">
        <v>4.68</v>
      </c>
      <c r="E25" s="15">
        <v>0.19</v>
      </c>
      <c r="F25" s="15">
        <v>0.31</v>
      </c>
      <c r="G25" s="15">
        <v>5.18</v>
      </c>
      <c r="H25" s="15">
        <v>9.89</v>
      </c>
      <c r="I25" s="15">
        <v>4.71</v>
      </c>
      <c r="J25" s="15">
        <v>9.91</v>
      </c>
      <c r="K25" s="15">
        <v>9.9999999999997903E-3</v>
      </c>
      <c r="L25" s="15">
        <v>7.0000000000000001E-3</v>
      </c>
      <c r="O25" s="15">
        <f>J25</f>
        <v>9.91</v>
      </c>
      <c r="P25" s="15">
        <v>4.68</v>
      </c>
      <c r="Q25" s="15">
        <v>0.19</v>
      </c>
      <c r="R25" s="15">
        <v>0.31</v>
      </c>
      <c r="S25" s="15">
        <v>4.71</v>
      </c>
      <c r="T25" s="15">
        <v>9.9999999999997903E-3</v>
      </c>
      <c r="U25" s="15">
        <v>7.0000000000000001E-3</v>
      </c>
      <c r="V25" s="9">
        <f>SUM(P25:U25)</f>
        <v>9.907</v>
      </c>
      <c r="W25" s="9">
        <f>O25-V25</f>
        <v>3.0000000000001137E-3</v>
      </c>
    </row>
    <row r="26" spans="1:23">
      <c r="A26" s="9">
        <v>3</v>
      </c>
      <c r="B26" s="9">
        <v>24</v>
      </c>
      <c r="C26" s="24" t="s">
        <v>74</v>
      </c>
      <c r="D26" s="15">
        <v>5.04</v>
      </c>
      <c r="E26" s="15">
        <v>0.04</v>
      </c>
      <c r="F26" s="15">
        <v>0.04</v>
      </c>
      <c r="G26" s="15">
        <v>5.13</v>
      </c>
      <c r="H26" s="15">
        <v>9.83</v>
      </c>
      <c r="I26" s="15">
        <v>4.71</v>
      </c>
      <c r="J26" s="15">
        <v>9.81</v>
      </c>
      <c r="K26" s="15">
        <v>-1.9999999999999601E-2</v>
      </c>
      <c r="L26" s="15">
        <v>7.0000000000000001E-3</v>
      </c>
      <c r="O26" s="15">
        <f>J26</f>
        <v>9.81</v>
      </c>
      <c r="P26" s="15">
        <v>5.04</v>
      </c>
      <c r="Q26" s="15">
        <v>0.04</v>
      </c>
      <c r="R26" s="15">
        <v>0.04</v>
      </c>
      <c r="S26" s="15">
        <v>4.71</v>
      </c>
      <c r="T26" s="15">
        <v>-1.9999999999999601E-2</v>
      </c>
      <c r="U26" s="15">
        <v>7.0000000000000001E-3</v>
      </c>
      <c r="V26" s="9">
        <f>SUM(P26:U26)</f>
        <v>9.8170000000000002</v>
      </c>
      <c r="W26" s="9">
        <f>O26-V26</f>
        <v>-6.9999999999996732E-3</v>
      </c>
    </row>
    <row r="27" spans="1:23">
      <c r="A27" s="9">
        <v>3</v>
      </c>
      <c r="B27" s="9">
        <v>25</v>
      </c>
      <c r="C27" s="24" t="s">
        <v>75</v>
      </c>
      <c r="D27" s="15">
        <v>5.22</v>
      </c>
      <c r="E27" s="15">
        <v>0.05</v>
      </c>
      <c r="F27" s="15">
        <v>-0.15</v>
      </c>
      <c r="G27" s="15">
        <v>5.13</v>
      </c>
      <c r="H27" s="15">
        <v>9.84</v>
      </c>
      <c r="I27" s="15">
        <v>4.71</v>
      </c>
      <c r="J27" s="15">
        <v>9.7799999999999994</v>
      </c>
      <c r="K27" s="15">
        <v>-1.9999999999999601E-2</v>
      </c>
      <c r="L27" s="15">
        <v>-4.7E-2</v>
      </c>
      <c r="O27" s="15">
        <f>J27</f>
        <v>9.7799999999999994</v>
      </c>
      <c r="P27" s="15">
        <v>5.22</v>
      </c>
      <c r="Q27" s="15">
        <v>0.05</v>
      </c>
      <c r="R27" s="15">
        <v>-0.15</v>
      </c>
      <c r="S27" s="15">
        <v>4.71</v>
      </c>
      <c r="T27" s="15">
        <v>-1.9999999999999601E-2</v>
      </c>
      <c r="U27" s="15">
        <v>-4.7E-2</v>
      </c>
      <c r="V27" s="9">
        <f>SUM(P27:U27)</f>
        <v>9.7629999999999981</v>
      </c>
      <c r="W27" s="9">
        <f>O27-V27</f>
        <v>1.7000000000001236E-2</v>
      </c>
    </row>
    <row r="28" spans="1:23">
      <c r="A28" s="9">
        <v>3</v>
      </c>
      <c r="B28" s="9">
        <v>26</v>
      </c>
      <c r="C28" s="24" t="s">
        <v>79</v>
      </c>
      <c r="D28" s="15">
        <v>5.23</v>
      </c>
      <c r="E28" s="15">
        <v>0.06</v>
      </c>
      <c r="F28" s="15">
        <v>0.05</v>
      </c>
      <c r="G28" s="15">
        <v>5.33</v>
      </c>
      <c r="H28" s="15">
        <v>10.039999999999999</v>
      </c>
      <c r="I28" s="15">
        <v>4.71</v>
      </c>
      <c r="J28" s="15">
        <v>10.06</v>
      </c>
      <c r="K28" s="15">
        <v>1.00000000000016E-2</v>
      </c>
      <c r="L28" s="15">
        <v>4.0000000000000001E-3</v>
      </c>
      <c r="O28" s="15">
        <f>J28</f>
        <v>10.06</v>
      </c>
      <c r="P28" s="15">
        <v>5.23</v>
      </c>
      <c r="Q28" s="15">
        <v>0.06</v>
      </c>
      <c r="R28" s="15">
        <v>0.05</v>
      </c>
      <c r="S28" s="15">
        <v>4.71</v>
      </c>
      <c r="T28" s="15">
        <v>1.00000000000016E-2</v>
      </c>
      <c r="U28" s="15">
        <v>4.0000000000000001E-3</v>
      </c>
      <c r="V28" s="9">
        <f>SUM(P28:U28)</f>
        <v>10.064000000000002</v>
      </c>
      <c r="W28" s="9">
        <f>O28-V28</f>
        <v>-4.0000000000013358E-3</v>
      </c>
    </row>
    <row r="29" spans="1:23">
      <c r="A29" s="9">
        <v>3</v>
      </c>
      <c r="B29" s="9">
        <v>27</v>
      </c>
      <c r="C29" s="24" t="s">
        <v>80</v>
      </c>
      <c r="D29" s="15">
        <v>5.22</v>
      </c>
      <c r="E29" s="15">
        <v>0.17</v>
      </c>
      <c r="F29" s="15">
        <v>0.16</v>
      </c>
      <c r="G29" s="15">
        <v>5.55</v>
      </c>
      <c r="H29" s="15">
        <v>10.26</v>
      </c>
      <c r="I29" s="15">
        <v>4.71</v>
      </c>
      <c r="J29" s="15">
        <v>10.29</v>
      </c>
      <c r="K29" s="15">
        <v>1.9999999999999601E-2</v>
      </c>
      <c r="L29" s="15">
        <v>7.0000000000000001E-3</v>
      </c>
      <c r="O29" s="15">
        <f>J29</f>
        <v>10.29</v>
      </c>
      <c r="P29" s="15">
        <v>5.22</v>
      </c>
      <c r="Q29" s="15">
        <v>0.17</v>
      </c>
      <c r="R29" s="15">
        <v>0.16</v>
      </c>
      <c r="S29" s="15">
        <v>4.71</v>
      </c>
      <c r="T29" s="15">
        <v>1.9999999999999601E-2</v>
      </c>
      <c r="U29" s="15">
        <v>7.0000000000000001E-3</v>
      </c>
      <c r="V29" s="9">
        <f>SUM(P29:U29)</f>
        <v>10.286999999999999</v>
      </c>
      <c r="W29" s="9">
        <f>O29-V29</f>
        <v>3.0000000000001137E-3</v>
      </c>
    </row>
    <row r="30" spans="1:23">
      <c r="A30" s="9">
        <v>3</v>
      </c>
      <c r="B30" s="9">
        <v>28</v>
      </c>
      <c r="C30" s="24" t="s">
        <v>81</v>
      </c>
      <c r="D30" s="15">
        <v>5.47</v>
      </c>
      <c r="E30" s="15">
        <v>0.03</v>
      </c>
      <c r="F30" s="15">
        <v>-0.01</v>
      </c>
      <c r="G30" s="15">
        <v>5.49</v>
      </c>
      <c r="H30" s="15">
        <v>10.19</v>
      </c>
      <c r="I30" s="15">
        <v>4.71</v>
      </c>
      <c r="J30" s="15">
        <v>10.24</v>
      </c>
      <c r="K30" s="15">
        <v>4.0000000000000903E-2</v>
      </c>
      <c r="L30" s="15">
        <v>7.0000000000000001E-3</v>
      </c>
      <c r="O30" s="15">
        <f>J30</f>
        <v>10.24</v>
      </c>
      <c r="P30" s="15">
        <v>5.47</v>
      </c>
      <c r="Q30" s="15">
        <v>0.03</v>
      </c>
      <c r="R30" s="15">
        <v>-0.01</v>
      </c>
      <c r="S30" s="15">
        <v>4.71</v>
      </c>
      <c r="T30" s="15">
        <v>4.0000000000000903E-2</v>
      </c>
      <c r="U30" s="15">
        <v>7.0000000000000001E-3</v>
      </c>
      <c r="V30" s="9">
        <f>SUM(P30:U30)</f>
        <v>10.247</v>
      </c>
      <c r="W30" s="9">
        <f>O30-V30</f>
        <v>-6.9999999999996732E-3</v>
      </c>
    </row>
    <row r="31" spans="1:23">
      <c r="A31" s="9">
        <v>3</v>
      </c>
      <c r="B31" s="9">
        <v>29</v>
      </c>
      <c r="C31" s="24" t="s">
        <v>82</v>
      </c>
      <c r="D31" s="15">
        <v>5.81</v>
      </c>
      <c r="E31" s="15">
        <v>-0.03</v>
      </c>
      <c r="F31" s="15">
        <v>-0.44</v>
      </c>
      <c r="G31" s="15">
        <v>5.34</v>
      </c>
      <c r="H31" s="15">
        <v>10.039999999999999</v>
      </c>
      <c r="I31" s="15">
        <v>4.71</v>
      </c>
      <c r="J31" s="15">
        <v>10</v>
      </c>
      <c r="K31" s="15">
        <v>-2.9999999999999399E-2</v>
      </c>
      <c r="L31" s="15">
        <v>-7.0000000000000001E-3</v>
      </c>
      <c r="O31" s="15">
        <f>J31</f>
        <v>10</v>
      </c>
      <c r="P31" s="15">
        <v>5.81</v>
      </c>
      <c r="Q31" s="15">
        <v>-0.03</v>
      </c>
      <c r="R31" s="15">
        <v>-0.44</v>
      </c>
      <c r="S31" s="15">
        <v>4.71</v>
      </c>
      <c r="T31" s="15">
        <v>-2.9999999999999399E-2</v>
      </c>
      <c r="U31" s="15">
        <v>-7.0000000000000001E-3</v>
      </c>
      <c r="V31" s="9">
        <f>SUM(P31:U31)</f>
        <v>10.013</v>
      </c>
      <c r="W31" s="9">
        <f>O31-V31</f>
        <v>-1.2999999999999901E-2</v>
      </c>
    </row>
    <row r="32" spans="1:23">
      <c r="A32" s="9">
        <v>3</v>
      </c>
      <c r="B32" s="9">
        <v>30</v>
      </c>
      <c r="C32" s="24" t="s">
        <v>83</v>
      </c>
      <c r="D32" s="15">
        <v>5.96</v>
      </c>
      <c r="E32" s="15">
        <v>-0.01</v>
      </c>
      <c r="F32" s="15">
        <v>-0.52</v>
      </c>
      <c r="G32" s="15">
        <v>5.42</v>
      </c>
      <c r="H32" s="15">
        <v>10.130000000000001</v>
      </c>
      <c r="I32" s="15">
        <v>4.71</v>
      </c>
      <c r="J32" s="15">
        <v>10.11</v>
      </c>
      <c r="K32" s="15">
        <v>-1.00000000000016E-2</v>
      </c>
      <c r="L32" s="15">
        <v>-5.0000000000000001E-3</v>
      </c>
      <c r="O32" s="15">
        <f>J32</f>
        <v>10.11</v>
      </c>
      <c r="P32" s="15">
        <v>5.96</v>
      </c>
      <c r="Q32" s="15">
        <v>-0.01</v>
      </c>
      <c r="R32" s="15">
        <v>-0.52</v>
      </c>
      <c r="S32" s="15">
        <v>4.71</v>
      </c>
      <c r="T32" s="15">
        <v>-1.00000000000016E-2</v>
      </c>
      <c r="U32" s="15">
        <v>-5.0000000000000001E-3</v>
      </c>
      <c r="V32" s="9">
        <f>SUM(P32:U32)</f>
        <v>10.124999999999998</v>
      </c>
      <c r="W32" s="9">
        <f>O32-V32</f>
        <v>-1.4999999999998792E-2</v>
      </c>
    </row>
    <row r="33" spans="1:23">
      <c r="A33" s="9">
        <v>3</v>
      </c>
      <c r="B33" s="9">
        <v>31</v>
      </c>
      <c r="C33" s="24" t="s">
        <v>84</v>
      </c>
      <c r="D33" s="15">
        <v>6.14</v>
      </c>
      <c r="E33" s="15">
        <v>-0.16</v>
      </c>
      <c r="F33" s="15">
        <v>-0.72</v>
      </c>
      <c r="G33" s="15">
        <v>5.27</v>
      </c>
      <c r="H33" s="15">
        <v>9.9700000000000006</v>
      </c>
      <c r="I33" s="15">
        <v>4.71</v>
      </c>
      <c r="J33" s="15">
        <v>9.9700000000000006</v>
      </c>
      <c r="K33" s="15">
        <v>-9.9999999999997903E-3</v>
      </c>
      <c r="L33" s="15">
        <v>7.0000000000000001E-3</v>
      </c>
      <c r="O33" s="15">
        <f>J33</f>
        <v>9.9700000000000006</v>
      </c>
      <c r="P33" s="15">
        <v>6.14</v>
      </c>
      <c r="Q33" s="15">
        <v>-0.16</v>
      </c>
      <c r="R33" s="15">
        <v>-0.72</v>
      </c>
      <c r="S33" s="15">
        <v>4.71</v>
      </c>
      <c r="T33" s="15">
        <v>-9.9999999999997903E-3</v>
      </c>
      <c r="U33" s="15">
        <v>7.0000000000000001E-3</v>
      </c>
      <c r="V33" s="9">
        <f>SUM(P33:U33)</f>
        <v>9.9669999999999987</v>
      </c>
      <c r="W33" s="9">
        <f>O33-V33</f>
        <v>3.00000000000189E-3</v>
      </c>
    </row>
    <row r="34" spans="1:23">
      <c r="A34" s="9">
        <v>3</v>
      </c>
      <c r="B34" s="9">
        <v>32</v>
      </c>
      <c r="C34" s="24" t="s">
        <v>85</v>
      </c>
      <c r="D34" s="15">
        <v>6.3</v>
      </c>
      <c r="E34" s="15">
        <v>-0.28999999999999998</v>
      </c>
      <c r="F34" s="15">
        <v>-0.6</v>
      </c>
      <c r="G34" s="15">
        <v>5.41</v>
      </c>
      <c r="H34" s="15">
        <v>10.11</v>
      </c>
      <c r="I34" s="15">
        <v>4.71</v>
      </c>
      <c r="J34" s="15">
        <v>10.029999999999999</v>
      </c>
      <c r="K34" s="15">
        <v>-1.9999999999999601E-2</v>
      </c>
      <c r="L34" s="15">
        <v>-5.7000000000000002E-2</v>
      </c>
      <c r="O34" s="15">
        <f>J34</f>
        <v>10.029999999999999</v>
      </c>
      <c r="P34" s="15">
        <v>6.3</v>
      </c>
      <c r="Q34" s="15">
        <v>-0.28999999999999998</v>
      </c>
      <c r="R34" s="15">
        <v>-0.6</v>
      </c>
      <c r="S34" s="15">
        <v>4.71</v>
      </c>
      <c r="T34" s="15">
        <v>-1.9999999999999601E-2</v>
      </c>
      <c r="U34" s="15">
        <v>-5.7000000000000002E-2</v>
      </c>
      <c r="V34" s="9">
        <f>SUM(P34:U34)</f>
        <v>10.043000000000001</v>
      </c>
      <c r="W34" s="9">
        <f>O34-V34</f>
        <v>-1.3000000000001677E-2</v>
      </c>
    </row>
    <row r="35" spans="1:23">
      <c r="A35" s="9">
        <v>3</v>
      </c>
      <c r="B35" s="9">
        <v>33</v>
      </c>
      <c r="C35" s="24" t="s">
        <v>86</v>
      </c>
      <c r="D35" s="15">
        <v>5.64</v>
      </c>
      <c r="E35" s="15">
        <v>0.06</v>
      </c>
      <c r="F35" s="15">
        <v>-0.2</v>
      </c>
      <c r="G35" s="15">
        <v>5.51</v>
      </c>
      <c r="H35" s="15">
        <v>10.210000000000001</v>
      </c>
      <c r="I35" s="15">
        <v>4.71</v>
      </c>
      <c r="J35" s="15">
        <v>10.18</v>
      </c>
      <c r="K35" s="15">
        <v>-2.0000000000001399E-2</v>
      </c>
      <c r="L35" s="15">
        <v>-8.9999999999999993E-3</v>
      </c>
      <c r="O35" s="15">
        <f>J35</f>
        <v>10.18</v>
      </c>
      <c r="P35" s="15">
        <v>5.64</v>
      </c>
      <c r="Q35" s="15">
        <v>0.06</v>
      </c>
      <c r="R35" s="15">
        <v>-0.2</v>
      </c>
      <c r="S35" s="15">
        <v>4.71</v>
      </c>
      <c r="T35" s="15">
        <v>-2.0000000000001399E-2</v>
      </c>
      <c r="U35" s="15">
        <v>-8.9999999999999993E-3</v>
      </c>
      <c r="V35" s="9">
        <f>SUM(P35:U35)</f>
        <v>10.180999999999997</v>
      </c>
      <c r="W35" s="9">
        <f>O35-V35</f>
        <v>-9.9999999999766942E-4</v>
      </c>
    </row>
    <row r="36" spans="1:23">
      <c r="A36" s="9">
        <v>3</v>
      </c>
      <c r="B36" s="9">
        <v>34</v>
      </c>
      <c r="C36" s="24" t="s">
        <v>88</v>
      </c>
      <c r="D36" s="15">
        <v>5.41</v>
      </c>
      <c r="E36" s="15">
        <v>0.03</v>
      </c>
      <c r="F36" s="15">
        <v>-0.12</v>
      </c>
      <c r="G36" s="15">
        <v>5.33</v>
      </c>
      <c r="H36" s="15">
        <v>10.029999999999999</v>
      </c>
      <c r="I36" s="15">
        <v>4.71</v>
      </c>
      <c r="J36" s="15">
        <v>10.039999999999999</v>
      </c>
      <c r="K36" s="15">
        <v>0</v>
      </c>
      <c r="L36" s="15">
        <v>7.0000000000000001E-3</v>
      </c>
      <c r="O36" s="15">
        <f>J36</f>
        <v>10.039999999999999</v>
      </c>
      <c r="P36" s="15">
        <v>5.41</v>
      </c>
      <c r="Q36" s="15">
        <v>0.03</v>
      </c>
      <c r="R36" s="15">
        <v>-0.12</v>
      </c>
      <c r="S36" s="15">
        <v>4.71</v>
      </c>
      <c r="T36" s="15">
        <v>0</v>
      </c>
      <c r="U36" s="15">
        <v>7.0000000000000001E-3</v>
      </c>
      <c r="V36" s="9">
        <f>SUM(P36:U36)</f>
        <v>10.037000000000001</v>
      </c>
      <c r="W36" s="9">
        <f>O36-V36</f>
        <v>2.9999999999983373E-3</v>
      </c>
    </row>
    <row r="37" spans="1:23">
      <c r="A37" s="9">
        <v>3</v>
      </c>
      <c r="B37" s="9">
        <v>35</v>
      </c>
      <c r="C37" s="24" t="s">
        <v>89</v>
      </c>
      <c r="D37" s="15">
        <v>5.87</v>
      </c>
      <c r="E37" s="15">
        <v>-0.2</v>
      </c>
      <c r="F37" s="15">
        <v>-0.15</v>
      </c>
      <c r="G37" s="15">
        <v>5.51</v>
      </c>
      <c r="H37" s="15">
        <v>10.220000000000001</v>
      </c>
      <c r="I37" s="15">
        <v>4.71</v>
      </c>
      <c r="J37" s="15">
        <v>10.220000000000001</v>
      </c>
      <c r="K37" s="15">
        <v>-9.9999999999997903E-3</v>
      </c>
      <c r="L37" s="15">
        <v>7.0000000000000001E-3</v>
      </c>
      <c r="O37" s="15">
        <f>J37</f>
        <v>10.220000000000001</v>
      </c>
      <c r="P37" s="15">
        <v>5.87</v>
      </c>
      <c r="Q37" s="15">
        <v>-0.2</v>
      </c>
      <c r="R37" s="15">
        <v>-0.15</v>
      </c>
      <c r="S37" s="15">
        <v>4.71</v>
      </c>
      <c r="T37" s="15">
        <v>-9.9999999999997903E-3</v>
      </c>
      <c r="U37" s="15">
        <v>7.0000000000000001E-3</v>
      </c>
      <c r="V37" s="9">
        <f>SUM(P37:U37)</f>
        <v>10.227</v>
      </c>
      <c r="W37" s="9">
        <f>O37-V37</f>
        <v>-6.9999999999996732E-3</v>
      </c>
    </row>
    <row r="38" spans="1:23">
      <c r="A38" s="9">
        <v>3</v>
      </c>
      <c r="B38" s="9">
        <v>36</v>
      </c>
      <c r="C38" s="24" t="s">
        <v>90</v>
      </c>
      <c r="D38" s="15">
        <v>6.14</v>
      </c>
      <c r="E38" s="15">
        <v>-0.11</v>
      </c>
      <c r="F38" s="15">
        <v>-0.43</v>
      </c>
      <c r="G38" s="15">
        <v>5.61</v>
      </c>
      <c r="H38" s="15">
        <v>10.31</v>
      </c>
      <c r="I38" s="15">
        <v>4.71</v>
      </c>
      <c r="J38" s="15">
        <v>10.29</v>
      </c>
      <c r="K38" s="15">
        <v>-3.0000000000001099E-2</v>
      </c>
      <c r="L38" s="15">
        <v>7.0000000000000001E-3</v>
      </c>
      <c r="O38" s="15">
        <f>J38</f>
        <v>10.29</v>
      </c>
      <c r="P38" s="15">
        <v>6.14</v>
      </c>
      <c r="Q38" s="15">
        <v>-0.11</v>
      </c>
      <c r="R38" s="15">
        <v>-0.43</v>
      </c>
      <c r="S38" s="15">
        <v>4.71</v>
      </c>
      <c r="T38" s="15">
        <v>-3.0000000000001099E-2</v>
      </c>
      <c r="U38" s="15">
        <v>7.0000000000000001E-3</v>
      </c>
      <c r="V38" s="9">
        <f>SUM(P38:U38)</f>
        <v>10.286999999999997</v>
      </c>
      <c r="W38" s="9">
        <f>O38-V38</f>
        <v>3.00000000000189E-3</v>
      </c>
    </row>
    <row r="39" spans="1:23">
      <c r="A39" s="9">
        <v>3</v>
      </c>
      <c r="B39" s="9">
        <v>37</v>
      </c>
      <c r="C39" s="24" t="s">
        <v>91</v>
      </c>
      <c r="D39" s="15">
        <v>6.02</v>
      </c>
      <c r="E39" s="15">
        <v>-7.0000000000000007E-2</v>
      </c>
      <c r="F39" s="15">
        <v>-0.33</v>
      </c>
      <c r="G39" s="15">
        <v>5.63</v>
      </c>
      <c r="H39" s="15">
        <v>10.33</v>
      </c>
      <c r="I39" s="15">
        <v>4.71</v>
      </c>
      <c r="J39" s="15">
        <v>10.28</v>
      </c>
      <c r="K39" s="15">
        <v>-5.0000000000000697E-2</v>
      </c>
      <c r="L39" s="15">
        <v>1E-3</v>
      </c>
      <c r="O39" s="15">
        <f>J39</f>
        <v>10.28</v>
      </c>
      <c r="P39" s="15">
        <v>6.02</v>
      </c>
      <c r="Q39" s="15">
        <v>-7.0000000000000007E-2</v>
      </c>
      <c r="R39" s="15">
        <v>-0.33</v>
      </c>
      <c r="S39" s="15">
        <v>4.71</v>
      </c>
      <c r="T39" s="15">
        <v>-5.0000000000000697E-2</v>
      </c>
      <c r="U39" s="15">
        <v>1E-3</v>
      </c>
      <c r="V39" s="9">
        <f>SUM(P39:U39)</f>
        <v>10.280999999999997</v>
      </c>
      <c r="W39" s="9">
        <f>O39-V39</f>
        <v>-9.9999999999766942E-4</v>
      </c>
    </row>
    <row r="40" spans="1:23">
      <c r="A40" s="9">
        <v>3</v>
      </c>
      <c r="B40" s="9">
        <v>38</v>
      </c>
      <c r="C40" s="24" t="s">
        <v>92</v>
      </c>
      <c r="D40" s="15">
        <v>5.93</v>
      </c>
      <c r="E40" s="15">
        <v>0.03</v>
      </c>
      <c r="F40" s="15">
        <v>-0.51</v>
      </c>
      <c r="G40" s="15">
        <v>5.45</v>
      </c>
      <c r="H40" s="15">
        <v>10.16</v>
      </c>
      <c r="I40" s="15">
        <v>4.71</v>
      </c>
      <c r="J40" s="15">
        <v>10.220000000000001</v>
      </c>
      <c r="K40" s="15">
        <v>6.0000000000000497E-2</v>
      </c>
      <c r="L40" s="15">
        <v>7.0000000000000001E-3</v>
      </c>
      <c r="O40" s="15">
        <f>J40</f>
        <v>10.220000000000001</v>
      </c>
      <c r="P40" s="15">
        <v>5.93</v>
      </c>
      <c r="Q40" s="15">
        <v>0.03</v>
      </c>
      <c r="R40" s="15">
        <v>-0.51</v>
      </c>
      <c r="S40" s="15">
        <v>4.71</v>
      </c>
      <c r="T40" s="15">
        <v>6.0000000000000497E-2</v>
      </c>
      <c r="U40" s="15">
        <v>7.0000000000000001E-3</v>
      </c>
      <c r="V40" s="9">
        <f>SUM(P40:U40)</f>
        <v>10.227</v>
      </c>
      <c r="W40" s="9">
        <f>O40-V40</f>
        <v>-6.9999999999996732E-3</v>
      </c>
    </row>
    <row r="41" spans="1:23">
      <c r="A41" s="9">
        <v>3</v>
      </c>
      <c r="B41" s="9">
        <v>39</v>
      </c>
      <c r="C41" s="24" t="s">
        <v>93</v>
      </c>
      <c r="D41" s="15">
        <v>6.1</v>
      </c>
      <c r="E41" s="15">
        <v>-0.14000000000000001</v>
      </c>
      <c r="F41" s="15">
        <v>-0.46</v>
      </c>
      <c r="G41" s="15">
        <v>5.5</v>
      </c>
      <c r="H41" s="15">
        <v>10.199999999999999</v>
      </c>
      <c r="I41" s="15">
        <v>4.71</v>
      </c>
      <c r="J41" s="15">
        <v>10.17</v>
      </c>
      <c r="K41" s="15">
        <v>-3.9999999999999203E-2</v>
      </c>
      <c r="L41" s="15">
        <v>7.0000000000000001E-3</v>
      </c>
      <c r="O41" s="15">
        <f>J41</f>
        <v>10.17</v>
      </c>
      <c r="P41" s="15">
        <v>6.1</v>
      </c>
      <c r="Q41" s="15">
        <v>-0.14000000000000001</v>
      </c>
      <c r="R41" s="15">
        <v>-0.46</v>
      </c>
      <c r="S41" s="15">
        <v>4.71</v>
      </c>
      <c r="T41" s="15">
        <v>-3.9999999999999203E-2</v>
      </c>
      <c r="U41" s="15">
        <v>7.0000000000000001E-3</v>
      </c>
      <c r="V41" s="9">
        <f>SUM(P41:U41)</f>
        <v>10.177000000000001</v>
      </c>
      <c r="W41" s="9">
        <f>O41-V41</f>
        <v>-7.0000000000014495E-3</v>
      </c>
    </row>
    <row r="42" spans="1:23">
      <c r="A42" s="9">
        <v>3</v>
      </c>
      <c r="B42" s="9">
        <v>40</v>
      </c>
      <c r="C42" s="24" t="s">
        <v>94</v>
      </c>
      <c r="D42" s="15">
        <v>5.84</v>
      </c>
      <c r="E42" s="15">
        <v>0.02</v>
      </c>
      <c r="F42" s="15">
        <v>-0.3</v>
      </c>
      <c r="G42" s="15">
        <v>5.56</v>
      </c>
      <c r="H42" s="15">
        <v>10.27</v>
      </c>
      <c r="I42" s="15">
        <v>4.71</v>
      </c>
      <c r="J42" s="15">
        <v>10.220000000000001</v>
      </c>
      <c r="K42" s="15">
        <v>-3.9999999999999203E-2</v>
      </c>
      <c r="L42" s="15">
        <v>-1.0999999999999999E-2</v>
      </c>
      <c r="O42" s="15">
        <f>J42</f>
        <v>10.220000000000001</v>
      </c>
      <c r="P42" s="15">
        <v>5.84</v>
      </c>
      <c r="Q42" s="15">
        <v>0.02</v>
      </c>
      <c r="R42" s="15">
        <v>-0.3</v>
      </c>
      <c r="S42" s="15">
        <v>4.71</v>
      </c>
      <c r="T42" s="15">
        <v>-3.9999999999999203E-2</v>
      </c>
      <c r="U42" s="15">
        <v>-1.0999999999999999E-2</v>
      </c>
      <c r="V42" s="9">
        <f>SUM(P42:U42)</f>
        <v>10.219000000000001</v>
      </c>
      <c r="W42" s="9">
        <f>O42-V42</f>
        <v>9.9999999999944578E-4</v>
      </c>
    </row>
    <row r="43" spans="1:23">
      <c r="A43" s="9">
        <v>3</v>
      </c>
      <c r="B43" s="9">
        <v>41</v>
      </c>
      <c r="C43" s="24" t="s">
        <v>95</v>
      </c>
      <c r="D43" s="15">
        <v>7.05</v>
      </c>
      <c r="E43" s="15">
        <v>-0.19</v>
      </c>
      <c r="F43" s="15">
        <v>-0.79</v>
      </c>
      <c r="G43" s="15">
        <v>6.07</v>
      </c>
      <c r="H43" s="15">
        <v>10.77</v>
      </c>
      <c r="I43" s="15">
        <v>4.71</v>
      </c>
      <c r="J43" s="15">
        <v>10.68</v>
      </c>
      <c r="K43" s="15">
        <v>-7.0000000000000298E-2</v>
      </c>
      <c r="L43" s="15">
        <v>-2.7E-2</v>
      </c>
      <c r="O43" s="15">
        <f>J43</f>
        <v>10.68</v>
      </c>
      <c r="P43" s="15">
        <v>7.05</v>
      </c>
      <c r="Q43" s="15">
        <v>-0.19</v>
      </c>
      <c r="R43" s="15">
        <v>-0.79</v>
      </c>
      <c r="S43" s="15">
        <v>4.71</v>
      </c>
      <c r="T43" s="15">
        <v>-7.0000000000000298E-2</v>
      </c>
      <c r="U43" s="15">
        <v>-2.7E-2</v>
      </c>
      <c r="V43" s="9">
        <f>SUM(P43:U43)</f>
        <v>10.683</v>
      </c>
      <c r="W43" s="9">
        <f>O43-V43</f>
        <v>-3.0000000000001137E-3</v>
      </c>
    </row>
    <row r="44" spans="1:23">
      <c r="A44" s="9">
        <v>3</v>
      </c>
      <c r="B44" s="9">
        <v>42</v>
      </c>
      <c r="C44" s="24" t="s">
        <v>96</v>
      </c>
      <c r="D44" s="15">
        <v>6.58</v>
      </c>
      <c r="E44" s="15">
        <v>-0.2</v>
      </c>
      <c r="F44" s="15">
        <v>-0.79</v>
      </c>
      <c r="G44" s="15">
        <v>5.59</v>
      </c>
      <c r="H44" s="15">
        <v>10.29</v>
      </c>
      <c r="I44" s="15">
        <v>4.71</v>
      </c>
      <c r="J44" s="15">
        <v>10.26</v>
      </c>
      <c r="K44" s="15">
        <v>-9.9999999999997903E-3</v>
      </c>
      <c r="L44" s="15">
        <v>-1.6E-2</v>
      </c>
      <c r="O44" s="15">
        <f>J44</f>
        <v>10.26</v>
      </c>
      <c r="P44" s="15">
        <v>6.58</v>
      </c>
      <c r="Q44" s="15">
        <v>-0.2</v>
      </c>
      <c r="R44" s="15">
        <v>-0.79</v>
      </c>
      <c r="S44" s="15">
        <v>4.71</v>
      </c>
      <c r="T44" s="15">
        <v>-9.9999999999997903E-3</v>
      </c>
      <c r="U44" s="15">
        <v>-1.6E-2</v>
      </c>
      <c r="V44" s="9">
        <f>SUM(P44:U44)</f>
        <v>10.274000000000001</v>
      </c>
      <c r="W44" s="9">
        <f>O44-V44</f>
        <v>-1.4000000000001123E-2</v>
      </c>
    </row>
    <row r="45" spans="1:23">
      <c r="A45" s="9">
        <v>3</v>
      </c>
      <c r="B45" s="9">
        <v>43</v>
      </c>
      <c r="C45" s="24" t="s">
        <v>97</v>
      </c>
      <c r="D45" s="15">
        <v>6.33</v>
      </c>
      <c r="E45" s="15">
        <v>-7.0000000000000007E-2</v>
      </c>
      <c r="F45" s="15">
        <v>-0.66</v>
      </c>
      <c r="G45" s="15">
        <v>5.6</v>
      </c>
      <c r="H45" s="15">
        <v>10.3</v>
      </c>
      <c r="I45" s="15">
        <v>4.71</v>
      </c>
      <c r="J45" s="15">
        <v>10.29</v>
      </c>
      <c r="K45" s="15">
        <v>2.9999999999999399E-2</v>
      </c>
      <c r="L45" s="15">
        <v>-3.3000000000000002E-2</v>
      </c>
      <c r="O45" s="15">
        <f>J45</f>
        <v>10.29</v>
      </c>
      <c r="P45" s="15">
        <v>6.33</v>
      </c>
      <c r="Q45" s="15">
        <v>-7.0000000000000007E-2</v>
      </c>
      <c r="R45" s="15">
        <v>-0.66</v>
      </c>
      <c r="S45" s="15">
        <v>4.71</v>
      </c>
      <c r="T45" s="15">
        <v>2.9999999999999399E-2</v>
      </c>
      <c r="U45" s="15">
        <v>-3.3000000000000002E-2</v>
      </c>
      <c r="V45" s="9">
        <f>SUM(P45:U45)</f>
        <v>10.306999999999999</v>
      </c>
      <c r="W45" s="9">
        <f>O45-V45</f>
        <v>-1.699999999999946E-2</v>
      </c>
    </row>
    <row r="46" spans="1:23">
      <c r="A46" s="9">
        <v>3</v>
      </c>
      <c r="B46" s="9">
        <v>44</v>
      </c>
      <c r="C46" s="24" t="s">
        <v>98</v>
      </c>
      <c r="D46" s="15">
        <v>6.41</v>
      </c>
      <c r="E46" s="15">
        <v>-0.19</v>
      </c>
      <c r="F46" s="15">
        <v>-0.64</v>
      </c>
      <c r="G46" s="15">
        <v>5.58</v>
      </c>
      <c r="H46" s="15">
        <v>10.28</v>
      </c>
      <c r="I46" s="15">
        <v>4.71</v>
      </c>
      <c r="J46" s="15">
        <v>10.3</v>
      </c>
      <c r="K46" s="15">
        <v>2.0000000000001399E-2</v>
      </c>
      <c r="L46" s="15">
        <v>-5.0000000000000001E-3</v>
      </c>
      <c r="O46" s="15">
        <f>J46</f>
        <v>10.3</v>
      </c>
      <c r="P46" s="15">
        <v>6.41</v>
      </c>
      <c r="Q46" s="15">
        <v>-0.19</v>
      </c>
      <c r="R46" s="15">
        <v>-0.64</v>
      </c>
      <c r="S46" s="15">
        <v>4.71</v>
      </c>
      <c r="T46" s="15">
        <v>2.0000000000001399E-2</v>
      </c>
      <c r="U46" s="15">
        <v>-5.0000000000000001E-3</v>
      </c>
      <c r="V46" s="9">
        <f>SUM(P46:U46)</f>
        <v>10.305</v>
      </c>
      <c r="W46" s="9">
        <f>O46-V46</f>
        <v>-4.9999999999990052E-3</v>
      </c>
    </row>
    <row r="47" spans="1:23">
      <c r="A47" s="9">
        <v>3</v>
      </c>
      <c r="B47" s="9">
        <v>45</v>
      </c>
      <c r="C47" s="24" t="s">
        <v>99</v>
      </c>
      <c r="D47" s="15">
        <v>6.14</v>
      </c>
      <c r="E47" s="15">
        <v>-0.08</v>
      </c>
      <c r="F47" s="15">
        <v>-0.85</v>
      </c>
      <c r="G47" s="15">
        <v>5.21</v>
      </c>
      <c r="H47" s="15">
        <v>9.91</v>
      </c>
      <c r="I47" s="15">
        <v>4.71</v>
      </c>
      <c r="J47" s="15">
        <v>9.83</v>
      </c>
      <c r="K47" s="15">
        <v>-7.0000000000000298E-2</v>
      </c>
      <c r="L47" s="15">
        <v>-1.4999999999999999E-2</v>
      </c>
      <c r="O47" s="15">
        <f>J47</f>
        <v>9.83</v>
      </c>
      <c r="P47" s="15">
        <v>6.14</v>
      </c>
      <c r="Q47" s="15">
        <v>-0.08</v>
      </c>
      <c r="R47" s="15">
        <v>-0.85</v>
      </c>
      <c r="S47" s="15">
        <v>4.71</v>
      </c>
      <c r="T47" s="15">
        <v>-7.0000000000000298E-2</v>
      </c>
      <c r="U47" s="15">
        <v>-1.4999999999999999E-2</v>
      </c>
      <c r="V47" s="9">
        <f>SUM(P47:U47)</f>
        <v>9.8349999999999991</v>
      </c>
      <c r="W47" s="9">
        <f>O47-V47</f>
        <v>-4.9999999999990052E-3</v>
      </c>
    </row>
    <row r="48" spans="1:23">
      <c r="A48" s="9">
        <v>3</v>
      </c>
      <c r="B48" s="9">
        <v>46</v>
      </c>
      <c r="C48" s="24" t="s">
        <v>100</v>
      </c>
      <c r="D48" s="15">
        <v>6.53</v>
      </c>
      <c r="E48" s="15">
        <v>-0.05</v>
      </c>
      <c r="F48" s="15">
        <v>-0.91</v>
      </c>
      <c r="G48" s="15">
        <v>5.57</v>
      </c>
      <c r="H48" s="15">
        <v>10.28</v>
      </c>
      <c r="I48" s="15">
        <v>4.71</v>
      </c>
      <c r="J48" s="15">
        <v>10.36</v>
      </c>
      <c r="K48" s="15">
        <v>7.0000000000000298E-2</v>
      </c>
      <c r="L48" s="15">
        <v>7.0000000000000001E-3</v>
      </c>
      <c r="O48" s="15">
        <f>J48</f>
        <v>10.36</v>
      </c>
      <c r="P48" s="15">
        <v>6.53</v>
      </c>
      <c r="Q48" s="15">
        <v>-0.05</v>
      </c>
      <c r="R48" s="15">
        <v>-0.91</v>
      </c>
      <c r="S48" s="15">
        <v>4.71</v>
      </c>
      <c r="T48" s="15">
        <v>7.0000000000000298E-2</v>
      </c>
      <c r="U48" s="15">
        <v>7.0000000000000001E-3</v>
      </c>
      <c r="V48" s="9">
        <f>SUM(P48:U48)</f>
        <v>10.357000000000001</v>
      </c>
      <c r="W48" s="9">
        <f>O48-V48</f>
        <v>2.9999999999983373E-3</v>
      </c>
    </row>
    <row r="49" spans="1:23">
      <c r="A49" s="9">
        <v>3</v>
      </c>
      <c r="B49" s="9">
        <v>47</v>
      </c>
      <c r="C49" s="24" t="s">
        <v>101</v>
      </c>
      <c r="D49" s="15">
        <v>6.56</v>
      </c>
      <c r="E49" s="15">
        <v>0.28000000000000003</v>
      </c>
      <c r="F49" s="15">
        <v>-1.58</v>
      </c>
      <c r="G49" s="15">
        <v>5.26</v>
      </c>
      <c r="H49" s="15">
        <v>9.9700000000000006</v>
      </c>
      <c r="I49" s="15">
        <v>4.71</v>
      </c>
      <c r="J49" s="15">
        <v>9.9499999999999993</v>
      </c>
      <c r="K49" s="15">
        <v>9.9999999999997903E-3</v>
      </c>
      <c r="L49" s="15">
        <v>-2.8000000000000001E-2</v>
      </c>
      <c r="O49" s="15">
        <f>J49</f>
        <v>9.9499999999999993</v>
      </c>
      <c r="P49" s="15">
        <v>6.56</v>
      </c>
      <c r="Q49" s="15">
        <v>0.28000000000000003</v>
      </c>
      <c r="R49" s="15">
        <v>-1.58</v>
      </c>
      <c r="S49" s="15">
        <v>4.71</v>
      </c>
      <c r="T49" s="15">
        <v>9.9999999999997903E-3</v>
      </c>
      <c r="U49" s="15">
        <v>-2.8000000000000001E-2</v>
      </c>
      <c r="V49" s="9">
        <f>SUM(P49:U49)</f>
        <v>9.9519999999999982</v>
      </c>
      <c r="W49" s="9">
        <f>O49-V49</f>
        <v>-1.9999999999988916E-3</v>
      </c>
    </row>
    <row r="50" spans="1:23" ht="15.6">
      <c r="A50" s="9">
        <v>4</v>
      </c>
      <c r="B50" s="14">
        <v>1</v>
      </c>
      <c r="C50" s="23" t="s">
        <v>33</v>
      </c>
      <c r="D50" s="23">
        <v>6.26</v>
      </c>
      <c r="E50" s="23">
        <v>-0.31</v>
      </c>
      <c r="F50" s="23">
        <v>-0.26</v>
      </c>
      <c r="G50" s="23">
        <v>5.69</v>
      </c>
      <c r="H50" s="23">
        <v>10.41</v>
      </c>
      <c r="I50" s="15">
        <v>4.71</v>
      </c>
      <c r="J50" s="23">
        <v>10.39</v>
      </c>
      <c r="K50" s="23">
        <v>-2.9999999999999399E-2</v>
      </c>
      <c r="L50" s="23">
        <v>7.0000000000000001E-3</v>
      </c>
      <c r="O50" s="15">
        <f>J50</f>
        <v>10.39</v>
      </c>
      <c r="P50" s="23">
        <v>6.26</v>
      </c>
      <c r="Q50" s="23">
        <v>-0.31</v>
      </c>
      <c r="R50" s="23">
        <v>-0.26</v>
      </c>
      <c r="S50" s="15">
        <v>4.71</v>
      </c>
      <c r="T50" s="23">
        <v>-2.9999999999999399E-2</v>
      </c>
      <c r="U50" s="23">
        <v>7.0000000000000001E-3</v>
      </c>
      <c r="V50" s="9">
        <f>SUM(P50:U50)</f>
        <v>10.377000000000001</v>
      </c>
      <c r="W50" s="9">
        <f>O50-V50</f>
        <v>1.2999999999999901E-2</v>
      </c>
    </row>
    <row r="51" spans="1:23" ht="15.6">
      <c r="A51" s="14">
        <v>4</v>
      </c>
      <c r="B51" s="23">
        <v>2</v>
      </c>
      <c r="C51" s="23" t="s">
        <v>36</v>
      </c>
      <c r="D51" s="23">
        <v>6.37</v>
      </c>
      <c r="E51" s="23">
        <v>-0.3</v>
      </c>
      <c r="F51" s="23">
        <v>-0.81</v>
      </c>
      <c r="G51" s="23">
        <v>5.26</v>
      </c>
      <c r="H51" s="23">
        <v>9.98</v>
      </c>
      <c r="I51" s="15">
        <v>4.71</v>
      </c>
      <c r="J51" s="23">
        <v>10.029999999999999</v>
      </c>
      <c r="K51" s="23">
        <v>3.9999999999999203E-2</v>
      </c>
      <c r="L51" s="23">
        <v>3.0000000000000001E-3</v>
      </c>
      <c r="O51" s="15">
        <f>J51</f>
        <v>10.029999999999999</v>
      </c>
      <c r="P51" s="23">
        <v>6.37</v>
      </c>
      <c r="Q51" s="23">
        <v>-0.3</v>
      </c>
      <c r="R51" s="23">
        <v>-0.81</v>
      </c>
      <c r="S51" s="15">
        <v>4.71</v>
      </c>
      <c r="T51" s="23">
        <v>3.9999999999999203E-2</v>
      </c>
      <c r="U51" s="23">
        <v>3.0000000000000001E-3</v>
      </c>
      <c r="V51" s="9">
        <f>SUM(P51:U51)</f>
        <v>10.012999999999998</v>
      </c>
      <c r="W51" s="9">
        <f>O51-V51</f>
        <v>1.7000000000001236E-2</v>
      </c>
    </row>
    <row r="52" spans="1:23" ht="15.6">
      <c r="A52" s="9">
        <v>4</v>
      </c>
      <c r="B52" s="23">
        <v>3</v>
      </c>
      <c r="C52" s="23" t="s">
        <v>37</v>
      </c>
      <c r="D52" s="23">
        <v>6.01</v>
      </c>
      <c r="E52" s="23">
        <v>-0.32</v>
      </c>
      <c r="F52" s="23">
        <v>-0.56999999999999995</v>
      </c>
      <c r="G52" s="23">
        <v>5.12</v>
      </c>
      <c r="H52" s="23">
        <v>9.84</v>
      </c>
      <c r="I52" s="15">
        <v>4.71</v>
      </c>
      <c r="J52" s="23">
        <v>9.91</v>
      </c>
      <c r="K52" s="23">
        <v>6.0000000000000497E-2</v>
      </c>
      <c r="L52" s="23">
        <v>7.0000000000000001E-3</v>
      </c>
      <c r="O52" s="15">
        <f>J52</f>
        <v>9.91</v>
      </c>
      <c r="P52" s="23">
        <v>6.01</v>
      </c>
      <c r="Q52" s="23">
        <v>-0.32</v>
      </c>
      <c r="R52" s="23">
        <v>-0.56999999999999995</v>
      </c>
      <c r="S52" s="15">
        <v>4.71</v>
      </c>
      <c r="T52" s="23">
        <v>6.0000000000000497E-2</v>
      </c>
      <c r="U52" s="23">
        <v>7.0000000000000001E-3</v>
      </c>
      <c r="V52" s="9">
        <f>SUM(P52:U52)</f>
        <v>9.8969999999999985</v>
      </c>
      <c r="W52" s="9">
        <f>O52-V52</f>
        <v>1.3000000000001677E-2</v>
      </c>
    </row>
    <row r="53" spans="1:23" ht="15.6">
      <c r="A53" s="14">
        <v>4</v>
      </c>
      <c r="B53" s="23">
        <v>4</v>
      </c>
      <c r="C53" s="23" t="s">
        <v>39</v>
      </c>
      <c r="D53" s="23">
        <v>5.91</v>
      </c>
      <c r="E53" s="23">
        <v>-0.17</v>
      </c>
      <c r="F53" s="23">
        <v>-0.32</v>
      </c>
      <c r="G53" s="23">
        <v>5.42</v>
      </c>
      <c r="H53" s="23">
        <v>10.130000000000001</v>
      </c>
      <c r="I53" s="15">
        <v>4.71</v>
      </c>
      <c r="J53" s="23">
        <v>10.18</v>
      </c>
      <c r="K53" s="23">
        <v>6.9999999999998494E-2</v>
      </c>
      <c r="L53" s="23">
        <v>-1.7000000000000001E-2</v>
      </c>
      <c r="O53" s="15">
        <f>J53</f>
        <v>10.18</v>
      </c>
      <c r="P53" s="23">
        <v>5.91</v>
      </c>
      <c r="Q53" s="23">
        <v>-0.17</v>
      </c>
      <c r="R53" s="23">
        <v>-0.32</v>
      </c>
      <c r="S53" s="15">
        <v>4.71</v>
      </c>
      <c r="T53" s="23">
        <v>6.9999999999998494E-2</v>
      </c>
      <c r="U53" s="23">
        <v>-1.7000000000000001E-2</v>
      </c>
      <c r="V53" s="9">
        <f>SUM(P53:U53)</f>
        <v>10.182999999999998</v>
      </c>
      <c r="W53" s="9">
        <f>O53-V53</f>
        <v>-2.9999999999983373E-3</v>
      </c>
    </row>
    <row r="54" spans="1:23" ht="15.6">
      <c r="A54" s="9">
        <v>4</v>
      </c>
      <c r="B54" s="23">
        <v>5</v>
      </c>
      <c r="C54" s="23" t="s">
        <v>40</v>
      </c>
      <c r="D54" s="23">
        <v>6.99</v>
      </c>
      <c r="E54" s="23">
        <v>-0.63</v>
      </c>
      <c r="F54" s="23">
        <v>-0.8</v>
      </c>
      <c r="G54" s="23">
        <v>5.56</v>
      </c>
      <c r="H54" s="23">
        <v>10.28</v>
      </c>
      <c r="I54" s="15">
        <v>4.71</v>
      </c>
      <c r="J54" s="23">
        <v>10.27</v>
      </c>
      <c r="K54" s="23">
        <v>2.0000000000001399E-2</v>
      </c>
      <c r="L54" s="23">
        <v>-2.8000000000000001E-2</v>
      </c>
      <c r="O54" s="15">
        <f>J54</f>
        <v>10.27</v>
      </c>
      <c r="P54" s="23">
        <v>6.99</v>
      </c>
      <c r="Q54" s="23">
        <v>-0.63</v>
      </c>
      <c r="R54" s="23">
        <v>-0.8</v>
      </c>
      <c r="S54" s="15">
        <v>4.71</v>
      </c>
      <c r="T54" s="23">
        <v>2.0000000000001399E-2</v>
      </c>
      <c r="U54" s="23">
        <v>-2.8000000000000001E-2</v>
      </c>
      <c r="V54" s="9">
        <f>SUM(P54:U54)</f>
        <v>10.262</v>
      </c>
      <c r="W54" s="9">
        <f>O54-V54</f>
        <v>7.9999999999991189E-3</v>
      </c>
    </row>
    <row r="55" spans="1:23" ht="15.6">
      <c r="A55" s="14">
        <v>4</v>
      </c>
      <c r="B55" s="23">
        <v>6</v>
      </c>
      <c r="C55" s="23" t="s">
        <v>41</v>
      </c>
      <c r="D55" s="23">
        <v>6.1</v>
      </c>
      <c r="E55" s="23">
        <v>-0.27</v>
      </c>
      <c r="F55" s="23">
        <v>-0.5</v>
      </c>
      <c r="G55" s="23">
        <v>5.32</v>
      </c>
      <c r="H55" s="23">
        <v>10.039999999999999</v>
      </c>
      <c r="I55" s="15">
        <v>4.71</v>
      </c>
      <c r="J55" s="23">
        <v>9.99</v>
      </c>
      <c r="K55" s="23">
        <v>0</v>
      </c>
      <c r="L55" s="23">
        <v>-4.2999999999999997E-2</v>
      </c>
      <c r="O55" s="15">
        <f>J55</f>
        <v>9.99</v>
      </c>
      <c r="P55" s="23">
        <v>6.1</v>
      </c>
      <c r="Q55" s="23">
        <v>-0.27</v>
      </c>
      <c r="R55" s="23">
        <v>-0.5</v>
      </c>
      <c r="S55" s="15">
        <v>4.71</v>
      </c>
      <c r="T55" s="23">
        <v>0</v>
      </c>
      <c r="U55" s="23">
        <v>-4.2999999999999997E-2</v>
      </c>
      <c r="V55" s="9">
        <f>SUM(P55:U55)</f>
        <v>9.9969999999999999</v>
      </c>
      <c r="W55" s="9">
        <f>O55-V55</f>
        <v>-6.9999999999996732E-3</v>
      </c>
    </row>
    <row r="56" spans="1:23" ht="15.6">
      <c r="A56" s="9">
        <v>4</v>
      </c>
      <c r="B56" s="23">
        <v>7</v>
      </c>
      <c r="C56" s="23" t="s">
        <v>42</v>
      </c>
      <c r="D56" s="23">
        <v>5.37</v>
      </c>
      <c r="E56" s="23">
        <v>-0.16</v>
      </c>
      <c r="F56" s="23">
        <v>-0.27</v>
      </c>
      <c r="G56" s="23">
        <v>4.9400000000000004</v>
      </c>
      <c r="H56" s="23">
        <v>9.65</v>
      </c>
      <c r="I56" s="15">
        <v>4.71</v>
      </c>
      <c r="J56" s="23">
        <v>9.65</v>
      </c>
      <c r="K56" s="23">
        <v>2.9999999999999399E-2</v>
      </c>
      <c r="L56" s="23">
        <v>-2.3E-2</v>
      </c>
      <c r="O56" s="15">
        <f>J56</f>
        <v>9.65</v>
      </c>
      <c r="P56" s="23">
        <v>5.37</v>
      </c>
      <c r="Q56" s="23">
        <v>-0.16</v>
      </c>
      <c r="R56" s="23">
        <v>-0.27</v>
      </c>
      <c r="S56" s="15">
        <v>4.71</v>
      </c>
      <c r="T56" s="23">
        <v>2.9999999999999399E-2</v>
      </c>
      <c r="U56" s="23">
        <v>-2.3E-2</v>
      </c>
      <c r="V56" s="9">
        <f>SUM(P56:U56)</f>
        <v>9.6569999999999983</v>
      </c>
      <c r="W56" s="9">
        <f>O56-V56</f>
        <v>-6.9999999999978968E-3</v>
      </c>
    </row>
    <row r="57" spans="1:23" ht="15.6">
      <c r="A57" s="14">
        <v>4</v>
      </c>
      <c r="B57" s="23">
        <v>8</v>
      </c>
      <c r="C57" s="23" t="s">
        <v>43</v>
      </c>
      <c r="D57" s="23">
        <v>5.05</v>
      </c>
      <c r="E57" s="23">
        <v>-0.04</v>
      </c>
      <c r="F57" s="23">
        <v>0.04</v>
      </c>
      <c r="G57" s="23">
        <v>5.0599999999999996</v>
      </c>
      <c r="H57" s="23">
        <v>9.77</v>
      </c>
      <c r="I57" s="15">
        <v>4.71</v>
      </c>
      <c r="J57" s="23">
        <v>9.77</v>
      </c>
      <c r="K57" s="23">
        <v>-9.9999999999997903E-3</v>
      </c>
      <c r="L57" s="23">
        <v>7.0000000000000001E-3</v>
      </c>
      <c r="O57" s="15">
        <f>J57</f>
        <v>9.77</v>
      </c>
      <c r="P57" s="23">
        <v>5.05</v>
      </c>
      <c r="Q57" s="23">
        <v>-0.04</v>
      </c>
      <c r="R57" s="23">
        <v>0.04</v>
      </c>
      <c r="S57" s="15">
        <v>4.71</v>
      </c>
      <c r="T57" s="23">
        <v>-9.9999999999997903E-3</v>
      </c>
      <c r="U57" s="23">
        <v>7.0000000000000001E-3</v>
      </c>
      <c r="V57" s="9">
        <f>SUM(P57:U57)</f>
        <v>9.7569999999999997</v>
      </c>
      <c r="W57" s="9">
        <f>O57-V57</f>
        <v>1.2999999999999901E-2</v>
      </c>
    </row>
    <row r="58" spans="1:23" ht="15.6">
      <c r="A58" s="9">
        <v>4</v>
      </c>
      <c r="B58" s="23">
        <v>9</v>
      </c>
      <c r="C58" s="23" t="s">
        <v>44</v>
      </c>
      <c r="D58" s="23">
        <v>5.29</v>
      </c>
      <c r="E58" s="23">
        <v>-0.06</v>
      </c>
      <c r="F58" s="23">
        <v>-0.05</v>
      </c>
      <c r="G58" s="23">
        <v>5.18</v>
      </c>
      <c r="H58" s="23">
        <v>9.89</v>
      </c>
      <c r="I58" s="15">
        <v>4.71</v>
      </c>
      <c r="J58" s="23">
        <v>9.9</v>
      </c>
      <c r="K58" s="23">
        <v>3.9999999999999203E-2</v>
      </c>
      <c r="L58" s="23">
        <v>-2.5000000000000001E-2</v>
      </c>
      <c r="O58" s="15">
        <f>J58</f>
        <v>9.9</v>
      </c>
      <c r="P58" s="23">
        <v>5.29</v>
      </c>
      <c r="Q58" s="23">
        <v>-0.06</v>
      </c>
      <c r="R58" s="23">
        <v>-0.05</v>
      </c>
      <c r="S58" s="15">
        <v>4.71</v>
      </c>
      <c r="T58" s="23">
        <v>3.9999999999999203E-2</v>
      </c>
      <c r="U58" s="23">
        <v>-2.5000000000000001E-2</v>
      </c>
      <c r="V58" s="9">
        <f>SUM(P58:U58)</f>
        <v>9.9049999999999994</v>
      </c>
      <c r="W58" s="9">
        <f>O58-V58</f>
        <v>-4.9999999999990052E-3</v>
      </c>
    </row>
    <row r="59" spans="1:23" ht="15.6">
      <c r="A59" s="14">
        <v>4</v>
      </c>
      <c r="B59" s="23">
        <v>10</v>
      </c>
      <c r="C59" s="23" t="s">
        <v>45</v>
      </c>
      <c r="D59" s="23">
        <v>5.15</v>
      </c>
      <c r="E59" s="23">
        <v>-0.02</v>
      </c>
      <c r="F59" s="23">
        <v>-0.08</v>
      </c>
      <c r="G59" s="23">
        <v>5.04</v>
      </c>
      <c r="H59" s="23">
        <v>9.76</v>
      </c>
      <c r="I59" s="15">
        <v>4.71</v>
      </c>
      <c r="J59" s="23">
        <v>9.73</v>
      </c>
      <c r="K59" s="23">
        <v>-3.9999999999999203E-2</v>
      </c>
      <c r="L59" s="23">
        <v>7.0000000000000001E-3</v>
      </c>
      <c r="O59" s="15">
        <f>J59</f>
        <v>9.73</v>
      </c>
      <c r="P59" s="23">
        <v>5.15</v>
      </c>
      <c r="Q59" s="23">
        <v>-0.02</v>
      </c>
      <c r="R59" s="23">
        <v>-0.08</v>
      </c>
      <c r="S59" s="15">
        <v>4.71</v>
      </c>
      <c r="T59" s="23">
        <v>-3.9999999999999203E-2</v>
      </c>
      <c r="U59" s="23">
        <v>7.0000000000000001E-3</v>
      </c>
      <c r="V59" s="9">
        <f>SUM(P59:U59)</f>
        <v>9.7270000000000021</v>
      </c>
      <c r="W59" s="9">
        <f>O59-V59</f>
        <v>2.9999999999983373E-3</v>
      </c>
    </row>
    <row r="60" spans="1:23" ht="15.6">
      <c r="A60" s="9">
        <v>4</v>
      </c>
      <c r="B60" s="23">
        <v>11</v>
      </c>
      <c r="C60" s="23" t="s">
        <v>47</v>
      </c>
      <c r="D60" s="23">
        <v>4.91</v>
      </c>
      <c r="E60" s="23">
        <v>-0.02</v>
      </c>
      <c r="F60" s="23">
        <v>0.14000000000000001</v>
      </c>
      <c r="G60" s="23">
        <v>5.03</v>
      </c>
      <c r="H60" s="23">
        <v>9.75</v>
      </c>
      <c r="I60" s="15">
        <v>4.71</v>
      </c>
      <c r="J60" s="23">
        <v>9.7100000000000009</v>
      </c>
      <c r="K60" s="23">
        <v>-3.9999999999999203E-2</v>
      </c>
      <c r="L60" s="23">
        <v>7.0000000000000001E-3</v>
      </c>
      <c r="O60" s="15">
        <f>J60</f>
        <v>9.7100000000000009</v>
      </c>
      <c r="P60" s="23">
        <v>4.91</v>
      </c>
      <c r="Q60" s="23">
        <v>-0.02</v>
      </c>
      <c r="R60" s="23">
        <v>0.14000000000000001</v>
      </c>
      <c r="S60" s="15">
        <v>4.71</v>
      </c>
      <c r="T60" s="23">
        <v>-3.9999999999999203E-2</v>
      </c>
      <c r="U60" s="23">
        <v>7.0000000000000001E-3</v>
      </c>
      <c r="V60" s="9">
        <f>SUM(P60:U60)</f>
        <v>9.7070000000000007</v>
      </c>
      <c r="W60" s="9">
        <f>O60-V60</f>
        <v>3.0000000000001137E-3</v>
      </c>
    </row>
    <row r="61" spans="1:23" ht="15.6">
      <c r="A61" s="14">
        <v>4</v>
      </c>
      <c r="B61" s="23">
        <v>12</v>
      </c>
      <c r="C61" s="23" t="s">
        <v>49</v>
      </c>
      <c r="D61" s="23">
        <v>5.0199999999999996</v>
      </c>
      <c r="E61" s="23">
        <v>-0.11</v>
      </c>
      <c r="F61" s="23">
        <v>0.14000000000000001</v>
      </c>
      <c r="G61" s="23">
        <v>5.05</v>
      </c>
      <c r="H61" s="23">
        <v>9.76</v>
      </c>
      <c r="I61" s="15">
        <v>4.71</v>
      </c>
      <c r="J61" s="23">
        <v>9.76</v>
      </c>
      <c r="K61" s="23">
        <v>-9.9999999999997903E-3</v>
      </c>
      <c r="L61" s="23">
        <v>7.0000000000000001E-3</v>
      </c>
      <c r="O61" s="15">
        <f>J61</f>
        <v>9.76</v>
      </c>
      <c r="P61" s="23">
        <v>5.0199999999999996</v>
      </c>
      <c r="Q61" s="23">
        <v>-0.11</v>
      </c>
      <c r="R61" s="23">
        <v>0.14000000000000001</v>
      </c>
      <c r="S61" s="15">
        <v>4.71</v>
      </c>
      <c r="T61" s="23">
        <v>-9.9999999999997903E-3</v>
      </c>
      <c r="U61" s="23">
        <v>7.0000000000000001E-3</v>
      </c>
      <c r="V61" s="9">
        <f>SUM(P61:U61)</f>
        <v>9.7569999999999979</v>
      </c>
      <c r="W61" s="9">
        <f>O61-V61</f>
        <v>3.00000000000189E-3</v>
      </c>
    </row>
    <row r="62" spans="1:23" ht="15.6">
      <c r="A62" s="9">
        <v>4</v>
      </c>
      <c r="B62" s="23">
        <v>13</v>
      </c>
      <c r="C62" s="23" t="s">
        <v>51</v>
      </c>
      <c r="D62" s="23">
        <v>4.3099999999999996</v>
      </c>
      <c r="E62" s="23">
        <v>0.13</v>
      </c>
      <c r="F62" s="23">
        <v>0.67</v>
      </c>
      <c r="G62" s="23">
        <v>5.1100000000000003</v>
      </c>
      <c r="H62" s="23">
        <v>9.82</v>
      </c>
      <c r="I62" s="15">
        <v>4.71</v>
      </c>
      <c r="J62" s="23">
        <v>9.81</v>
      </c>
      <c r="K62" s="23">
        <v>-1.9999999999999601E-2</v>
      </c>
      <c r="L62" s="23">
        <v>7.0000000000000001E-3</v>
      </c>
      <c r="O62" s="15">
        <f>J62</f>
        <v>9.81</v>
      </c>
      <c r="P62" s="23">
        <v>4.3099999999999996</v>
      </c>
      <c r="Q62" s="23">
        <v>0.13</v>
      </c>
      <c r="R62" s="23">
        <v>0.67</v>
      </c>
      <c r="S62" s="15">
        <v>4.71</v>
      </c>
      <c r="T62" s="23">
        <v>-1.9999999999999601E-2</v>
      </c>
      <c r="U62" s="23">
        <v>7.0000000000000001E-3</v>
      </c>
      <c r="V62" s="9">
        <f>SUM(P62:U62)</f>
        <v>9.8070000000000004</v>
      </c>
      <c r="W62" s="9">
        <f>O62-V62</f>
        <v>3.0000000000001137E-3</v>
      </c>
    </row>
    <row r="63" spans="1:23" ht="15.6">
      <c r="A63" s="14">
        <v>4</v>
      </c>
      <c r="B63" s="23">
        <v>14</v>
      </c>
      <c r="C63" s="23" t="s">
        <v>53</v>
      </c>
      <c r="D63" s="23">
        <v>4.82</v>
      </c>
      <c r="E63" s="23">
        <v>-0.06</v>
      </c>
      <c r="F63" s="23">
        <v>0.41</v>
      </c>
      <c r="G63" s="23">
        <v>5.16</v>
      </c>
      <c r="H63" s="23">
        <v>9.8800000000000008</v>
      </c>
      <c r="I63" s="15">
        <v>4.71</v>
      </c>
      <c r="J63" s="23">
        <v>9.85</v>
      </c>
      <c r="K63" s="23">
        <v>-4.0000000000000903E-2</v>
      </c>
      <c r="L63" s="23">
        <v>7.0000000000000001E-3</v>
      </c>
      <c r="O63" s="15">
        <f>J63</f>
        <v>9.85</v>
      </c>
      <c r="P63" s="23">
        <v>4.82</v>
      </c>
      <c r="Q63" s="23">
        <v>-0.06</v>
      </c>
      <c r="R63" s="23">
        <v>0.41</v>
      </c>
      <c r="S63" s="15">
        <v>4.71</v>
      </c>
      <c r="T63" s="23">
        <v>-4.0000000000000903E-2</v>
      </c>
      <c r="U63" s="23">
        <v>7.0000000000000001E-3</v>
      </c>
      <c r="V63" s="9">
        <f>SUM(P63:U63)</f>
        <v>9.8469999999999995</v>
      </c>
      <c r="W63" s="9">
        <f>O63-V63</f>
        <v>3.0000000000001137E-3</v>
      </c>
    </row>
    <row r="64" spans="1:23" ht="15.6">
      <c r="A64" s="9">
        <v>4</v>
      </c>
      <c r="B64" s="23">
        <v>15</v>
      </c>
      <c r="C64" s="23" t="s">
        <v>55</v>
      </c>
      <c r="D64" s="23">
        <v>5.28</v>
      </c>
      <c r="E64" s="23">
        <v>-0.14000000000000001</v>
      </c>
      <c r="F64" s="23">
        <v>-0.31</v>
      </c>
      <c r="G64" s="23">
        <v>4.82</v>
      </c>
      <c r="H64" s="23">
        <v>9.5399999999999991</v>
      </c>
      <c r="I64" s="15">
        <v>4.71</v>
      </c>
      <c r="J64" s="23">
        <v>9.51</v>
      </c>
      <c r="K64" s="23">
        <v>0</v>
      </c>
      <c r="L64" s="23">
        <v>-3.2000000000000001E-2</v>
      </c>
      <c r="O64" s="15">
        <f>J64</f>
        <v>9.51</v>
      </c>
      <c r="P64" s="23">
        <v>5.28</v>
      </c>
      <c r="Q64" s="23">
        <v>-0.14000000000000001</v>
      </c>
      <c r="R64" s="23">
        <v>-0.31</v>
      </c>
      <c r="S64" s="15">
        <v>4.71</v>
      </c>
      <c r="T64" s="23">
        <v>0</v>
      </c>
      <c r="U64" s="23">
        <v>-3.2000000000000001E-2</v>
      </c>
      <c r="V64" s="9">
        <f>SUM(P64:U64)</f>
        <v>9.5080000000000009</v>
      </c>
      <c r="W64" s="9">
        <f>O64-V64</f>
        <v>1.9999999999988916E-3</v>
      </c>
    </row>
    <row r="65" spans="1:23" ht="15.6">
      <c r="A65" s="14">
        <v>4</v>
      </c>
      <c r="B65" s="23">
        <v>16</v>
      </c>
      <c r="C65" s="23" t="s">
        <v>57</v>
      </c>
      <c r="D65" s="23">
        <v>4.88</v>
      </c>
      <c r="E65" s="23">
        <v>-0.09</v>
      </c>
      <c r="F65" s="23">
        <v>0.13</v>
      </c>
      <c r="G65" s="23">
        <v>4.92</v>
      </c>
      <c r="H65" s="23">
        <v>9.64</v>
      </c>
      <c r="I65" s="15">
        <v>4.71</v>
      </c>
      <c r="J65" s="23">
        <v>9.61</v>
      </c>
      <c r="K65" s="23">
        <v>1.9999999999999601E-2</v>
      </c>
      <c r="L65" s="23">
        <v>-5.0999999999999997E-2</v>
      </c>
      <c r="O65" s="15">
        <f>J65</f>
        <v>9.61</v>
      </c>
      <c r="P65" s="23">
        <v>4.88</v>
      </c>
      <c r="Q65" s="23">
        <v>-0.09</v>
      </c>
      <c r="R65" s="23">
        <v>0.13</v>
      </c>
      <c r="S65" s="15">
        <v>4.71</v>
      </c>
      <c r="T65" s="23">
        <v>1.9999999999999601E-2</v>
      </c>
      <c r="U65" s="23">
        <v>-5.0999999999999997E-2</v>
      </c>
      <c r="V65" s="9">
        <f>SUM(P65:U65)</f>
        <v>9.5989999999999984</v>
      </c>
      <c r="W65" s="9">
        <f>O65-V65</f>
        <v>1.1000000000001009E-2</v>
      </c>
    </row>
    <row r="66" spans="1:23" ht="15.6">
      <c r="A66" s="9">
        <v>4</v>
      </c>
      <c r="B66" s="23">
        <v>17</v>
      </c>
      <c r="C66" s="23" t="s">
        <v>58</v>
      </c>
      <c r="D66" s="23">
        <v>5.27</v>
      </c>
      <c r="E66" s="23">
        <v>-0.03</v>
      </c>
      <c r="F66" s="23">
        <v>0</v>
      </c>
      <c r="G66" s="23">
        <v>5.24</v>
      </c>
      <c r="H66" s="23">
        <v>9.9499999999999993</v>
      </c>
      <c r="I66" s="15">
        <v>4.71</v>
      </c>
      <c r="J66" s="23">
        <v>9.89</v>
      </c>
      <c r="K66" s="23">
        <v>-5.99999999999987E-2</v>
      </c>
      <c r="L66" s="23">
        <v>7.0000000000000001E-3</v>
      </c>
      <c r="O66" s="15">
        <f>J66</f>
        <v>9.89</v>
      </c>
      <c r="P66" s="23">
        <v>5.27</v>
      </c>
      <c r="Q66" s="23">
        <v>-0.03</v>
      </c>
      <c r="R66" s="23">
        <v>0</v>
      </c>
      <c r="S66" s="15">
        <v>4.71</v>
      </c>
      <c r="T66" s="23">
        <v>-5.99999999999987E-2</v>
      </c>
      <c r="U66" s="23">
        <v>7.0000000000000001E-3</v>
      </c>
      <c r="V66" s="9">
        <f>SUM(P66:U66)</f>
        <v>9.8970000000000002</v>
      </c>
      <c r="W66" s="9">
        <f>O66-V66</f>
        <v>-6.9999999999996732E-3</v>
      </c>
    </row>
    <row r="67" spans="1:23" ht="15.6">
      <c r="A67" s="14">
        <v>4</v>
      </c>
      <c r="B67" s="23">
        <v>18</v>
      </c>
      <c r="C67" s="23" t="s">
        <v>60</v>
      </c>
      <c r="D67" s="23">
        <v>5.4</v>
      </c>
      <c r="E67" s="23">
        <v>-0.12</v>
      </c>
      <c r="F67" s="23">
        <v>-0.03</v>
      </c>
      <c r="G67" s="23">
        <v>5.25</v>
      </c>
      <c r="H67" s="23">
        <v>9.9600000000000009</v>
      </c>
      <c r="I67" s="15">
        <v>4.71</v>
      </c>
      <c r="J67" s="23">
        <v>9.9600000000000009</v>
      </c>
      <c r="K67" s="23">
        <v>0</v>
      </c>
      <c r="L67" s="23">
        <v>7.0000000000000001E-3</v>
      </c>
      <c r="O67" s="15">
        <f>J67</f>
        <v>9.9600000000000009</v>
      </c>
      <c r="P67" s="23">
        <v>5.4</v>
      </c>
      <c r="Q67" s="23">
        <v>-0.12</v>
      </c>
      <c r="R67" s="23">
        <v>-0.03</v>
      </c>
      <c r="S67" s="15">
        <v>4.71</v>
      </c>
      <c r="T67" s="23">
        <v>0</v>
      </c>
      <c r="U67" s="23">
        <v>7.0000000000000001E-3</v>
      </c>
      <c r="V67" s="9">
        <f>SUM(P67:U67)</f>
        <v>9.9670000000000005</v>
      </c>
      <c r="W67" s="9">
        <f>O67-V67</f>
        <v>-6.9999999999996732E-3</v>
      </c>
    </row>
    <row r="68" spans="1:23" ht="15.6">
      <c r="A68" s="9">
        <v>4</v>
      </c>
      <c r="B68" s="23">
        <v>19</v>
      </c>
      <c r="C68" s="23" t="s">
        <v>66</v>
      </c>
      <c r="D68" s="23">
        <v>5.37</v>
      </c>
      <c r="E68" s="23">
        <v>-0.14000000000000001</v>
      </c>
      <c r="F68" s="23">
        <v>-0.18</v>
      </c>
      <c r="G68" s="23">
        <v>5.05</v>
      </c>
      <c r="H68" s="23">
        <v>9.77</v>
      </c>
      <c r="I68" s="15">
        <v>4.71</v>
      </c>
      <c r="J68" s="23">
        <v>9.66</v>
      </c>
      <c r="K68" s="23">
        <v>-8.99999999999999E-2</v>
      </c>
      <c r="L68" s="23">
        <v>-2.1000000000000001E-2</v>
      </c>
      <c r="O68" s="15">
        <f>J68</f>
        <v>9.66</v>
      </c>
      <c r="P68" s="23">
        <v>5.37</v>
      </c>
      <c r="Q68" s="23">
        <v>-0.14000000000000001</v>
      </c>
      <c r="R68" s="23">
        <v>-0.18</v>
      </c>
      <c r="S68" s="15">
        <v>4.71</v>
      </c>
      <c r="T68" s="23">
        <v>-8.99999999999999E-2</v>
      </c>
      <c r="U68" s="23">
        <v>-2.1000000000000001E-2</v>
      </c>
      <c r="V68" s="9">
        <f>SUM(P68:U68)</f>
        <v>9.6490000000000009</v>
      </c>
      <c r="W68" s="9">
        <f>O68-V68</f>
        <v>1.0999999999999233E-2</v>
      </c>
    </row>
    <row r="69" spans="1:23" ht="15.6">
      <c r="A69" s="14">
        <v>4</v>
      </c>
      <c r="B69" s="23">
        <v>20</v>
      </c>
      <c r="C69" s="23" t="s">
        <v>67</v>
      </c>
      <c r="D69" s="23">
        <v>5.26</v>
      </c>
      <c r="E69" s="23">
        <v>-0.08</v>
      </c>
      <c r="F69" s="23">
        <v>-0.24</v>
      </c>
      <c r="G69" s="23">
        <v>4.9400000000000004</v>
      </c>
      <c r="H69" s="23">
        <v>9.65</v>
      </c>
      <c r="I69" s="15">
        <v>4.71</v>
      </c>
      <c r="J69" s="23">
        <v>9.67</v>
      </c>
      <c r="K69" s="23">
        <v>2.9999999999999399E-2</v>
      </c>
      <c r="L69" s="23">
        <v>-1.0999999999999999E-2</v>
      </c>
      <c r="O69" s="15">
        <f>J69</f>
        <v>9.67</v>
      </c>
      <c r="P69" s="23">
        <v>5.26</v>
      </c>
      <c r="Q69" s="23">
        <v>-0.08</v>
      </c>
      <c r="R69" s="23">
        <v>-0.24</v>
      </c>
      <c r="S69" s="15">
        <v>4.71</v>
      </c>
      <c r="T69" s="23">
        <v>2.9999999999999399E-2</v>
      </c>
      <c r="U69" s="23">
        <v>-1.0999999999999999E-2</v>
      </c>
      <c r="V69" s="9">
        <f>SUM(P69:U69)</f>
        <v>9.6689999999999987</v>
      </c>
      <c r="W69" s="9">
        <f>O69-V69</f>
        <v>1.0000000000012221E-3</v>
      </c>
    </row>
    <row r="70" spans="1:23" ht="15.6">
      <c r="A70" s="9">
        <v>4</v>
      </c>
      <c r="B70" s="23">
        <v>21</v>
      </c>
      <c r="C70" s="23" t="s">
        <v>69</v>
      </c>
      <c r="D70" s="23">
        <v>5.21</v>
      </c>
      <c r="E70" s="23">
        <v>0.01</v>
      </c>
      <c r="F70" s="23">
        <v>-0.08</v>
      </c>
      <c r="G70" s="23">
        <v>5.14</v>
      </c>
      <c r="H70" s="23">
        <v>9.86</v>
      </c>
      <c r="I70" s="15">
        <v>4.71</v>
      </c>
      <c r="J70" s="23">
        <v>9.82</v>
      </c>
      <c r="K70" s="23">
        <v>-3.9999999999999203E-2</v>
      </c>
      <c r="L70" s="23">
        <v>-3.0000000000000001E-3</v>
      </c>
      <c r="O70" s="15">
        <f>J70</f>
        <v>9.82</v>
      </c>
      <c r="P70" s="23">
        <v>5.21</v>
      </c>
      <c r="Q70" s="23">
        <v>0.01</v>
      </c>
      <c r="R70" s="23">
        <v>-0.08</v>
      </c>
      <c r="S70" s="15">
        <v>4.71</v>
      </c>
      <c r="T70" s="23">
        <v>-3.9999999999999203E-2</v>
      </c>
      <c r="U70" s="23">
        <v>-3.0000000000000001E-3</v>
      </c>
      <c r="V70" s="9">
        <f>SUM(P70:U70)</f>
        <v>9.8070000000000004</v>
      </c>
      <c r="W70" s="9">
        <f>O70-V70</f>
        <v>1.2999999999999901E-2</v>
      </c>
    </row>
    <row r="71" spans="1:23" ht="15.6">
      <c r="A71" s="14">
        <v>4</v>
      </c>
      <c r="B71" s="23">
        <v>22</v>
      </c>
      <c r="C71" s="23" t="s">
        <v>71</v>
      </c>
      <c r="D71" s="23">
        <v>4.96</v>
      </c>
      <c r="E71" s="23">
        <v>-0.05</v>
      </c>
      <c r="F71" s="23">
        <v>0.1</v>
      </c>
      <c r="G71" s="23">
        <v>5.0199999999999996</v>
      </c>
      <c r="H71" s="23">
        <v>9.74</v>
      </c>
      <c r="I71" s="15">
        <v>4.71</v>
      </c>
      <c r="J71" s="23">
        <v>9.75</v>
      </c>
      <c r="K71" s="23">
        <v>2.9999999999999399E-2</v>
      </c>
      <c r="L71" s="23">
        <v>-0.02</v>
      </c>
      <c r="O71" s="15">
        <f>J71</f>
        <v>9.75</v>
      </c>
      <c r="P71" s="23">
        <v>4.96</v>
      </c>
      <c r="Q71" s="23">
        <v>-0.05</v>
      </c>
      <c r="R71" s="23">
        <v>0.1</v>
      </c>
      <c r="S71" s="15">
        <v>4.71</v>
      </c>
      <c r="T71" s="23">
        <v>2.9999999999999399E-2</v>
      </c>
      <c r="U71" s="23">
        <v>-0.02</v>
      </c>
      <c r="V71" s="9">
        <f>SUM(P71:U71)</f>
        <v>9.7299999999999986</v>
      </c>
      <c r="W71" s="9">
        <f>O71-V71</f>
        <v>2.000000000000135E-2</v>
      </c>
    </row>
    <row r="72" spans="1:23" ht="15.6">
      <c r="A72" s="9">
        <v>4</v>
      </c>
      <c r="B72" s="23">
        <v>23</v>
      </c>
      <c r="C72" s="23" t="s">
        <v>72</v>
      </c>
      <c r="D72" s="23">
        <v>4.71</v>
      </c>
      <c r="E72" s="23">
        <v>0.2</v>
      </c>
      <c r="F72" s="23">
        <v>0.27</v>
      </c>
      <c r="G72" s="23">
        <v>5.18</v>
      </c>
      <c r="H72" s="23">
        <v>9.9</v>
      </c>
      <c r="I72" s="15">
        <v>4.71</v>
      </c>
      <c r="J72" s="23">
        <v>9.93</v>
      </c>
      <c r="K72" s="23">
        <v>1.9999999999999601E-2</v>
      </c>
      <c r="L72" s="23">
        <v>7.0000000000000001E-3</v>
      </c>
      <c r="O72" s="15">
        <f>J72</f>
        <v>9.93</v>
      </c>
      <c r="P72" s="23">
        <v>4.71</v>
      </c>
      <c r="Q72" s="23">
        <v>0.2</v>
      </c>
      <c r="R72" s="23">
        <v>0.27</v>
      </c>
      <c r="S72" s="15">
        <v>4.71</v>
      </c>
      <c r="T72" s="23">
        <v>1.9999999999999601E-2</v>
      </c>
      <c r="U72" s="23">
        <v>7.0000000000000001E-3</v>
      </c>
      <c r="V72" s="9">
        <f>SUM(P72:U72)</f>
        <v>9.9169999999999998</v>
      </c>
      <c r="W72" s="9">
        <f>O72-V72</f>
        <v>1.2999999999999901E-2</v>
      </c>
    </row>
    <row r="73" spans="1:23" ht="15.6">
      <c r="A73" s="14">
        <v>4</v>
      </c>
      <c r="B73" s="23">
        <v>24</v>
      </c>
      <c r="C73" s="23" t="s">
        <v>74</v>
      </c>
      <c r="D73" s="23">
        <v>5.08</v>
      </c>
      <c r="E73" s="23">
        <v>0.03</v>
      </c>
      <c r="F73" s="23">
        <v>0.03</v>
      </c>
      <c r="G73" s="23">
        <v>5.14</v>
      </c>
      <c r="H73" s="23">
        <v>9.85</v>
      </c>
      <c r="I73" s="15">
        <v>4.71</v>
      </c>
      <c r="J73" s="23">
        <v>9.91</v>
      </c>
      <c r="K73" s="23">
        <v>5.0000000000000697E-2</v>
      </c>
      <c r="L73" s="23">
        <v>7.0000000000000001E-3</v>
      </c>
      <c r="O73" s="15">
        <f>J73</f>
        <v>9.91</v>
      </c>
      <c r="P73" s="23">
        <v>5.08</v>
      </c>
      <c r="Q73" s="23">
        <v>0.03</v>
      </c>
      <c r="R73" s="23">
        <v>0.03</v>
      </c>
      <c r="S73" s="15">
        <v>4.71</v>
      </c>
      <c r="T73" s="23">
        <v>5.0000000000000697E-2</v>
      </c>
      <c r="U73" s="23">
        <v>7.0000000000000001E-3</v>
      </c>
      <c r="V73" s="9">
        <f>SUM(P73:U73)</f>
        <v>9.9070000000000018</v>
      </c>
      <c r="W73" s="9">
        <f>O73-V73</f>
        <v>2.9999999999983373E-3</v>
      </c>
    </row>
    <row r="74" spans="1:23" ht="15.6">
      <c r="A74" s="9">
        <v>4</v>
      </c>
      <c r="B74" s="23">
        <v>25</v>
      </c>
      <c r="C74" s="23" t="s">
        <v>75</v>
      </c>
      <c r="D74" s="23">
        <v>5.2</v>
      </c>
      <c r="E74" s="23">
        <v>7.0000000000000007E-2</v>
      </c>
      <c r="F74" s="23">
        <v>-0.15</v>
      </c>
      <c r="G74" s="23">
        <v>5.12</v>
      </c>
      <c r="H74" s="23">
        <v>9.83</v>
      </c>
      <c r="I74" s="15">
        <v>4.71</v>
      </c>
      <c r="J74" s="23">
        <v>9.83</v>
      </c>
      <c r="K74" s="23">
        <v>1.9999999999999601E-2</v>
      </c>
      <c r="L74" s="23">
        <v>-2.3E-2</v>
      </c>
      <c r="O74" s="15">
        <f>J74</f>
        <v>9.83</v>
      </c>
      <c r="P74" s="23">
        <v>5.2</v>
      </c>
      <c r="Q74" s="23">
        <v>7.0000000000000007E-2</v>
      </c>
      <c r="R74" s="23">
        <v>-0.15</v>
      </c>
      <c r="S74" s="15">
        <v>4.71</v>
      </c>
      <c r="T74" s="23">
        <v>1.9999999999999601E-2</v>
      </c>
      <c r="U74" s="23">
        <v>-2.3E-2</v>
      </c>
      <c r="V74" s="9">
        <f>SUM(P74:U74)</f>
        <v>9.827</v>
      </c>
      <c r="W74" s="9">
        <f>O74-V74</f>
        <v>3.0000000000001137E-3</v>
      </c>
    </row>
    <row r="75" spans="1:23" ht="15.6">
      <c r="A75" s="14">
        <v>4</v>
      </c>
      <c r="B75" s="23">
        <v>26</v>
      </c>
      <c r="C75" s="23" t="s">
        <v>79</v>
      </c>
      <c r="D75" s="23">
        <v>5.18</v>
      </c>
      <c r="E75" s="23">
        <v>7.0000000000000007E-2</v>
      </c>
      <c r="F75" s="23">
        <v>0.02</v>
      </c>
      <c r="G75" s="23">
        <v>5.27</v>
      </c>
      <c r="H75" s="23">
        <v>9.98</v>
      </c>
      <c r="I75" s="15">
        <v>4.71</v>
      </c>
      <c r="J75" s="23">
        <v>9.9499999999999993</v>
      </c>
      <c r="K75" s="23">
        <v>-4.0000000000000903E-2</v>
      </c>
      <c r="L75" s="23">
        <v>7.0000000000000001E-3</v>
      </c>
      <c r="O75" s="15">
        <f>J75</f>
        <v>9.9499999999999993</v>
      </c>
      <c r="P75" s="23">
        <v>5.18</v>
      </c>
      <c r="Q75" s="23">
        <v>7.0000000000000007E-2</v>
      </c>
      <c r="R75" s="23">
        <v>0.02</v>
      </c>
      <c r="S75" s="15">
        <v>4.71</v>
      </c>
      <c r="T75" s="23">
        <v>-4.0000000000000903E-2</v>
      </c>
      <c r="U75" s="23">
        <v>7.0000000000000001E-3</v>
      </c>
      <c r="V75" s="9">
        <f>SUM(P75:U75)</f>
        <v>9.9469999999999992</v>
      </c>
      <c r="W75" s="9">
        <f>O75-V75</f>
        <v>3.0000000000001137E-3</v>
      </c>
    </row>
    <row r="76" spans="1:23" ht="15.6">
      <c r="A76" s="9">
        <v>4</v>
      </c>
      <c r="B76" s="23">
        <v>27</v>
      </c>
      <c r="C76" s="23" t="s">
        <v>80</v>
      </c>
      <c r="D76" s="23">
        <v>5.18</v>
      </c>
      <c r="E76" s="23">
        <v>0.18</v>
      </c>
      <c r="F76" s="23">
        <v>0.15</v>
      </c>
      <c r="G76" s="23">
        <v>5.51</v>
      </c>
      <c r="H76" s="23">
        <v>10.220000000000001</v>
      </c>
      <c r="I76" s="15">
        <v>4.71</v>
      </c>
      <c r="J76" s="23">
        <v>10.220000000000001</v>
      </c>
      <c r="K76" s="23">
        <v>-9.9999999999997903E-3</v>
      </c>
      <c r="L76" s="23">
        <v>7.0000000000000001E-3</v>
      </c>
      <c r="O76" s="15">
        <f>J76</f>
        <v>10.220000000000001</v>
      </c>
      <c r="P76" s="23">
        <v>5.18</v>
      </c>
      <c r="Q76" s="23">
        <v>0.18</v>
      </c>
      <c r="R76" s="23">
        <v>0.15</v>
      </c>
      <c r="S76" s="15">
        <v>4.71</v>
      </c>
      <c r="T76" s="23">
        <v>-9.9999999999997903E-3</v>
      </c>
      <c r="U76" s="23">
        <v>7.0000000000000001E-3</v>
      </c>
      <c r="V76" s="9">
        <f>SUM(P76:U76)</f>
        <v>10.216999999999999</v>
      </c>
      <c r="W76" s="9">
        <f>O76-V76</f>
        <v>3.00000000000189E-3</v>
      </c>
    </row>
    <row r="77" spans="1:23" ht="15.6">
      <c r="A77" s="14">
        <v>4</v>
      </c>
      <c r="B77" s="23">
        <v>28</v>
      </c>
      <c r="C77" s="23" t="s">
        <v>81</v>
      </c>
      <c r="D77" s="23">
        <v>5.4</v>
      </c>
      <c r="E77" s="23">
        <v>0.03</v>
      </c>
      <c r="F77" s="23">
        <v>-0.01</v>
      </c>
      <c r="G77" s="23">
        <v>5.43</v>
      </c>
      <c r="H77" s="23">
        <v>10.14</v>
      </c>
      <c r="I77" s="15">
        <v>4.71</v>
      </c>
      <c r="J77" s="23">
        <v>10.130000000000001</v>
      </c>
      <c r="K77" s="23">
        <v>-9.9999999999997903E-3</v>
      </c>
      <c r="L77" s="23">
        <v>7.0000000000000001E-3</v>
      </c>
      <c r="O77" s="15">
        <f>J77</f>
        <v>10.130000000000001</v>
      </c>
      <c r="P77" s="23">
        <v>5.4</v>
      </c>
      <c r="Q77" s="23">
        <v>0.03</v>
      </c>
      <c r="R77" s="23">
        <v>-0.01</v>
      </c>
      <c r="S77" s="15">
        <v>4.71</v>
      </c>
      <c r="T77" s="23">
        <v>-9.9999999999997903E-3</v>
      </c>
      <c r="U77" s="23">
        <v>7.0000000000000001E-3</v>
      </c>
      <c r="V77" s="9">
        <f>SUM(P77:U77)</f>
        <v>10.127000000000001</v>
      </c>
      <c r="W77" s="9">
        <f>O77-V77</f>
        <v>3.0000000000001137E-3</v>
      </c>
    </row>
    <row r="78" spans="1:23" ht="15.6">
      <c r="A78" s="9">
        <v>4</v>
      </c>
      <c r="B78" s="23">
        <v>29</v>
      </c>
      <c r="C78" s="23" t="s">
        <v>82</v>
      </c>
      <c r="D78" s="23">
        <v>5.79</v>
      </c>
      <c r="E78" s="23">
        <v>-0.02</v>
      </c>
      <c r="F78" s="23">
        <v>-0.44</v>
      </c>
      <c r="G78" s="23">
        <v>5.33</v>
      </c>
      <c r="H78" s="23">
        <v>10.039999999999999</v>
      </c>
      <c r="I78" s="15">
        <v>4.71</v>
      </c>
      <c r="J78" s="23">
        <v>9.9600000000000009</v>
      </c>
      <c r="K78" s="23">
        <v>-6.9999999999998494E-2</v>
      </c>
      <c r="L78" s="23">
        <v>-1.2E-2</v>
      </c>
      <c r="O78" s="15">
        <f>J78</f>
        <v>9.9600000000000009</v>
      </c>
      <c r="P78" s="23">
        <v>5.79</v>
      </c>
      <c r="Q78" s="23">
        <v>-0.02</v>
      </c>
      <c r="R78" s="23">
        <v>-0.44</v>
      </c>
      <c r="S78" s="15">
        <v>4.71</v>
      </c>
      <c r="T78" s="23">
        <v>-6.9999999999998494E-2</v>
      </c>
      <c r="U78" s="23">
        <v>-1.2E-2</v>
      </c>
      <c r="V78" s="9">
        <f>SUM(P78:U78)</f>
        <v>9.9580000000000002</v>
      </c>
      <c r="W78" s="9">
        <f>O78-V78</f>
        <v>2.0000000000006679E-3</v>
      </c>
    </row>
    <row r="79" spans="1:23" ht="15.6">
      <c r="A79" s="14">
        <v>4</v>
      </c>
      <c r="B79" s="23">
        <v>30</v>
      </c>
      <c r="C79" s="23" t="s">
        <v>83</v>
      </c>
      <c r="D79" s="23">
        <v>5.96</v>
      </c>
      <c r="E79" s="23">
        <v>-0.03</v>
      </c>
      <c r="F79" s="23">
        <v>-0.48</v>
      </c>
      <c r="G79" s="23">
        <v>5.44</v>
      </c>
      <c r="H79" s="23">
        <v>10.15</v>
      </c>
      <c r="I79" s="15">
        <v>4.71</v>
      </c>
      <c r="J79" s="23">
        <v>10.18</v>
      </c>
      <c r="K79" s="23">
        <v>2.9999999999999399E-2</v>
      </c>
      <c r="L79" s="23">
        <v>3.0000000000000001E-3</v>
      </c>
      <c r="O79" s="15">
        <f>J79</f>
        <v>10.18</v>
      </c>
      <c r="P79" s="23">
        <v>5.96</v>
      </c>
      <c r="Q79" s="23">
        <v>-0.03</v>
      </c>
      <c r="R79" s="23">
        <v>-0.48</v>
      </c>
      <c r="S79" s="15">
        <v>4.71</v>
      </c>
      <c r="T79" s="23">
        <v>2.9999999999999399E-2</v>
      </c>
      <c r="U79" s="23">
        <v>3.0000000000000001E-3</v>
      </c>
      <c r="V79" s="9">
        <f>SUM(P79:U79)</f>
        <v>10.193</v>
      </c>
      <c r="W79" s="9">
        <f>O79-V79</f>
        <v>-1.2999999999999901E-2</v>
      </c>
    </row>
    <row r="80" spans="1:23" ht="15.6">
      <c r="A80" s="9">
        <v>4</v>
      </c>
      <c r="B80" s="23">
        <v>31</v>
      </c>
      <c r="C80" s="23" t="s">
        <v>84</v>
      </c>
      <c r="D80" s="23">
        <v>6.07</v>
      </c>
      <c r="E80" s="23">
        <v>-0.15</v>
      </c>
      <c r="F80" s="23">
        <v>-0.67</v>
      </c>
      <c r="G80" s="23">
        <v>5.24</v>
      </c>
      <c r="H80" s="23">
        <v>9.9499999999999993</v>
      </c>
      <c r="I80" s="15">
        <v>4.71</v>
      </c>
      <c r="J80" s="23">
        <v>9.94</v>
      </c>
      <c r="K80" s="23">
        <v>-9.9999999999997903E-3</v>
      </c>
      <c r="L80" s="23">
        <v>7.0000000000000001E-3</v>
      </c>
      <c r="O80" s="15">
        <f>J80</f>
        <v>9.94</v>
      </c>
      <c r="P80" s="23">
        <v>6.07</v>
      </c>
      <c r="Q80" s="23">
        <v>-0.15</v>
      </c>
      <c r="R80" s="23">
        <v>-0.67</v>
      </c>
      <c r="S80" s="15">
        <v>4.71</v>
      </c>
      <c r="T80" s="23">
        <v>-9.9999999999997903E-3</v>
      </c>
      <c r="U80" s="23">
        <v>7.0000000000000001E-3</v>
      </c>
      <c r="V80" s="9">
        <f>SUM(P80:U80)</f>
        <v>9.9570000000000007</v>
      </c>
      <c r="W80" s="9">
        <f>O80-V80</f>
        <v>-1.7000000000001236E-2</v>
      </c>
    </row>
    <row r="81" spans="1:23" ht="15.6">
      <c r="A81" s="14">
        <v>4</v>
      </c>
      <c r="B81" s="23">
        <v>32</v>
      </c>
      <c r="C81" s="23" t="s">
        <v>85</v>
      </c>
      <c r="D81" s="23">
        <v>6.4</v>
      </c>
      <c r="E81" s="23">
        <v>-0.28999999999999998</v>
      </c>
      <c r="F81" s="23">
        <v>-0.55000000000000004</v>
      </c>
      <c r="G81" s="23">
        <v>5.56</v>
      </c>
      <c r="H81" s="23">
        <v>10.27</v>
      </c>
      <c r="I81" s="15">
        <v>4.71</v>
      </c>
      <c r="J81" s="23">
        <v>10.35</v>
      </c>
      <c r="K81" s="23">
        <v>9.9999999999999603E-2</v>
      </c>
      <c r="L81" s="23">
        <v>-1.6E-2</v>
      </c>
      <c r="O81" s="15">
        <f>J81</f>
        <v>10.35</v>
      </c>
      <c r="P81" s="23">
        <v>6.4</v>
      </c>
      <c r="Q81" s="23">
        <v>-0.28999999999999998</v>
      </c>
      <c r="R81" s="23">
        <v>-0.55000000000000004</v>
      </c>
      <c r="S81" s="15">
        <v>4.71</v>
      </c>
      <c r="T81" s="23">
        <v>9.9999999999999603E-2</v>
      </c>
      <c r="U81" s="23">
        <v>-1.6E-2</v>
      </c>
      <c r="V81" s="9">
        <f>SUM(P81:U81)</f>
        <v>10.353999999999999</v>
      </c>
      <c r="W81" s="9">
        <f>O81-V81</f>
        <v>-3.9999999999995595E-3</v>
      </c>
    </row>
    <row r="82" spans="1:23" ht="15.6">
      <c r="A82" s="9">
        <v>4</v>
      </c>
      <c r="B82" s="23">
        <v>33</v>
      </c>
      <c r="C82" s="23" t="s">
        <v>86</v>
      </c>
      <c r="D82" s="23">
        <v>5.61</v>
      </c>
      <c r="E82" s="23">
        <v>7.0000000000000007E-2</v>
      </c>
      <c r="F82" s="23">
        <v>-0.18</v>
      </c>
      <c r="G82" s="23">
        <v>5.51</v>
      </c>
      <c r="H82" s="23">
        <v>10.220000000000001</v>
      </c>
      <c r="I82" s="15">
        <v>4.71</v>
      </c>
      <c r="J82" s="23">
        <v>10.25</v>
      </c>
      <c r="K82" s="23">
        <v>1.9999999999999601E-2</v>
      </c>
      <c r="L82" s="23">
        <v>7.0000000000000001E-3</v>
      </c>
      <c r="O82" s="15">
        <f>J82</f>
        <v>10.25</v>
      </c>
      <c r="P82" s="23">
        <v>5.61</v>
      </c>
      <c r="Q82" s="23">
        <v>7.0000000000000007E-2</v>
      </c>
      <c r="R82" s="23">
        <v>-0.18</v>
      </c>
      <c r="S82" s="15">
        <v>4.71</v>
      </c>
      <c r="T82" s="23">
        <v>1.9999999999999601E-2</v>
      </c>
      <c r="U82" s="23">
        <v>7.0000000000000001E-3</v>
      </c>
      <c r="V82" s="9">
        <f>SUM(P82:U82)</f>
        <v>10.237</v>
      </c>
      <c r="W82" s="9">
        <f>O82-V82</f>
        <v>1.2999999999999901E-2</v>
      </c>
    </row>
    <row r="83" spans="1:23" ht="15.6">
      <c r="A83" s="14">
        <v>4</v>
      </c>
      <c r="B83" s="23">
        <v>34</v>
      </c>
      <c r="C83" s="23" t="s">
        <v>88</v>
      </c>
      <c r="D83" s="23">
        <v>5.41</v>
      </c>
      <c r="E83" s="23">
        <v>0.05</v>
      </c>
      <c r="F83" s="23">
        <v>-0.12</v>
      </c>
      <c r="G83" s="23">
        <v>5.35</v>
      </c>
      <c r="H83" s="23">
        <v>10.06</v>
      </c>
      <c r="I83" s="15">
        <v>4.71</v>
      </c>
      <c r="J83" s="23">
        <v>10.09</v>
      </c>
      <c r="K83" s="23">
        <v>2.9999999999999399E-2</v>
      </c>
      <c r="L83" s="23">
        <v>7.0000000000000001E-3</v>
      </c>
      <c r="O83" s="15">
        <f>J83</f>
        <v>10.09</v>
      </c>
      <c r="P83" s="23">
        <v>5.41</v>
      </c>
      <c r="Q83" s="23">
        <v>0.05</v>
      </c>
      <c r="R83" s="23">
        <v>-0.12</v>
      </c>
      <c r="S83" s="15">
        <v>4.71</v>
      </c>
      <c r="T83" s="23">
        <v>2.9999999999999399E-2</v>
      </c>
      <c r="U83" s="23">
        <v>7.0000000000000001E-3</v>
      </c>
      <c r="V83" s="9">
        <f>SUM(P83:U83)</f>
        <v>10.087</v>
      </c>
      <c r="W83" s="9">
        <f>O83-V83</f>
        <v>3.0000000000001137E-3</v>
      </c>
    </row>
    <row r="84" spans="1:23" ht="15.6">
      <c r="A84" s="9">
        <v>4</v>
      </c>
      <c r="B84" s="23">
        <v>35</v>
      </c>
      <c r="C84" s="23" t="s">
        <v>89</v>
      </c>
      <c r="D84" s="23">
        <v>5.78</v>
      </c>
      <c r="E84" s="23">
        <v>-0.2</v>
      </c>
      <c r="F84" s="23">
        <v>-0.1</v>
      </c>
      <c r="G84" s="23">
        <v>5.48</v>
      </c>
      <c r="H84" s="23">
        <v>10.19</v>
      </c>
      <c r="I84" s="15">
        <v>4.71</v>
      </c>
      <c r="J84" s="23">
        <v>10.15</v>
      </c>
      <c r="K84" s="23">
        <v>-2.9999999999999399E-2</v>
      </c>
      <c r="L84" s="23">
        <v>-1.0999999999999999E-2</v>
      </c>
      <c r="O84" s="15">
        <f>J84</f>
        <v>10.15</v>
      </c>
      <c r="P84" s="23">
        <v>5.78</v>
      </c>
      <c r="Q84" s="23">
        <v>-0.2</v>
      </c>
      <c r="R84" s="23">
        <v>-0.1</v>
      </c>
      <c r="S84" s="15">
        <v>4.71</v>
      </c>
      <c r="T84" s="23">
        <v>-2.9999999999999399E-2</v>
      </c>
      <c r="U84" s="23">
        <v>-1.0999999999999999E-2</v>
      </c>
      <c r="V84" s="9">
        <f>SUM(P84:U84)</f>
        <v>10.149000000000003</v>
      </c>
      <c r="W84" s="9">
        <f>O84-V84</f>
        <v>9.9999999999766942E-4</v>
      </c>
    </row>
    <row r="85" spans="1:23" ht="15.6">
      <c r="A85" s="14">
        <v>4</v>
      </c>
      <c r="B85" s="23">
        <v>36</v>
      </c>
      <c r="C85" s="23" t="s">
        <v>90</v>
      </c>
      <c r="D85" s="23">
        <v>6.17</v>
      </c>
      <c r="E85" s="23">
        <v>-0.11</v>
      </c>
      <c r="F85" s="23">
        <v>-0.38</v>
      </c>
      <c r="G85" s="23">
        <v>5.69</v>
      </c>
      <c r="H85" s="23">
        <v>10.4</v>
      </c>
      <c r="I85" s="15">
        <v>4.71</v>
      </c>
      <c r="J85" s="23">
        <v>10.43</v>
      </c>
      <c r="K85" s="23">
        <v>4.9999999999998899E-2</v>
      </c>
      <c r="L85" s="23">
        <v>-2.3E-2</v>
      </c>
      <c r="O85" s="15">
        <f>J85</f>
        <v>10.43</v>
      </c>
      <c r="P85" s="23">
        <v>6.17</v>
      </c>
      <c r="Q85" s="23">
        <v>-0.11</v>
      </c>
      <c r="R85" s="23">
        <v>-0.38</v>
      </c>
      <c r="S85" s="15">
        <v>4.71</v>
      </c>
      <c r="T85" s="23">
        <v>4.9999999999998899E-2</v>
      </c>
      <c r="U85" s="23">
        <v>-2.3E-2</v>
      </c>
      <c r="V85" s="9">
        <f>SUM(P85:U85)</f>
        <v>10.417</v>
      </c>
      <c r="W85" s="9">
        <f>O85-V85</f>
        <v>1.2999999999999901E-2</v>
      </c>
    </row>
    <row r="86" spans="1:23" ht="15.6">
      <c r="A86" s="9">
        <v>4</v>
      </c>
      <c r="B86" s="23">
        <v>37</v>
      </c>
      <c r="C86" s="23" t="s">
        <v>91</v>
      </c>
      <c r="D86" s="23">
        <v>6</v>
      </c>
      <c r="E86" s="23">
        <v>-7.0000000000000007E-2</v>
      </c>
      <c r="F86" s="23">
        <v>-0.3</v>
      </c>
      <c r="G86" s="23">
        <v>5.63</v>
      </c>
      <c r="H86" s="23">
        <v>10.35</v>
      </c>
      <c r="I86" s="15">
        <v>4.71</v>
      </c>
      <c r="J86" s="23">
        <v>10.34</v>
      </c>
      <c r="K86" s="23">
        <v>-1.9999999999999601E-2</v>
      </c>
      <c r="L86" s="23">
        <v>7.0000000000000001E-3</v>
      </c>
      <c r="O86" s="15">
        <f>J86</f>
        <v>10.34</v>
      </c>
      <c r="P86" s="23">
        <v>6</v>
      </c>
      <c r="Q86" s="23">
        <v>-7.0000000000000007E-2</v>
      </c>
      <c r="R86" s="23">
        <v>-0.3</v>
      </c>
      <c r="S86" s="15">
        <v>4.71</v>
      </c>
      <c r="T86" s="23">
        <v>-1.9999999999999601E-2</v>
      </c>
      <c r="U86" s="23">
        <v>7.0000000000000001E-3</v>
      </c>
      <c r="V86" s="9">
        <f>SUM(P86:U86)</f>
        <v>10.327</v>
      </c>
      <c r="W86" s="9">
        <f>O86-V86</f>
        <v>1.2999999999999901E-2</v>
      </c>
    </row>
    <row r="87" spans="1:23" ht="15.6">
      <c r="A87" s="14">
        <v>4</v>
      </c>
      <c r="B87" s="23">
        <v>38</v>
      </c>
      <c r="C87" s="23" t="s">
        <v>92</v>
      </c>
      <c r="D87" s="23">
        <v>5.89</v>
      </c>
      <c r="E87" s="23">
        <v>0.03</v>
      </c>
      <c r="F87" s="23">
        <v>-0.46</v>
      </c>
      <c r="G87" s="23">
        <v>5.47</v>
      </c>
      <c r="H87" s="23">
        <v>10.19</v>
      </c>
      <c r="I87" s="15">
        <v>4.71</v>
      </c>
      <c r="J87" s="23">
        <v>10.26</v>
      </c>
      <c r="K87" s="23">
        <v>7.0000000000000298E-2</v>
      </c>
      <c r="L87" s="23">
        <v>7.0000000000000001E-3</v>
      </c>
      <c r="O87" s="15">
        <f>J87</f>
        <v>10.26</v>
      </c>
      <c r="P87" s="23">
        <v>5.89</v>
      </c>
      <c r="Q87" s="23">
        <v>0.03</v>
      </c>
      <c r="R87" s="23">
        <v>-0.46</v>
      </c>
      <c r="S87" s="15">
        <v>4.71</v>
      </c>
      <c r="T87" s="23">
        <v>7.0000000000000298E-2</v>
      </c>
      <c r="U87" s="23">
        <v>7.0000000000000001E-3</v>
      </c>
      <c r="V87" s="9">
        <f>SUM(P87:U87)</f>
        <v>10.247</v>
      </c>
      <c r="W87" s="9">
        <f>O87-V87</f>
        <v>1.2999999999999901E-2</v>
      </c>
    </row>
    <row r="88" spans="1:23" ht="15.6">
      <c r="A88" s="9">
        <v>4</v>
      </c>
      <c r="B88" s="23">
        <v>39</v>
      </c>
      <c r="C88" s="23" t="s">
        <v>93</v>
      </c>
      <c r="D88" s="23">
        <v>6.11</v>
      </c>
      <c r="E88" s="23">
        <v>-0.16</v>
      </c>
      <c r="F88" s="23">
        <v>-0.38</v>
      </c>
      <c r="G88" s="23">
        <v>5.57</v>
      </c>
      <c r="H88" s="23">
        <v>10.29</v>
      </c>
      <c r="I88" s="15">
        <v>4.71</v>
      </c>
      <c r="J88" s="23">
        <v>10.3</v>
      </c>
      <c r="K88" s="23">
        <v>0</v>
      </c>
      <c r="L88" s="23">
        <v>7.0000000000000001E-3</v>
      </c>
      <c r="O88" s="15">
        <f>J88</f>
        <v>10.3</v>
      </c>
      <c r="P88" s="23">
        <v>6.11</v>
      </c>
      <c r="Q88" s="23">
        <v>-0.16</v>
      </c>
      <c r="R88" s="23">
        <v>-0.38</v>
      </c>
      <c r="S88" s="15">
        <v>4.71</v>
      </c>
      <c r="T88" s="23">
        <v>0</v>
      </c>
      <c r="U88" s="23">
        <v>7.0000000000000001E-3</v>
      </c>
      <c r="V88" s="9">
        <f>SUM(P88:U88)</f>
        <v>10.287000000000001</v>
      </c>
      <c r="W88" s="9">
        <f>O88-V88</f>
        <v>1.2999999999999901E-2</v>
      </c>
    </row>
    <row r="89" spans="1:23" ht="15.6">
      <c r="A89" s="14">
        <v>4</v>
      </c>
      <c r="B89" s="23">
        <v>40</v>
      </c>
      <c r="C89" s="23" t="s">
        <v>94</v>
      </c>
      <c r="D89" s="23">
        <v>5.79</v>
      </c>
      <c r="E89" s="23">
        <v>0.05</v>
      </c>
      <c r="F89" s="23">
        <v>-0.28000000000000003</v>
      </c>
      <c r="G89" s="23">
        <v>5.56</v>
      </c>
      <c r="H89" s="23">
        <v>10.28</v>
      </c>
      <c r="I89" s="15">
        <v>4.71</v>
      </c>
      <c r="J89" s="23">
        <v>10.210000000000001</v>
      </c>
      <c r="K89" s="23">
        <v>-6.9999999999998494E-2</v>
      </c>
      <c r="L89" s="23">
        <v>7.0000000000000001E-3</v>
      </c>
      <c r="O89" s="15">
        <f>J89</f>
        <v>10.210000000000001</v>
      </c>
      <c r="P89" s="23">
        <v>5.79</v>
      </c>
      <c r="Q89" s="23">
        <v>0.05</v>
      </c>
      <c r="R89" s="23">
        <v>-0.28000000000000003</v>
      </c>
      <c r="S89" s="15">
        <v>4.71</v>
      </c>
      <c r="T89" s="23">
        <v>-6.9999999999998494E-2</v>
      </c>
      <c r="U89" s="23">
        <v>7.0000000000000001E-3</v>
      </c>
      <c r="V89" s="9">
        <f>SUM(P89:U89)</f>
        <v>10.207000000000001</v>
      </c>
      <c r="W89" s="9">
        <f>O89-V89</f>
        <v>3.0000000000001137E-3</v>
      </c>
    </row>
    <row r="90" spans="1:23" ht="15.6">
      <c r="A90" s="9">
        <v>4</v>
      </c>
      <c r="B90" s="23">
        <v>41</v>
      </c>
      <c r="C90" s="23" t="s">
        <v>95</v>
      </c>
      <c r="D90" s="23">
        <v>7.13</v>
      </c>
      <c r="E90" s="23">
        <v>-0.19</v>
      </c>
      <c r="F90" s="23">
        <v>-0.74</v>
      </c>
      <c r="G90" s="23">
        <v>6.21</v>
      </c>
      <c r="H90" s="23">
        <v>10.92</v>
      </c>
      <c r="I90" s="15">
        <v>4.71</v>
      </c>
      <c r="J90" s="23">
        <v>11</v>
      </c>
      <c r="K90" s="23">
        <v>7.0000000000000298E-2</v>
      </c>
      <c r="L90" s="23">
        <v>7.0000000000000001E-3</v>
      </c>
      <c r="O90" s="15">
        <f>J90</f>
        <v>11</v>
      </c>
      <c r="P90" s="23">
        <v>7.13</v>
      </c>
      <c r="Q90" s="23">
        <v>-0.19</v>
      </c>
      <c r="R90" s="23">
        <v>-0.74</v>
      </c>
      <c r="S90" s="15">
        <v>4.71</v>
      </c>
      <c r="T90" s="23">
        <v>7.0000000000000298E-2</v>
      </c>
      <c r="U90" s="23">
        <v>7.0000000000000001E-3</v>
      </c>
      <c r="V90" s="9">
        <f>SUM(P90:U90)</f>
        <v>10.987</v>
      </c>
      <c r="W90" s="9">
        <f>O90-V90</f>
        <v>1.2999999999999901E-2</v>
      </c>
    </row>
    <row r="91" spans="1:23" ht="15.6">
      <c r="A91" s="14">
        <v>4</v>
      </c>
      <c r="B91" s="23">
        <v>42</v>
      </c>
      <c r="C91" s="23" t="s">
        <v>96</v>
      </c>
      <c r="D91" s="23">
        <v>6.62</v>
      </c>
      <c r="E91" s="23">
        <v>-0.21</v>
      </c>
      <c r="F91" s="23">
        <v>-0.74</v>
      </c>
      <c r="G91" s="23">
        <v>5.67</v>
      </c>
      <c r="H91" s="23">
        <v>10.38</v>
      </c>
      <c r="I91" s="15">
        <v>4.71</v>
      </c>
      <c r="J91" s="23">
        <v>10.47</v>
      </c>
      <c r="K91" s="23">
        <v>8.99999999999999E-2</v>
      </c>
      <c r="L91" s="23">
        <v>-2E-3</v>
      </c>
      <c r="O91" s="15">
        <f>J91</f>
        <v>10.47</v>
      </c>
      <c r="P91" s="23">
        <v>6.62</v>
      </c>
      <c r="Q91" s="23">
        <v>-0.21</v>
      </c>
      <c r="R91" s="23">
        <v>-0.74</v>
      </c>
      <c r="S91" s="15">
        <v>4.71</v>
      </c>
      <c r="T91" s="23">
        <v>8.99999999999999E-2</v>
      </c>
      <c r="U91" s="23">
        <v>-2E-3</v>
      </c>
      <c r="V91" s="9">
        <f>SUM(P91:U91)</f>
        <v>10.467999999999998</v>
      </c>
      <c r="W91" s="9">
        <f>O91-V91</f>
        <v>2.0000000000024443E-3</v>
      </c>
    </row>
    <row r="92" spans="1:23" ht="15.6">
      <c r="A92" s="9">
        <v>4</v>
      </c>
      <c r="B92" s="23">
        <v>43</v>
      </c>
      <c r="C92" s="23" t="s">
        <v>97</v>
      </c>
      <c r="D92" s="23">
        <v>6.39</v>
      </c>
      <c r="E92" s="23">
        <v>-0.06</v>
      </c>
      <c r="F92" s="23">
        <v>-0.63</v>
      </c>
      <c r="G92" s="23">
        <v>5.69</v>
      </c>
      <c r="H92" s="23">
        <v>10.41</v>
      </c>
      <c r="I92" s="15">
        <v>4.71</v>
      </c>
      <c r="J92" s="23">
        <v>10.45</v>
      </c>
      <c r="K92" s="23">
        <v>8.0000000000000099E-2</v>
      </c>
      <c r="L92" s="23">
        <v>-3.6999999999999998E-2</v>
      </c>
      <c r="O92" s="15">
        <f>J92</f>
        <v>10.45</v>
      </c>
      <c r="P92" s="23">
        <v>6.39</v>
      </c>
      <c r="Q92" s="23">
        <v>-0.06</v>
      </c>
      <c r="R92" s="23">
        <v>-0.63</v>
      </c>
      <c r="S92" s="15">
        <v>4.71</v>
      </c>
      <c r="T92" s="23">
        <v>8.0000000000000099E-2</v>
      </c>
      <c r="U92" s="23">
        <v>-3.6999999999999998E-2</v>
      </c>
      <c r="V92" s="9">
        <f>SUM(P92:U92)</f>
        <v>10.452999999999999</v>
      </c>
      <c r="W92" s="9">
        <f>O92-V92</f>
        <v>-3.0000000000001137E-3</v>
      </c>
    </row>
    <row r="93" spans="1:23" ht="15.6">
      <c r="A93" s="14">
        <v>4</v>
      </c>
      <c r="B93" s="23">
        <v>44</v>
      </c>
      <c r="C93" s="23" t="s">
        <v>98</v>
      </c>
      <c r="D93" s="23">
        <v>6.49</v>
      </c>
      <c r="E93" s="23">
        <v>-0.21</v>
      </c>
      <c r="F93" s="23">
        <v>-0.6</v>
      </c>
      <c r="G93" s="23">
        <v>5.68</v>
      </c>
      <c r="H93" s="23">
        <v>10.4</v>
      </c>
      <c r="I93" s="15">
        <v>4.71</v>
      </c>
      <c r="J93" s="23">
        <v>10.52</v>
      </c>
      <c r="K93" s="23">
        <v>0.12999999999999901</v>
      </c>
      <c r="L93" s="23">
        <v>-8.9999999999999993E-3</v>
      </c>
      <c r="O93" s="15">
        <f>J93</f>
        <v>10.52</v>
      </c>
      <c r="P93" s="23">
        <v>6.49</v>
      </c>
      <c r="Q93" s="23">
        <v>-0.21</v>
      </c>
      <c r="R93" s="23">
        <v>-0.6</v>
      </c>
      <c r="S93" s="15">
        <v>4.71</v>
      </c>
      <c r="T93" s="23">
        <v>0.12999999999999901</v>
      </c>
      <c r="U93" s="23">
        <v>-8.9999999999999993E-3</v>
      </c>
      <c r="V93" s="9">
        <f>SUM(P93:U93)</f>
        <v>10.510999999999999</v>
      </c>
      <c r="W93" s="9">
        <f>O93-V93</f>
        <v>9.0000000000003411E-3</v>
      </c>
    </row>
    <row r="94" spans="1:23" ht="15.6">
      <c r="A94" s="9">
        <v>4</v>
      </c>
      <c r="B94" s="23">
        <v>45</v>
      </c>
      <c r="C94" s="23" t="s">
        <v>99</v>
      </c>
      <c r="D94" s="23">
        <v>6.17</v>
      </c>
      <c r="E94" s="23">
        <v>-0.08</v>
      </c>
      <c r="F94" s="23">
        <v>-0.76</v>
      </c>
      <c r="G94" s="23">
        <v>5.33</v>
      </c>
      <c r="H94" s="23">
        <v>10.039999999999999</v>
      </c>
      <c r="I94" s="15">
        <v>4.71</v>
      </c>
      <c r="J94" s="23">
        <v>10.14</v>
      </c>
      <c r="K94" s="23">
        <v>0.100000000000001</v>
      </c>
      <c r="L94" s="23">
        <v>2E-3</v>
      </c>
      <c r="O94" s="15">
        <f>J94</f>
        <v>10.14</v>
      </c>
      <c r="P94" s="23">
        <v>6.17</v>
      </c>
      <c r="Q94" s="23">
        <v>-0.08</v>
      </c>
      <c r="R94" s="23">
        <v>-0.76</v>
      </c>
      <c r="S94" s="15">
        <v>4.71</v>
      </c>
      <c r="T94" s="23">
        <v>0.100000000000001</v>
      </c>
      <c r="U94" s="23">
        <v>2E-3</v>
      </c>
      <c r="V94" s="9">
        <f>SUM(P94:U94)</f>
        <v>10.142000000000001</v>
      </c>
      <c r="W94" s="9">
        <f>O94-V94</f>
        <v>-2.0000000000006679E-3</v>
      </c>
    </row>
    <row r="95" spans="1:23" ht="15.6">
      <c r="A95" s="14">
        <v>4</v>
      </c>
      <c r="B95" s="23">
        <v>46</v>
      </c>
      <c r="C95" s="23" t="s">
        <v>100</v>
      </c>
      <c r="D95" s="23">
        <v>6.62</v>
      </c>
      <c r="E95" s="23">
        <v>-0.03</v>
      </c>
      <c r="F95" s="23">
        <v>-0.85</v>
      </c>
      <c r="G95" s="23">
        <v>5.73</v>
      </c>
      <c r="H95" s="23">
        <v>10.45</v>
      </c>
      <c r="I95" s="15">
        <v>4.71</v>
      </c>
      <c r="J95" s="23">
        <v>10.65</v>
      </c>
      <c r="K95" s="23">
        <v>0.20000000000000101</v>
      </c>
      <c r="L95" s="23">
        <v>7.0000000000000001E-3</v>
      </c>
      <c r="O95" s="15">
        <f>J95</f>
        <v>10.65</v>
      </c>
      <c r="P95" s="23">
        <v>6.62</v>
      </c>
      <c r="Q95" s="23">
        <v>-0.03</v>
      </c>
      <c r="R95" s="23">
        <v>-0.85</v>
      </c>
      <c r="S95" s="15">
        <v>4.71</v>
      </c>
      <c r="T95" s="23">
        <v>0.20000000000000101</v>
      </c>
      <c r="U95" s="23">
        <v>7.0000000000000001E-3</v>
      </c>
      <c r="V95" s="9">
        <f>SUM(P95:U95)</f>
        <v>10.657</v>
      </c>
      <c r="W95" s="9">
        <f>O95-V95</f>
        <v>-6.9999999999996732E-3</v>
      </c>
    </row>
    <row r="96" spans="1:23" ht="15.6">
      <c r="A96" s="9">
        <v>4</v>
      </c>
      <c r="B96" s="23">
        <v>47</v>
      </c>
      <c r="C96" s="23" t="s">
        <v>101</v>
      </c>
      <c r="D96" s="23">
        <v>6.6</v>
      </c>
      <c r="E96" s="23">
        <v>0.3</v>
      </c>
      <c r="F96" s="23">
        <v>-1.56</v>
      </c>
      <c r="G96" s="23">
        <v>5.33</v>
      </c>
      <c r="H96" s="23">
        <v>10.050000000000001</v>
      </c>
      <c r="I96" s="15">
        <v>4.71</v>
      </c>
      <c r="J96" s="23">
        <v>10.09</v>
      </c>
      <c r="K96" s="23">
        <v>5.99999999999987E-2</v>
      </c>
      <c r="L96" s="23">
        <v>-2.1000000000000001E-2</v>
      </c>
      <c r="O96" s="15">
        <f>J96</f>
        <v>10.09</v>
      </c>
      <c r="P96" s="23">
        <v>6.6</v>
      </c>
      <c r="Q96" s="23">
        <v>0.3</v>
      </c>
      <c r="R96" s="23">
        <v>-1.56</v>
      </c>
      <c r="S96" s="15">
        <v>4.71</v>
      </c>
      <c r="T96" s="23">
        <v>5.99999999999987E-2</v>
      </c>
      <c r="U96" s="23">
        <v>-2.1000000000000001E-2</v>
      </c>
      <c r="V96" s="9">
        <f>SUM(P96:U96)</f>
        <v>10.088999999999999</v>
      </c>
      <c r="W96" s="9">
        <f>O96-V96</f>
        <v>1.0000000000012221E-3</v>
      </c>
    </row>
    <row r="97" spans="1:23" ht="15.6">
      <c r="A97" s="9">
        <v>5</v>
      </c>
      <c r="B97" s="23">
        <v>1</v>
      </c>
      <c r="C97" s="23" t="s">
        <v>33</v>
      </c>
      <c r="D97" s="23">
        <v>6.28</v>
      </c>
      <c r="E97" s="23">
        <v>-0.31</v>
      </c>
      <c r="F97" s="23">
        <v>-0.26</v>
      </c>
      <c r="G97" s="23">
        <v>5.71</v>
      </c>
      <c r="H97" s="23">
        <v>10.35</v>
      </c>
      <c r="I97" s="15">
        <v>4.6399999999999997</v>
      </c>
      <c r="J97" s="23">
        <v>10.29</v>
      </c>
      <c r="K97" s="23">
        <v>-7.0000000000000298E-2</v>
      </c>
      <c r="L97" s="23">
        <v>0.01</v>
      </c>
      <c r="O97" s="15">
        <f>J97</f>
        <v>10.29</v>
      </c>
      <c r="P97" s="23">
        <v>6.28</v>
      </c>
      <c r="Q97" s="23">
        <v>-0.31</v>
      </c>
      <c r="R97" s="23">
        <v>-0.26</v>
      </c>
      <c r="S97" s="15">
        <v>4.6399999999999997</v>
      </c>
      <c r="T97" s="23">
        <v>-7.0000000000000298E-2</v>
      </c>
      <c r="U97" s="23">
        <v>0.01</v>
      </c>
      <c r="V97" s="9">
        <f>SUM(P97:U97)</f>
        <v>10.290000000000001</v>
      </c>
      <c r="W97" s="9">
        <f>O97-V97</f>
        <v>0</v>
      </c>
    </row>
    <row r="98" spans="1:23" ht="15.6">
      <c r="A98" s="9">
        <v>5</v>
      </c>
      <c r="B98" s="23">
        <v>2</v>
      </c>
      <c r="C98" s="23" t="s">
        <v>36</v>
      </c>
      <c r="D98" s="23">
        <v>6.33</v>
      </c>
      <c r="E98" s="23">
        <v>-0.31</v>
      </c>
      <c r="F98" s="23">
        <v>-0.8</v>
      </c>
      <c r="G98" s="23">
        <v>5.21</v>
      </c>
      <c r="H98" s="23">
        <v>9.85</v>
      </c>
      <c r="I98" s="15">
        <v>4.6399999999999997</v>
      </c>
      <c r="J98" s="23">
        <v>9.7899999999999991</v>
      </c>
      <c r="K98" s="23">
        <v>-7.0000000000000298E-2</v>
      </c>
      <c r="L98" s="23">
        <v>0.01</v>
      </c>
      <c r="O98" s="15">
        <f>J98</f>
        <v>9.7899999999999991</v>
      </c>
      <c r="P98" s="23">
        <v>6.33</v>
      </c>
      <c r="Q98" s="23">
        <v>-0.31</v>
      </c>
      <c r="R98" s="23">
        <v>-0.8</v>
      </c>
      <c r="S98" s="15">
        <v>4.6399999999999997</v>
      </c>
      <c r="T98" s="23">
        <v>-7.0000000000000298E-2</v>
      </c>
      <c r="U98" s="23">
        <v>0.01</v>
      </c>
      <c r="V98" s="9">
        <f>SUM(P98:U98)</f>
        <v>9.7999999999999989</v>
      </c>
      <c r="W98" s="9">
        <f>O98-V98</f>
        <v>-9.9999999999997868E-3</v>
      </c>
    </row>
    <row r="99" spans="1:23" ht="15.6">
      <c r="A99" s="9">
        <v>5</v>
      </c>
      <c r="B99" s="23">
        <v>3</v>
      </c>
      <c r="C99" s="23" t="s">
        <v>37</v>
      </c>
      <c r="D99" s="23">
        <v>6</v>
      </c>
      <c r="E99" s="23">
        <v>-0.32</v>
      </c>
      <c r="F99" s="23">
        <v>-0.56999999999999995</v>
      </c>
      <c r="G99" s="23">
        <v>5.1100000000000003</v>
      </c>
      <c r="H99" s="23">
        <v>9.75</v>
      </c>
      <c r="I99" s="15">
        <v>4.6399999999999997</v>
      </c>
      <c r="J99" s="23">
        <v>9.77</v>
      </c>
      <c r="K99" s="23">
        <v>9.9999999999997903E-3</v>
      </c>
      <c r="L99" s="23">
        <v>0.01</v>
      </c>
      <c r="O99" s="15">
        <f>J99</f>
        <v>9.77</v>
      </c>
      <c r="P99" s="23">
        <v>6</v>
      </c>
      <c r="Q99" s="23">
        <v>-0.32</v>
      </c>
      <c r="R99" s="23">
        <v>-0.56999999999999995</v>
      </c>
      <c r="S99" s="15">
        <v>4.6399999999999997</v>
      </c>
      <c r="T99" s="23">
        <v>9.9999999999997903E-3</v>
      </c>
      <c r="U99" s="23">
        <v>0.01</v>
      </c>
      <c r="V99" s="9">
        <f>SUM(P99:U99)</f>
        <v>9.77</v>
      </c>
      <c r="W99" s="9">
        <f>O99-V99</f>
        <v>0</v>
      </c>
    </row>
    <row r="100" spans="1:23" ht="15.6">
      <c r="A100" s="9">
        <v>5</v>
      </c>
      <c r="B100" s="23">
        <v>4</v>
      </c>
      <c r="C100" s="23" t="s">
        <v>39</v>
      </c>
      <c r="D100" s="23">
        <v>5.91</v>
      </c>
      <c r="E100" s="23">
        <v>-0.17</v>
      </c>
      <c r="F100" s="23">
        <v>-0.32</v>
      </c>
      <c r="G100" s="23">
        <v>5.41</v>
      </c>
      <c r="H100" s="23">
        <v>10.050000000000001</v>
      </c>
      <c r="I100" s="15">
        <v>4.6399999999999997</v>
      </c>
      <c r="J100" s="23">
        <v>10.050000000000001</v>
      </c>
      <c r="K100" s="23">
        <v>9.9999999999997903E-3</v>
      </c>
      <c r="L100" s="23">
        <v>-1.2E-2</v>
      </c>
      <c r="O100" s="15">
        <f>J100</f>
        <v>10.050000000000001</v>
      </c>
      <c r="P100" s="23">
        <v>5.91</v>
      </c>
      <c r="Q100" s="23">
        <v>-0.17</v>
      </c>
      <c r="R100" s="23">
        <v>-0.32</v>
      </c>
      <c r="S100" s="15">
        <v>4.6399999999999997</v>
      </c>
      <c r="T100" s="23">
        <v>9.9999999999997903E-3</v>
      </c>
      <c r="U100" s="23">
        <v>-1.2E-2</v>
      </c>
      <c r="V100" s="9">
        <f>SUM(P100:U100)</f>
        <v>10.057999999999998</v>
      </c>
      <c r="W100" s="9">
        <f>O100-V100</f>
        <v>-7.9999999999973426E-3</v>
      </c>
    </row>
    <row r="101" spans="1:23" ht="15.6">
      <c r="A101" s="9">
        <v>5</v>
      </c>
      <c r="B101" s="23">
        <v>5</v>
      </c>
      <c r="C101" s="23" t="s">
        <v>40</v>
      </c>
      <c r="D101" s="23">
        <v>6.8</v>
      </c>
      <c r="E101" s="23">
        <v>-0.64</v>
      </c>
      <c r="F101" s="23">
        <v>-0.76</v>
      </c>
      <c r="G101" s="23">
        <v>5.4</v>
      </c>
      <c r="H101" s="23">
        <v>10.039999999999999</v>
      </c>
      <c r="I101" s="15">
        <v>4.6399999999999997</v>
      </c>
      <c r="J101" s="23">
        <v>9.86</v>
      </c>
      <c r="K101" s="23">
        <v>-0.13999999999999899</v>
      </c>
      <c r="L101" s="23">
        <v>-3.7999999999999999E-2</v>
      </c>
      <c r="O101" s="15">
        <f>J101</f>
        <v>9.86</v>
      </c>
      <c r="P101" s="23">
        <v>6.8</v>
      </c>
      <c r="Q101" s="23">
        <v>-0.64</v>
      </c>
      <c r="R101" s="23">
        <v>-0.76</v>
      </c>
      <c r="S101" s="15">
        <v>4.6399999999999997</v>
      </c>
      <c r="T101" s="23">
        <v>-0.13999999999999899</v>
      </c>
      <c r="U101" s="23">
        <v>-3.7999999999999999E-2</v>
      </c>
      <c r="V101" s="9">
        <f>SUM(P101:U101)</f>
        <v>9.8620000000000001</v>
      </c>
      <c r="W101" s="9">
        <f>O101-V101</f>
        <v>-2.0000000000006679E-3</v>
      </c>
    </row>
    <row r="102" spans="1:23" ht="15.6">
      <c r="A102" s="9">
        <v>5</v>
      </c>
      <c r="B102" s="23">
        <v>6</v>
      </c>
      <c r="C102" s="23" t="s">
        <v>41</v>
      </c>
      <c r="D102" s="23">
        <v>6.15</v>
      </c>
      <c r="E102" s="23">
        <v>-0.28000000000000003</v>
      </c>
      <c r="F102" s="23">
        <v>-0.48</v>
      </c>
      <c r="G102" s="23">
        <v>5.39</v>
      </c>
      <c r="H102" s="23">
        <v>10.029999999999999</v>
      </c>
      <c r="I102" s="15">
        <v>4.6399999999999997</v>
      </c>
      <c r="J102" s="23">
        <v>9.98</v>
      </c>
      <c r="K102" s="23">
        <v>-9.9999999999997903E-3</v>
      </c>
      <c r="L102" s="23">
        <v>-4.2999999999999997E-2</v>
      </c>
      <c r="O102" s="15">
        <f>J102</f>
        <v>9.98</v>
      </c>
      <c r="P102" s="23">
        <v>6.15</v>
      </c>
      <c r="Q102" s="23">
        <v>-0.28000000000000003</v>
      </c>
      <c r="R102" s="23">
        <v>-0.48</v>
      </c>
      <c r="S102" s="15">
        <v>4.6399999999999997</v>
      </c>
      <c r="T102" s="23">
        <v>-9.9999999999997903E-3</v>
      </c>
      <c r="U102" s="23">
        <v>-4.2999999999999997E-2</v>
      </c>
      <c r="V102" s="9">
        <f>SUM(P102:U102)</f>
        <v>9.9770000000000021</v>
      </c>
      <c r="W102" s="9">
        <f>O102-V102</f>
        <v>2.9999999999983373E-3</v>
      </c>
    </row>
    <row r="103" spans="1:23" ht="15.6">
      <c r="A103" s="9">
        <v>5</v>
      </c>
      <c r="B103" s="23">
        <v>7</v>
      </c>
      <c r="C103" s="23" t="s">
        <v>42</v>
      </c>
      <c r="D103" s="23">
        <v>5.42</v>
      </c>
      <c r="E103" s="23">
        <v>-0.18</v>
      </c>
      <c r="F103" s="23">
        <v>-0.27</v>
      </c>
      <c r="G103" s="23">
        <v>4.97</v>
      </c>
      <c r="H103" s="23">
        <v>9.61</v>
      </c>
      <c r="I103" s="15">
        <v>4.6399999999999997</v>
      </c>
      <c r="J103" s="23">
        <v>9.5299999999999994</v>
      </c>
      <c r="K103" s="23">
        <v>-5.99999999999987E-2</v>
      </c>
      <c r="L103" s="23">
        <v>-1.9E-2</v>
      </c>
      <c r="O103" s="15">
        <f>J103</f>
        <v>9.5299999999999994</v>
      </c>
      <c r="P103" s="23">
        <v>5.42</v>
      </c>
      <c r="Q103" s="23">
        <v>-0.18</v>
      </c>
      <c r="R103" s="23">
        <v>-0.27</v>
      </c>
      <c r="S103" s="15">
        <v>4.6399999999999997</v>
      </c>
      <c r="T103" s="23">
        <v>-5.99999999999987E-2</v>
      </c>
      <c r="U103" s="23">
        <v>-1.9E-2</v>
      </c>
      <c r="V103" s="9">
        <f>SUM(P103:U103)</f>
        <v>9.5310000000000006</v>
      </c>
      <c r="W103" s="9">
        <f>O103-V103</f>
        <v>-1.0000000000012221E-3</v>
      </c>
    </row>
    <row r="104" spans="1:23" ht="15.6">
      <c r="A104" s="9">
        <v>5</v>
      </c>
      <c r="B104" s="23">
        <v>8</v>
      </c>
      <c r="C104" s="23" t="s">
        <v>43</v>
      </c>
      <c r="D104" s="23">
        <v>5.12</v>
      </c>
      <c r="E104" s="23">
        <v>-0.04</v>
      </c>
      <c r="F104" s="23">
        <v>0.03</v>
      </c>
      <c r="G104" s="23">
        <v>5.0999999999999996</v>
      </c>
      <c r="H104" s="23">
        <v>9.75</v>
      </c>
      <c r="I104" s="15">
        <v>4.6399999999999997</v>
      </c>
      <c r="J104" s="23">
        <v>9.73</v>
      </c>
      <c r="K104" s="23">
        <v>-2.9999999999999399E-2</v>
      </c>
      <c r="L104" s="23">
        <v>0.01</v>
      </c>
      <c r="O104" s="15">
        <f>J104</f>
        <v>9.73</v>
      </c>
      <c r="P104" s="23">
        <v>5.12</v>
      </c>
      <c r="Q104" s="23">
        <v>-0.04</v>
      </c>
      <c r="R104" s="23">
        <v>0.03</v>
      </c>
      <c r="S104" s="15">
        <v>4.6399999999999997</v>
      </c>
      <c r="T104" s="23">
        <v>-2.9999999999999399E-2</v>
      </c>
      <c r="U104" s="23">
        <v>0.01</v>
      </c>
      <c r="V104" s="9">
        <f>SUM(P104:U104)</f>
        <v>9.73</v>
      </c>
      <c r="W104" s="9">
        <f>O104-V104</f>
        <v>0</v>
      </c>
    </row>
    <row r="105" spans="1:23" ht="15.6">
      <c r="A105" s="9">
        <v>5</v>
      </c>
      <c r="B105" s="23">
        <v>9</v>
      </c>
      <c r="C105" s="23" t="s">
        <v>44</v>
      </c>
      <c r="D105" s="23">
        <v>5.4</v>
      </c>
      <c r="E105" s="23">
        <v>-0.06</v>
      </c>
      <c r="F105" s="23">
        <v>-0.05</v>
      </c>
      <c r="G105" s="23">
        <v>5.29</v>
      </c>
      <c r="H105" s="23">
        <v>9.93</v>
      </c>
      <c r="I105" s="15">
        <v>4.6399999999999997</v>
      </c>
      <c r="J105" s="23">
        <v>9.9600000000000009</v>
      </c>
      <c r="K105" s="23">
        <v>4.0000000000000903E-2</v>
      </c>
      <c r="L105" s="23">
        <v>-1.2E-2</v>
      </c>
      <c r="O105" s="15">
        <f>J105</f>
        <v>9.9600000000000009</v>
      </c>
      <c r="P105" s="23">
        <v>5.4</v>
      </c>
      <c r="Q105" s="23">
        <v>-0.06</v>
      </c>
      <c r="R105" s="23">
        <v>-0.05</v>
      </c>
      <c r="S105" s="15">
        <v>4.6399999999999997</v>
      </c>
      <c r="T105" s="23">
        <v>4.0000000000000903E-2</v>
      </c>
      <c r="U105" s="23">
        <v>-1.2E-2</v>
      </c>
      <c r="V105" s="9">
        <f>SUM(P105:U105)</f>
        <v>9.9580000000000002</v>
      </c>
      <c r="W105" s="9">
        <f>O105-V105</f>
        <v>2.0000000000006679E-3</v>
      </c>
    </row>
    <row r="106" spans="1:23" ht="15.6">
      <c r="A106" s="9">
        <v>5</v>
      </c>
      <c r="B106" s="23">
        <v>10</v>
      </c>
      <c r="C106" s="23" t="s">
        <v>45</v>
      </c>
      <c r="D106" s="23">
        <v>5.21</v>
      </c>
      <c r="E106" s="23">
        <v>-0.02</v>
      </c>
      <c r="F106" s="23">
        <v>-0.08</v>
      </c>
      <c r="G106" s="23">
        <v>5.1100000000000003</v>
      </c>
      <c r="H106" s="23">
        <v>9.75</v>
      </c>
      <c r="I106" s="15">
        <v>4.6399999999999997</v>
      </c>
      <c r="J106" s="23">
        <v>9.76</v>
      </c>
      <c r="K106" s="23">
        <v>0</v>
      </c>
      <c r="L106" s="23">
        <v>0.01</v>
      </c>
      <c r="O106" s="15">
        <f>J106</f>
        <v>9.76</v>
      </c>
      <c r="P106" s="23">
        <v>5.21</v>
      </c>
      <c r="Q106" s="23">
        <v>-0.02</v>
      </c>
      <c r="R106" s="23">
        <v>-0.08</v>
      </c>
      <c r="S106" s="15">
        <v>4.6399999999999997</v>
      </c>
      <c r="T106" s="23">
        <v>0</v>
      </c>
      <c r="U106" s="23">
        <v>0.01</v>
      </c>
      <c r="V106" s="9">
        <f>SUM(P106:U106)</f>
        <v>9.76</v>
      </c>
      <c r="W106" s="9">
        <f>O106-V106</f>
        <v>0</v>
      </c>
    </row>
    <row r="107" spans="1:23" ht="15.6">
      <c r="A107" s="9">
        <v>5</v>
      </c>
      <c r="B107" s="23">
        <v>11</v>
      </c>
      <c r="C107" s="23" t="s">
        <v>47</v>
      </c>
      <c r="D107" s="23">
        <v>5.03</v>
      </c>
      <c r="E107" s="23">
        <v>-0.01</v>
      </c>
      <c r="F107" s="23">
        <v>0.14000000000000001</v>
      </c>
      <c r="G107" s="23">
        <v>5.16</v>
      </c>
      <c r="H107" s="23">
        <v>9.8000000000000007</v>
      </c>
      <c r="I107" s="15">
        <v>4.6399999999999997</v>
      </c>
      <c r="J107" s="23">
        <v>9.82</v>
      </c>
      <c r="K107" s="23">
        <v>9.9999999999997903E-3</v>
      </c>
      <c r="L107" s="23">
        <v>0.01</v>
      </c>
      <c r="O107" s="15">
        <f>J107</f>
        <v>9.82</v>
      </c>
      <c r="P107" s="23">
        <v>5.03</v>
      </c>
      <c r="Q107" s="23">
        <v>-0.01</v>
      </c>
      <c r="R107" s="23">
        <v>0.14000000000000001</v>
      </c>
      <c r="S107" s="15">
        <v>4.6399999999999997</v>
      </c>
      <c r="T107" s="23">
        <v>9.9999999999997903E-3</v>
      </c>
      <c r="U107" s="23">
        <v>0.01</v>
      </c>
      <c r="V107" s="9">
        <f>SUM(P107:U107)</f>
        <v>9.82</v>
      </c>
      <c r="W107" s="9">
        <f>O107-V107</f>
        <v>0</v>
      </c>
    </row>
    <row r="108" spans="1:23" ht="15.6">
      <c r="A108" s="9">
        <v>5</v>
      </c>
      <c r="B108" s="23">
        <v>12</v>
      </c>
      <c r="C108" s="23" t="s">
        <v>49</v>
      </c>
      <c r="D108" s="23">
        <v>5.16</v>
      </c>
      <c r="E108" s="23">
        <v>-0.1</v>
      </c>
      <c r="F108" s="23">
        <v>0.13</v>
      </c>
      <c r="G108" s="23">
        <v>5.19</v>
      </c>
      <c r="H108" s="23">
        <v>9.83</v>
      </c>
      <c r="I108" s="15">
        <v>4.6399999999999997</v>
      </c>
      <c r="J108" s="23">
        <v>9.8699999999999992</v>
      </c>
      <c r="K108" s="23">
        <v>2.9999999999999399E-2</v>
      </c>
      <c r="L108" s="23">
        <v>0.01</v>
      </c>
      <c r="O108" s="15">
        <f>J108</f>
        <v>9.8699999999999992</v>
      </c>
      <c r="P108" s="23">
        <v>5.16</v>
      </c>
      <c r="Q108" s="23">
        <v>-0.1</v>
      </c>
      <c r="R108" s="23">
        <v>0.13</v>
      </c>
      <c r="S108" s="15">
        <v>4.6399999999999997</v>
      </c>
      <c r="T108" s="23">
        <v>2.9999999999999399E-2</v>
      </c>
      <c r="U108" s="23">
        <v>0.01</v>
      </c>
      <c r="V108" s="9">
        <f>SUM(P108:U108)</f>
        <v>9.8699999999999992</v>
      </c>
      <c r="W108" s="9">
        <f>O108-V108</f>
        <v>0</v>
      </c>
    </row>
    <row r="109" spans="1:23" ht="15.6">
      <c r="A109" s="9">
        <v>5</v>
      </c>
      <c r="B109" s="23">
        <v>13</v>
      </c>
      <c r="C109" s="23" t="s">
        <v>51</v>
      </c>
      <c r="D109" s="23">
        <v>4.47</v>
      </c>
      <c r="E109" s="23">
        <v>0.14000000000000001</v>
      </c>
      <c r="F109" s="23">
        <v>0.67</v>
      </c>
      <c r="G109" s="23">
        <v>5.28</v>
      </c>
      <c r="H109" s="23">
        <v>9.92</v>
      </c>
      <c r="I109" s="15">
        <v>4.6399999999999997</v>
      </c>
      <c r="J109" s="23">
        <v>10</v>
      </c>
      <c r="K109" s="23">
        <v>7.0000000000000298E-2</v>
      </c>
      <c r="L109" s="23">
        <v>0.01</v>
      </c>
      <c r="O109" s="15">
        <f>J109</f>
        <v>10</v>
      </c>
      <c r="P109" s="23">
        <v>4.47</v>
      </c>
      <c r="Q109" s="23">
        <v>0.14000000000000001</v>
      </c>
      <c r="R109" s="23">
        <v>0.67</v>
      </c>
      <c r="S109" s="15">
        <v>4.6399999999999997</v>
      </c>
      <c r="T109" s="23">
        <v>7.0000000000000298E-2</v>
      </c>
      <c r="U109" s="23">
        <v>0.01</v>
      </c>
      <c r="V109" s="9">
        <f>SUM(P109:U109)</f>
        <v>9.9999999999999982</v>
      </c>
      <c r="W109" s="9">
        <f>O109-V109</f>
        <v>0</v>
      </c>
    </row>
    <row r="110" spans="1:23" ht="15.6">
      <c r="A110" s="9">
        <v>5</v>
      </c>
      <c r="B110" s="23">
        <v>14</v>
      </c>
      <c r="C110" s="23" t="s">
        <v>53</v>
      </c>
      <c r="D110" s="23">
        <v>5</v>
      </c>
      <c r="E110" s="23">
        <v>-0.06</v>
      </c>
      <c r="F110" s="23">
        <v>0.39</v>
      </c>
      <c r="G110" s="23">
        <v>5.34</v>
      </c>
      <c r="H110" s="23">
        <v>9.98</v>
      </c>
      <c r="I110" s="15">
        <v>4.6399999999999997</v>
      </c>
      <c r="J110" s="23">
        <v>10.02</v>
      </c>
      <c r="K110" s="23">
        <v>2.9999999999999399E-2</v>
      </c>
      <c r="L110" s="23">
        <v>0.01</v>
      </c>
      <c r="O110" s="15">
        <f>J110</f>
        <v>10.02</v>
      </c>
      <c r="P110" s="23">
        <v>5</v>
      </c>
      <c r="Q110" s="23">
        <v>-0.06</v>
      </c>
      <c r="R110" s="23">
        <v>0.39</v>
      </c>
      <c r="S110" s="15">
        <v>4.6399999999999997</v>
      </c>
      <c r="T110" s="23">
        <v>2.9999999999999399E-2</v>
      </c>
      <c r="U110" s="23">
        <v>0.01</v>
      </c>
      <c r="V110" s="9">
        <f>SUM(P110:U110)</f>
        <v>10.009999999999998</v>
      </c>
      <c r="W110" s="9">
        <f>O110-V110</f>
        <v>1.0000000000001563E-2</v>
      </c>
    </row>
    <row r="111" spans="1:23" ht="15.6">
      <c r="A111" s="9">
        <v>5</v>
      </c>
      <c r="B111" s="23">
        <v>15</v>
      </c>
      <c r="C111" s="23" t="s">
        <v>55</v>
      </c>
      <c r="D111" s="23">
        <v>5.24</v>
      </c>
      <c r="E111" s="23">
        <v>-0.14000000000000001</v>
      </c>
      <c r="F111" s="23">
        <v>-0.3</v>
      </c>
      <c r="G111" s="23">
        <v>4.8</v>
      </c>
      <c r="H111" s="23">
        <v>9.44</v>
      </c>
      <c r="I111" s="15">
        <v>4.6399999999999997</v>
      </c>
      <c r="J111" s="23">
        <v>9.33</v>
      </c>
      <c r="K111" s="23">
        <v>-9.9999999999999603E-2</v>
      </c>
      <c r="L111" s="23">
        <v>-8.9999999999999993E-3</v>
      </c>
      <c r="O111" s="15">
        <f>J111</f>
        <v>9.33</v>
      </c>
      <c r="P111" s="23">
        <v>5.24</v>
      </c>
      <c r="Q111" s="23">
        <v>-0.14000000000000001</v>
      </c>
      <c r="R111" s="23">
        <v>-0.3</v>
      </c>
      <c r="S111" s="15">
        <v>4.6399999999999997</v>
      </c>
      <c r="T111" s="23">
        <v>-9.9999999999999603E-2</v>
      </c>
      <c r="U111" s="23">
        <v>-8.9999999999999993E-3</v>
      </c>
      <c r="V111" s="9">
        <f>SUM(P111:U111)</f>
        <v>9.3310000000000013</v>
      </c>
      <c r="W111" s="9">
        <f>O111-V111</f>
        <v>-1.0000000000012221E-3</v>
      </c>
    </row>
    <row r="112" spans="1:23" ht="15.6">
      <c r="A112" s="9">
        <v>5</v>
      </c>
      <c r="B112" s="23">
        <v>16</v>
      </c>
      <c r="C112" s="23" t="s">
        <v>57</v>
      </c>
      <c r="D112" s="23">
        <v>4.9400000000000004</v>
      </c>
      <c r="E112" s="23">
        <v>-0.09</v>
      </c>
      <c r="F112" s="23">
        <v>0.11</v>
      </c>
      <c r="G112" s="23">
        <v>4.97</v>
      </c>
      <c r="H112" s="23">
        <v>9.61</v>
      </c>
      <c r="I112" s="15">
        <v>4.6399999999999997</v>
      </c>
      <c r="J112" s="23">
        <v>9.57</v>
      </c>
      <c r="K112" s="23">
        <v>-4.9999999999998899E-2</v>
      </c>
      <c r="L112" s="23">
        <v>0.01</v>
      </c>
      <c r="O112" s="15">
        <f>J112</f>
        <v>9.57</v>
      </c>
      <c r="P112" s="23">
        <v>4.9400000000000004</v>
      </c>
      <c r="Q112" s="23">
        <v>-0.09</v>
      </c>
      <c r="R112" s="23">
        <v>0.11</v>
      </c>
      <c r="S112" s="15">
        <v>4.6399999999999997</v>
      </c>
      <c r="T112" s="23">
        <v>-4.9999999999998899E-2</v>
      </c>
      <c r="U112" s="23">
        <v>0.01</v>
      </c>
      <c r="V112" s="9">
        <f>SUM(P112:U112)</f>
        <v>9.5600000000000023</v>
      </c>
      <c r="W112" s="9">
        <f>O112-V112</f>
        <v>9.9999999999980105E-3</v>
      </c>
    </row>
    <row r="113" spans="1:23" ht="15.6">
      <c r="A113" s="9">
        <v>5</v>
      </c>
      <c r="B113" s="23">
        <v>17</v>
      </c>
      <c r="C113" s="23" t="s">
        <v>58</v>
      </c>
      <c r="D113" s="23">
        <v>5.26</v>
      </c>
      <c r="E113" s="23">
        <v>-0.03</v>
      </c>
      <c r="F113" s="23">
        <v>0</v>
      </c>
      <c r="G113" s="23">
        <v>5.23</v>
      </c>
      <c r="H113" s="23">
        <v>9.8699999999999992</v>
      </c>
      <c r="I113" s="15">
        <v>4.6399999999999997</v>
      </c>
      <c r="J113" s="23">
        <v>9.66</v>
      </c>
      <c r="K113" s="23">
        <v>-0.19</v>
      </c>
      <c r="L113" s="23">
        <v>-2.1999999999999999E-2</v>
      </c>
      <c r="O113" s="15">
        <f>J113</f>
        <v>9.66</v>
      </c>
      <c r="P113" s="23">
        <v>5.26</v>
      </c>
      <c r="Q113" s="23">
        <v>-0.03</v>
      </c>
      <c r="R113" s="23">
        <v>0</v>
      </c>
      <c r="S113" s="15">
        <v>4.6399999999999997</v>
      </c>
      <c r="T113" s="23">
        <v>-0.19</v>
      </c>
      <c r="U113" s="23">
        <v>-2.1999999999999999E-2</v>
      </c>
      <c r="V113" s="9">
        <f>SUM(P113:U113)</f>
        <v>9.6579999999999995</v>
      </c>
      <c r="W113" s="9">
        <f>O113-V113</f>
        <v>2.0000000000006679E-3</v>
      </c>
    </row>
    <row r="114" spans="1:23" ht="15.6">
      <c r="A114" s="9">
        <v>5</v>
      </c>
      <c r="B114" s="23">
        <v>18</v>
      </c>
      <c r="C114" s="23" t="s">
        <v>60</v>
      </c>
      <c r="D114" s="23">
        <v>5.47</v>
      </c>
      <c r="E114" s="23">
        <v>-0.13</v>
      </c>
      <c r="F114" s="23">
        <v>-0.03</v>
      </c>
      <c r="G114" s="23">
        <v>5.31</v>
      </c>
      <c r="H114" s="23">
        <v>9.9499999999999993</v>
      </c>
      <c r="I114" s="15">
        <v>4.6399999999999997</v>
      </c>
      <c r="J114" s="23">
        <v>9.91</v>
      </c>
      <c r="K114" s="23">
        <v>-2.9999999999999399E-2</v>
      </c>
      <c r="L114" s="23">
        <v>-1.4999999999999999E-2</v>
      </c>
      <c r="O114" s="15">
        <f>J114</f>
        <v>9.91</v>
      </c>
      <c r="P114" s="23">
        <v>5.47</v>
      </c>
      <c r="Q114" s="23">
        <v>-0.13</v>
      </c>
      <c r="R114" s="23">
        <v>-0.03</v>
      </c>
      <c r="S114" s="15">
        <v>4.6399999999999997</v>
      </c>
      <c r="T114" s="23">
        <v>-2.9999999999999399E-2</v>
      </c>
      <c r="U114" s="23">
        <v>-1.4999999999999999E-2</v>
      </c>
      <c r="V114" s="9">
        <f>SUM(P114:U114)</f>
        <v>9.9049999999999994</v>
      </c>
      <c r="W114" s="9">
        <f>O114-V114</f>
        <v>5.0000000000007816E-3</v>
      </c>
    </row>
    <row r="115" spans="1:23" ht="15.6">
      <c r="A115" s="9">
        <v>5</v>
      </c>
      <c r="B115" s="23">
        <v>19</v>
      </c>
      <c r="C115" s="23" t="s">
        <v>66</v>
      </c>
      <c r="D115" s="23">
        <v>5.43</v>
      </c>
      <c r="E115" s="23">
        <v>-0.15</v>
      </c>
      <c r="F115" s="23">
        <v>-0.16</v>
      </c>
      <c r="G115" s="23">
        <v>5.12</v>
      </c>
      <c r="H115" s="23">
        <v>9.76</v>
      </c>
      <c r="I115" s="15">
        <v>4.6399999999999997</v>
      </c>
      <c r="J115" s="23">
        <v>9.67</v>
      </c>
      <c r="K115" s="23">
        <v>-9.9999999999999603E-2</v>
      </c>
      <c r="L115" s="23">
        <v>0.01</v>
      </c>
      <c r="O115" s="15">
        <f>J115</f>
        <v>9.67</v>
      </c>
      <c r="P115" s="23">
        <v>5.43</v>
      </c>
      <c r="Q115" s="23">
        <v>-0.15</v>
      </c>
      <c r="R115" s="23">
        <v>-0.16</v>
      </c>
      <c r="S115" s="15">
        <v>4.6399999999999997</v>
      </c>
      <c r="T115" s="23">
        <v>-9.9999999999999603E-2</v>
      </c>
      <c r="U115" s="23">
        <v>0.01</v>
      </c>
      <c r="V115" s="9">
        <f>SUM(P115:U115)</f>
        <v>9.6699999999999982</v>
      </c>
      <c r="W115" s="9">
        <f>O115-V115</f>
        <v>0</v>
      </c>
    </row>
    <row r="116" spans="1:23" ht="15.6">
      <c r="A116" s="9">
        <v>5</v>
      </c>
      <c r="B116" s="23">
        <v>20</v>
      </c>
      <c r="C116" s="23" t="s">
        <v>67</v>
      </c>
      <c r="D116" s="23">
        <v>5.24</v>
      </c>
      <c r="E116" s="23">
        <v>-0.08</v>
      </c>
      <c r="F116" s="23">
        <v>-0.2</v>
      </c>
      <c r="G116" s="23">
        <v>4.96</v>
      </c>
      <c r="H116" s="23">
        <v>9.6</v>
      </c>
      <c r="I116" s="15">
        <v>4.6399999999999997</v>
      </c>
      <c r="J116" s="23">
        <v>9.49</v>
      </c>
      <c r="K116" s="23">
        <v>-7.0000000000000298E-2</v>
      </c>
      <c r="L116" s="23">
        <v>-3.6999999999999998E-2</v>
      </c>
      <c r="O116" s="15">
        <f>J116</f>
        <v>9.49</v>
      </c>
      <c r="P116" s="23">
        <v>5.24</v>
      </c>
      <c r="Q116" s="23">
        <v>-0.08</v>
      </c>
      <c r="R116" s="23">
        <v>-0.2</v>
      </c>
      <c r="S116" s="15">
        <v>4.6399999999999997</v>
      </c>
      <c r="T116" s="23">
        <v>-7.0000000000000298E-2</v>
      </c>
      <c r="U116" s="23">
        <v>-3.6999999999999998E-2</v>
      </c>
      <c r="V116" s="9">
        <f>SUM(P116:U116)</f>
        <v>9.4929999999999986</v>
      </c>
      <c r="W116" s="9">
        <f>O116-V116</f>
        <v>-2.9999999999983373E-3</v>
      </c>
    </row>
    <row r="117" spans="1:23" ht="15.6">
      <c r="A117" s="9">
        <v>5</v>
      </c>
      <c r="B117" s="23">
        <v>21</v>
      </c>
      <c r="C117" s="23" t="s">
        <v>69</v>
      </c>
      <c r="D117" s="23">
        <v>5.31</v>
      </c>
      <c r="E117" s="23">
        <v>0.01</v>
      </c>
      <c r="F117" s="23">
        <v>-0.09</v>
      </c>
      <c r="G117" s="23">
        <v>5.23</v>
      </c>
      <c r="H117" s="23">
        <v>9.8699999999999992</v>
      </c>
      <c r="I117" s="15">
        <v>4.6399999999999997</v>
      </c>
      <c r="J117" s="23">
        <v>9.8000000000000007</v>
      </c>
      <c r="K117" s="23">
        <v>2.0000000000001399E-2</v>
      </c>
      <c r="L117" s="23">
        <v>-8.4000000000000005E-2</v>
      </c>
      <c r="O117" s="15">
        <f>J117</f>
        <v>9.8000000000000007</v>
      </c>
      <c r="P117" s="23">
        <v>5.31</v>
      </c>
      <c r="Q117" s="23">
        <v>0.01</v>
      </c>
      <c r="R117" s="23">
        <v>-0.09</v>
      </c>
      <c r="S117" s="15">
        <v>4.6399999999999997</v>
      </c>
      <c r="T117" s="23">
        <v>2.0000000000001399E-2</v>
      </c>
      <c r="U117" s="23">
        <v>-8.4000000000000005E-2</v>
      </c>
      <c r="V117" s="9">
        <f>SUM(P117:U117)</f>
        <v>9.8060000000000009</v>
      </c>
      <c r="W117" s="9">
        <f>O117-V117</f>
        <v>-6.0000000000002274E-3</v>
      </c>
    </row>
    <row r="118" spans="1:23" ht="15.6">
      <c r="A118" s="9">
        <v>5</v>
      </c>
      <c r="B118" s="23">
        <v>22</v>
      </c>
      <c r="C118" s="23" t="s">
        <v>71</v>
      </c>
      <c r="D118" s="23">
        <v>5.03</v>
      </c>
      <c r="E118" s="23">
        <v>-0.04</v>
      </c>
      <c r="F118" s="23">
        <v>0.11</v>
      </c>
      <c r="G118" s="23">
        <v>5.0999999999999996</v>
      </c>
      <c r="H118" s="23">
        <v>9.74</v>
      </c>
      <c r="I118" s="15">
        <v>4.6399999999999997</v>
      </c>
      <c r="J118" s="23">
        <v>9.75</v>
      </c>
      <c r="K118" s="23">
        <v>2.9999999999999399E-2</v>
      </c>
      <c r="L118" s="23">
        <v>-1.2999999999999999E-2</v>
      </c>
      <c r="O118" s="15">
        <f>J118</f>
        <v>9.75</v>
      </c>
      <c r="P118" s="23">
        <v>5.03</v>
      </c>
      <c r="Q118" s="23">
        <v>-0.04</v>
      </c>
      <c r="R118" s="23">
        <v>0.11</v>
      </c>
      <c r="S118" s="15">
        <v>4.6399999999999997</v>
      </c>
      <c r="T118" s="23">
        <v>2.9999999999999399E-2</v>
      </c>
      <c r="U118" s="23">
        <v>-1.2999999999999999E-2</v>
      </c>
      <c r="V118" s="9">
        <f>SUM(P118:U118)</f>
        <v>9.7569999999999997</v>
      </c>
      <c r="W118" s="9">
        <f>O118-V118</f>
        <v>-6.9999999999996732E-3</v>
      </c>
    </row>
    <row r="119" spans="1:23" ht="15.6">
      <c r="A119" s="9">
        <v>5</v>
      </c>
      <c r="B119" s="23">
        <v>23</v>
      </c>
      <c r="C119" s="23" t="s">
        <v>72</v>
      </c>
      <c r="D119" s="23">
        <v>4.84</v>
      </c>
      <c r="E119" s="23">
        <v>0.2</v>
      </c>
      <c r="F119" s="23">
        <v>0.27</v>
      </c>
      <c r="G119" s="23">
        <v>5.31</v>
      </c>
      <c r="H119" s="23">
        <v>9.9499999999999993</v>
      </c>
      <c r="I119" s="15">
        <v>4.6399999999999997</v>
      </c>
      <c r="J119" s="23">
        <v>10.01</v>
      </c>
      <c r="K119" s="23">
        <v>5.0000000000000697E-2</v>
      </c>
      <c r="L119" s="23">
        <v>0.01</v>
      </c>
      <c r="O119" s="15">
        <f>J119</f>
        <v>10.01</v>
      </c>
      <c r="P119" s="23">
        <v>4.84</v>
      </c>
      <c r="Q119" s="23">
        <v>0.2</v>
      </c>
      <c r="R119" s="23">
        <v>0.27</v>
      </c>
      <c r="S119" s="15">
        <v>4.6399999999999997</v>
      </c>
      <c r="T119" s="23">
        <v>5.0000000000000697E-2</v>
      </c>
      <c r="U119" s="23">
        <v>0.01</v>
      </c>
      <c r="V119" s="9">
        <f>SUM(P119:U119)</f>
        <v>10.01</v>
      </c>
      <c r="W119" s="9">
        <f>O119-V119</f>
        <v>0</v>
      </c>
    </row>
    <row r="120" spans="1:23" ht="15.6">
      <c r="A120" s="9">
        <v>5</v>
      </c>
      <c r="B120" s="23">
        <v>24</v>
      </c>
      <c r="C120" s="23" t="s">
        <v>74</v>
      </c>
      <c r="D120" s="23">
        <v>5.15</v>
      </c>
      <c r="E120" s="23">
        <v>0.01</v>
      </c>
      <c r="F120" s="23">
        <v>0.01</v>
      </c>
      <c r="G120" s="23">
        <v>5.18</v>
      </c>
      <c r="H120" s="23">
        <v>9.82</v>
      </c>
      <c r="I120" s="15">
        <v>4.6399999999999997</v>
      </c>
      <c r="J120" s="23">
        <v>9.81</v>
      </c>
      <c r="K120" s="23">
        <v>-1.9999999999999601E-2</v>
      </c>
      <c r="L120" s="23">
        <v>0.01</v>
      </c>
      <c r="O120" s="15">
        <f>J120</f>
        <v>9.81</v>
      </c>
      <c r="P120" s="23">
        <v>5.15</v>
      </c>
      <c r="Q120" s="23">
        <v>0.01</v>
      </c>
      <c r="R120" s="23">
        <v>0.01</v>
      </c>
      <c r="S120" s="15">
        <v>4.6399999999999997</v>
      </c>
      <c r="T120" s="23">
        <v>-1.9999999999999601E-2</v>
      </c>
      <c r="U120" s="23">
        <v>0.01</v>
      </c>
      <c r="V120" s="9">
        <f>SUM(P120:U120)</f>
        <v>9.7999999999999989</v>
      </c>
      <c r="W120" s="9">
        <f>O120-V120</f>
        <v>1.0000000000001563E-2</v>
      </c>
    </row>
    <row r="121" spans="1:23" ht="15.6">
      <c r="A121" s="9">
        <v>5</v>
      </c>
      <c r="B121" s="23">
        <v>25</v>
      </c>
      <c r="C121" s="23" t="s">
        <v>75</v>
      </c>
      <c r="D121" s="23">
        <v>5.22</v>
      </c>
      <c r="E121" s="23">
        <v>7.0000000000000007E-2</v>
      </c>
      <c r="F121" s="23">
        <v>-0.15</v>
      </c>
      <c r="G121" s="23">
        <v>5.14</v>
      </c>
      <c r="H121" s="23">
        <v>9.7799999999999994</v>
      </c>
      <c r="I121" s="15">
        <v>4.6399999999999997</v>
      </c>
      <c r="J121" s="23">
        <v>9.73</v>
      </c>
      <c r="K121" s="23">
        <v>-5.99999999999987E-2</v>
      </c>
      <c r="L121" s="23">
        <v>0.01</v>
      </c>
      <c r="O121" s="15">
        <f>J121</f>
        <v>9.73</v>
      </c>
      <c r="P121" s="23">
        <v>5.22</v>
      </c>
      <c r="Q121" s="23">
        <v>7.0000000000000007E-2</v>
      </c>
      <c r="R121" s="23">
        <v>-0.15</v>
      </c>
      <c r="S121" s="15">
        <v>4.6399999999999997</v>
      </c>
      <c r="T121" s="23">
        <v>-5.99999999999987E-2</v>
      </c>
      <c r="U121" s="23">
        <v>0.01</v>
      </c>
      <c r="V121" s="9">
        <f>SUM(P121:U121)</f>
        <v>9.73</v>
      </c>
      <c r="W121" s="9">
        <f>O121-V121</f>
        <v>0</v>
      </c>
    </row>
    <row r="122" spans="1:23" ht="15.6">
      <c r="A122" s="9">
        <v>5</v>
      </c>
      <c r="B122" s="23">
        <v>26</v>
      </c>
      <c r="C122" s="23" t="s">
        <v>79</v>
      </c>
      <c r="D122" s="23">
        <v>5.36</v>
      </c>
      <c r="E122" s="23">
        <v>0.06</v>
      </c>
      <c r="F122" s="23">
        <v>0.01</v>
      </c>
      <c r="G122" s="23">
        <v>5.43</v>
      </c>
      <c r="H122" s="23">
        <v>10.07</v>
      </c>
      <c r="I122" s="15">
        <v>4.6399999999999997</v>
      </c>
      <c r="J122" s="23">
        <v>10.09</v>
      </c>
      <c r="K122" s="23">
        <v>1.9999999999999601E-2</v>
      </c>
      <c r="L122" s="23">
        <v>-7.0000000000000001E-3</v>
      </c>
      <c r="O122" s="15">
        <f>J122</f>
        <v>10.09</v>
      </c>
      <c r="P122" s="23">
        <v>5.36</v>
      </c>
      <c r="Q122" s="23">
        <v>0.06</v>
      </c>
      <c r="R122" s="23">
        <v>0.01</v>
      </c>
      <c r="S122" s="15">
        <v>4.6399999999999997</v>
      </c>
      <c r="T122" s="23">
        <v>1.9999999999999601E-2</v>
      </c>
      <c r="U122" s="23">
        <v>-7.0000000000000001E-3</v>
      </c>
      <c r="V122" s="9">
        <f>SUM(P122:U122)</f>
        <v>10.083</v>
      </c>
      <c r="W122" s="9">
        <f>O122-V122</f>
        <v>6.9999999999996732E-3</v>
      </c>
    </row>
    <row r="123" spans="1:23" ht="15.6">
      <c r="A123" s="9">
        <v>5</v>
      </c>
      <c r="B123" s="23">
        <v>27</v>
      </c>
      <c r="C123" s="23" t="s">
        <v>80</v>
      </c>
      <c r="D123" s="23">
        <v>5.33</v>
      </c>
      <c r="E123" s="23">
        <v>0.17</v>
      </c>
      <c r="F123" s="23">
        <v>0.13</v>
      </c>
      <c r="G123" s="23">
        <v>5.63</v>
      </c>
      <c r="H123" s="23">
        <v>10.27</v>
      </c>
      <c r="I123" s="15">
        <v>4.6399999999999997</v>
      </c>
      <c r="J123" s="23">
        <v>10.29</v>
      </c>
      <c r="K123" s="23">
        <v>9.9999999999997903E-3</v>
      </c>
      <c r="L123" s="23">
        <v>0.01</v>
      </c>
      <c r="O123" s="15">
        <f>J123</f>
        <v>10.29</v>
      </c>
      <c r="P123" s="23">
        <v>5.33</v>
      </c>
      <c r="Q123" s="23">
        <v>0.17</v>
      </c>
      <c r="R123" s="23">
        <v>0.13</v>
      </c>
      <c r="S123" s="15">
        <v>4.6399999999999997</v>
      </c>
      <c r="T123" s="23">
        <v>9.9999999999997903E-3</v>
      </c>
      <c r="U123" s="23">
        <v>0.01</v>
      </c>
      <c r="V123" s="9">
        <f>SUM(P123:U123)</f>
        <v>10.29</v>
      </c>
      <c r="W123" s="9">
        <f>O123-V123</f>
        <v>0</v>
      </c>
    </row>
    <row r="124" spans="1:23" ht="15.6">
      <c r="A124" s="9">
        <v>5</v>
      </c>
      <c r="B124" s="23">
        <v>28</v>
      </c>
      <c r="C124" s="23" t="s">
        <v>81</v>
      </c>
      <c r="D124" s="23">
        <v>5.53</v>
      </c>
      <c r="E124" s="23">
        <v>0.03</v>
      </c>
      <c r="F124" s="23">
        <v>-0.02</v>
      </c>
      <c r="G124" s="23">
        <v>5.54</v>
      </c>
      <c r="H124" s="23">
        <v>10.18</v>
      </c>
      <c r="I124" s="15">
        <v>4.6399999999999997</v>
      </c>
      <c r="J124" s="23">
        <v>10.17</v>
      </c>
      <c r="K124" s="23">
        <v>-1.9999999999999601E-2</v>
      </c>
      <c r="L124" s="23">
        <v>0.01</v>
      </c>
      <c r="O124" s="15">
        <f>J124</f>
        <v>10.17</v>
      </c>
      <c r="P124" s="23">
        <v>5.53</v>
      </c>
      <c r="Q124" s="23">
        <v>0.03</v>
      </c>
      <c r="R124" s="23">
        <v>-0.02</v>
      </c>
      <c r="S124" s="15">
        <v>4.6399999999999997</v>
      </c>
      <c r="T124" s="23">
        <v>-1.9999999999999601E-2</v>
      </c>
      <c r="U124" s="23">
        <v>0.01</v>
      </c>
      <c r="V124" s="9">
        <f>SUM(P124:U124)</f>
        <v>10.17</v>
      </c>
      <c r="W124" s="9">
        <f>O124-V124</f>
        <v>0</v>
      </c>
    </row>
    <row r="125" spans="1:23" ht="15.6">
      <c r="A125" s="9">
        <v>5</v>
      </c>
      <c r="B125" s="23">
        <v>29</v>
      </c>
      <c r="C125" s="23" t="s">
        <v>82</v>
      </c>
      <c r="D125" s="23">
        <v>5.96</v>
      </c>
      <c r="E125" s="23">
        <v>-0.03</v>
      </c>
      <c r="F125" s="23">
        <v>-0.44</v>
      </c>
      <c r="G125" s="23">
        <v>5.49</v>
      </c>
      <c r="H125" s="23">
        <v>10.130000000000001</v>
      </c>
      <c r="I125" s="15">
        <v>4.6399999999999997</v>
      </c>
      <c r="J125" s="23">
        <v>10.14</v>
      </c>
      <c r="K125" s="23">
        <v>8.99999999999999E-2</v>
      </c>
      <c r="L125" s="23">
        <v>-7.6999999999999999E-2</v>
      </c>
      <c r="O125" s="15">
        <f>J125</f>
        <v>10.14</v>
      </c>
      <c r="P125" s="23">
        <v>5.96</v>
      </c>
      <c r="Q125" s="23">
        <v>-0.03</v>
      </c>
      <c r="R125" s="23">
        <v>-0.44</v>
      </c>
      <c r="S125" s="15">
        <v>4.6399999999999997</v>
      </c>
      <c r="T125" s="23">
        <v>8.99999999999999E-2</v>
      </c>
      <c r="U125" s="23">
        <v>-7.6999999999999999E-2</v>
      </c>
      <c r="V125" s="9">
        <f>SUM(P125:U125)</f>
        <v>10.142999999999999</v>
      </c>
      <c r="W125" s="9">
        <f>O125-V125</f>
        <v>-2.9999999999983373E-3</v>
      </c>
    </row>
    <row r="126" spans="1:23" ht="15.6">
      <c r="A126" s="9">
        <v>5</v>
      </c>
      <c r="B126" s="23">
        <v>30</v>
      </c>
      <c r="C126" s="23" t="s">
        <v>83</v>
      </c>
      <c r="D126" s="23">
        <v>5.95</v>
      </c>
      <c r="E126" s="23">
        <v>-0.05</v>
      </c>
      <c r="F126" s="23">
        <v>-0.5</v>
      </c>
      <c r="G126" s="23">
        <v>5.4</v>
      </c>
      <c r="H126" s="23">
        <v>10.039999999999999</v>
      </c>
      <c r="I126" s="15">
        <v>4.6399999999999997</v>
      </c>
      <c r="J126" s="23">
        <v>9.94</v>
      </c>
      <c r="K126" s="23">
        <v>-8.99999999999999E-2</v>
      </c>
      <c r="L126" s="23">
        <v>-2E-3</v>
      </c>
      <c r="O126" s="15">
        <f>J126</f>
        <v>9.94</v>
      </c>
      <c r="P126" s="23">
        <v>5.95</v>
      </c>
      <c r="Q126" s="23">
        <v>-0.05</v>
      </c>
      <c r="R126" s="23">
        <v>-0.5</v>
      </c>
      <c r="S126" s="15">
        <v>4.6399999999999997</v>
      </c>
      <c r="T126" s="23">
        <v>-8.99999999999999E-2</v>
      </c>
      <c r="U126" s="23">
        <v>-2E-3</v>
      </c>
      <c r="V126" s="9">
        <f>SUM(P126:U126)</f>
        <v>9.9479999999999986</v>
      </c>
      <c r="W126" s="9">
        <f>O126-V126</f>
        <v>-7.9999999999991189E-3</v>
      </c>
    </row>
    <row r="127" spans="1:23" ht="15.6">
      <c r="A127" s="9">
        <v>5</v>
      </c>
      <c r="B127" s="23">
        <v>31</v>
      </c>
      <c r="C127" s="23" t="s">
        <v>84</v>
      </c>
      <c r="D127" s="23">
        <v>6.09</v>
      </c>
      <c r="E127" s="23">
        <v>-0.16</v>
      </c>
      <c r="F127" s="23">
        <v>-0.67</v>
      </c>
      <c r="G127" s="23">
        <v>5.26</v>
      </c>
      <c r="H127" s="23">
        <v>9.9</v>
      </c>
      <c r="I127" s="15">
        <v>4.6399999999999997</v>
      </c>
      <c r="J127" s="23">
        <v>9.82</v>
      </c>
      <c r="K127" s="23">
        <v>-7.0000000000000298E-2</v>
      </c>
      <c r="L127" s="23">
        <v>-1.7999999999999999E-2</v>
      </c>
      <c r="O127" s="15">
        <f>J127</f>
        <v>9.82</v>
      </c>
      <c r="P127" s="23">
        <v>6.09</v>
      </c>
      <c r="Q127" s="23">
        <v>-0.16</v>
      </c>
      <c r="R127" s="23">
        <v>-0.67</v>
      </c>
      <c r="S127" s="15">
        <v>4.6399999999999997</v>
      </c>
      <c r="T127" s="23">
        <v>-7.0000000000000298E-2</v>
      </c>
      <c r="U127" s="23">
        <v>-1.7999999999999999E-2</v>
      </c>
      <c r="V127" s="9">
        <f>SUM(P127:U127)</f>
        <v>9.8119999999999976</v>
      </c>
      <c r="W127" s="9">
        <f>O127-V127</f>
        <v>8.0000000000026716E-3</v>
      </c>
    </row>
    <row r="128" spans="1:23" ht="15.6">
      <c r="A128" s="9">
        <v>5</v>
      </c>
      <c r="B128" s="23">
        <v>32</v>
      </c>
      <c r="C128" s="23" t="s">
        <v>85</v>
      </c>
      <c r="D128" s="23">
        <v>6.4</v>
      </c>
      <c r="E128" s="23">
        <v>-0.31</v>
      </c>
      <c r="F128" s="23">
        <v>-0.55000000000000004</v>
      </c>
      <c r="G128" s="23">
        <v>5.54</v>
      </c>
      <c r="H128" s="23">
        <v>10.18</v>
      </c>
      <c r="I128" s="15">
        <v>4.6399999999999997</v>
      </c>
      <c r="J128" s="23">
        <v>10.26</v>
      </c>
      <c r="K128" s="23">
        <v>7.0000000000000298E-2</v>
      </c>
      <c r="L128" s="23">
        <v>0.01</v>
      </c>
      <c r="O128" s="15">
        <f>J128</f>
        <v>10.26</v>
      </c>
      <c r="P128" s="23">
        <v>6.4</v>
      </c>
      <c r="Q128" s="23">
        <v>-0.31</v>
      </c>
      <c r="R128" s="23">
        <v>-0.55000000000000004</v>
      </c>
      <c r="S128" s="15">
        <v>4.6399999999999997</v>
      </c>
      <c r="T128" s="23">
        <v>7.0000000000000298E-2</v>
      </c>
      <c r="U128" s="23">
        <v>0.01</v>
      </c>
      <c r="V128" s="9">
        <f>SUM(P128:U128)</f>
        <v>10.26</v>
      </c>
      <c r="W128" s="9">
        <f>O128-V128</f>
        <v>0</v>
      </c>
    </row>
    <row r="129" spans="1:23" ht="15.6">
      <c r="A129" s="9">
        <v>5</v>
      </c>
      <c r="B129" s="23">
        <v>33</v>
      </c>
      <c r="C129" s="23" t="s">
        <v>86</v>
      </c>
      <c r="D129" s="23">
        <v>5.61</v>
      </c>
      <c r="E129" s="23">
        <v>7.0000000000000007E-2</v>
      </c>
      <c r="F129" s="23">
        <v>-0.18</v>
      </c>
      <c r="G129" s="23">
        <v>5.5</v>
      </c>
      <c r="H129" s="23">
        <v>10.14</v>
      </c>
      <c r="I129" s="15">
        <v>4.6399999999999997</v>
      </c>
      <c r="J129" s="23">
        <v>10.07</v>
      </c>
      <c r="K129" s="23">
        <v>-8.0000000000000099E-2</v>
      </c>
      <c r="L129" s="23">
        <v>0.01</v>
      </c>
      <c r="O129" s="15">
        <f>J129</f>
        <v>10.07</v>
      </c>
      <c r="P129" s="23">
        <v>5.61</v>
      </c>
      <c r="Q129" s="23">
        <v>7.0000000000000007E-2</v>
      </c>
      <c r="R129" s="23">
        <v>-0.18</v>
      </c>
      <c r="S129" s="15">
        <v>4.6399999999999997</v>
      </c>
      <c r="T129" s="23">
        <v>-8.0000000000000099E-2</v>
      </c>
      <c r="U129" s="23">
        <v>0.01</v>
      </c>
      <c r="V129" s="9">
        <f>SUM(P129:U129)</f>
        <v>10.07</v>
      </c>
      <c r="W129" s="9">
        <f>O129-V129</f>
        <v>0</v>
      </c>
    </row>
    <row r="130" spans="1:23" ht="15.6">
      <c r="A130" s="9">
        <v>5</v>
      </c>
      <c r="B130" s="23">
        <v>34</v>
      </c>
      <c r="C130" s="23" t="s">
        <v>88</v>
      </c>
      <c r="D130" s="23">
        <v>5.43</v>
      </c>
      <c r="E130" s="23">
        <v>0.04</v>
      </c>
      <c r="F130" s="23">
        <v>-0.14000000000000001</v>
      </c>
      <c r="G130" s="23">
        <v>5.34</v>
      </c>
      <c r="H130" s="23">
        <v>9.98</v>
      </c>
      <c r="I130" s="15">
        <v>4.6399999999999997</v>
      </c>
      <c r="J130" s="23">
        <v>9.92</v>
      </c>
      <c r="K130" s="23">
        <v>-6.0000000000000497E-2</v>
      </c>
      <c r="L130" s="23">
        <v>0.01</v>
      </c>
      <c r="O130" s="15">
        <f>J130</f>
        <v>9.92</v>
      </c>
      <c r="P130" s="23">
        <v>5.43</v>
      </c>
      <c r="Q130" s="23">
        <v>0.04</v>
      </c>
      <c r="R130" s="23">
        <v>-0.14000000000000001</v>
      </c>
      <c r="S130" s="15">
        <v>4.6399999999999997</v>
      </c>
      <c r="T130" s="23">
        <v>-6.0000000000000497E-2</v>
      </c>
      <c r="U130" s="23">
        <v>0.01</v>
      </c>
      <c r="V130" s="9">
        <f>SUM(P130:U130)</f>
        <v>9.9199999999999982</v>
      </c>
      <c r="W130" s="9">
        <f>O130-V130</f>
        <v>0</v>
      </c>
    </row>
    <row r="131" spans="1:23" ht="15.6">
      <c r="A131" s="9">
        <v>5</v>
      </c>
      <c r="B131" s="23">
        <v>35</v>
      </c>
      <c r="C131" s="23" t="s">
        <v>89</v>
      </c>
      <c r="D131" s="23">
        <v>5.73</v>
      </c>
      <c r="E131" s="23">
        <v>-0.19</v>
      </c>
      <c r="F131" s="23">
        <v>-0.1</v>
      </c>
      <c r="G131" s="23">
        <v>5.44</v>
      </c>
      <c r="H131" s="23">
        <v>10.08</v>
      </c>
      <c r="I131" s="15">
        <v>4.6399999999999997</v>
      </c>
      <c r="J131" s="23">
        <v>9.9600000000000009</v>
      </c>
      <c r="K131" s="23">
        <v>-0.130000000000001</v>
      </c>
      <c r="L131" s="23">
        <v>0.01</v>
      </c>
      <c r="O131" s="15">
        <f>J131</f>
        <v>9.9600000000000009</v>
      </c>
      <c r="P131" s="23">
        <v>5.73</v>
      </c>
      <c r="Q131" s="23">
        <v>-0.19</v>
      </c>
      <c r="R131" s="23">
        <v>-0.1</v>
      </c>
      <c r="S131" s="15">
        <v>4.6399999999999997</v>
      </c>
      <c r="T131" s="23">
        <v>-0.130000000000001</v>
      </c>
      <c r="U131" s="23">
        <v>0.01</v>
      </c>
      <c r="V131" s="9">
        <f>SUM(P131:U131)</f>
        <v>9.9599999999999991</v>
      </c>
      <c r="W131" s="9">
        <f>O131-V131</f>
        <v>0</v>
      </c>
    </row>
    <row r="132" spans="1:23" ht="15.6">
      <c r="A132" s="9">
        <v>5</v>
      </c>
      <c r="B132" s="23">
        <v>36</v>
      </c>
      <c r="C132" s="23" t="s">
        <v>90</v>
      </c>
      <c r="D132" s="23">
        <v>6.11</v>
      </c>
      <c r="E132" s="23">
        <v>-0.12</v>
      </c>
      <c r="F132" s="23">
        <v>-0.35</v>
      </c>
      <c r="G132" s="23">
        <v>5.64</v>
      </c>
      <c r="H132" s="23">
        <v>10.28</v>
      </c>
      <c r="I132" s="15">
        <v>4.6399999999999997</v>
      </c>
      <c r="J132" s="23">
        <v>10.25</v>
      </c>
      <c r="K132" s="23">
        <v>-3.9999999999999203E-2</v>
      </c>
      <c r="L132" s="23">
        <v>0.01</v>
      </c>
      <c r="O132" s="15">
        <f>J132</f>
        <v>10.25</v>
      </c>
      <c r="P132" s="23">
        <v>6.11</v>
      </c>
      <c r="Q132" s="23">
        <v>-0.12</v>
      </c>
      <c r="R132" s="23">
        <v>-0.35</v>
      </c>
      <c r="S132" s="15">
        <v>4.6399999999999997</v>
      </c>
      <c r="T132" s="23">
        <v>-3.9999999999999203E-2</v>
      </c>
      <c r="U132" s="23">
        <v>0.01</v>
      </c>
      <c r="V132" s="9">
        <f>SUM(P132:U132)</f>
        <v>10.250000000000002</v>
      </c>
      <c r="W132" s="9">
        <f>O132-V132</f>
        <v>0</v>
      </c>
    </row>
    <row r="133" spans="1:23" ht="15.6">
      <c r="A133" s="9">
        <v>5</v>
      </c>
      <c r="B133" s="23">
        <v>37</v>
      </c>
      <c r="C133" s="23" t="s">
        <v>91</v>
      </c>
      <c r="D133" s="23">
        <v>6.05</v>
      </c>
      <c r="E133" s="23">
        <v>-7.0000000000000007E-2</v>
      </c>
      <c r="F133" s="23">
        <v>-0.33</v>
      </c>
      <c r="G133" s="23">
        <v>5.65</v>
      </c>
      <c r="H133" s="23">
        <v>10.3</v>
      </c>
      <c r="I133" s="15">
        <v>4.6399999999999997</v>
      </c>
      <c r="J133" s="23">
        <v>10.23</v>
      </c>
      <c r="K133" s="23">
        <v>-4.0000000000000903E-2</v>
      </c>
      <c r="L133" s="23">
        <v>-2.1000000000000001E-2</v>
      </c>
      <c r="O133" s="15">
        <f>J133</f>
        <v>10.23</v>
      </c>
      <c r="P133" s="23">
        <v>6.05</v>
      </c>
      <c r="Q133" s="23">
        <v>-7.0000000000000007E-2</v>
      </c>
      <c r="R133" s="23">
        <v>-0.33</v>
      </c>
      <c r="S133" s="15">
        <v>4.6399999999999997</v>
      </c>
      <c r="T133" s="23">
        <v>-4.0000000000000903E-2</v>
      </c>
      <c r="U133" s="23">
        <v>-2.1000000000000001E-2</v>
      </c>
      <c r="V133" s="9">
        <f>SUM(P133:U133)</f>
        <v>10.228999999999997</v>
      </c>
      <c r="W133" s="9">
        <f>O133-V133</f>
        <v>1.0000000000029985E-3</v>
      </c>
    </row>
    <row r="134" spans="1:23" ht="15.6">
      <c r="A134" s="9">
        <v>5</v>
      </c>
      <c r="B134" s="23">
        <v>38</v>
      </c>
      <c r="C134" s="23" t="s">
        <v>92</v>
      </c>
      <c r="D134" s="23">
        <v>5.87</v>
      </c>
      <c r="E134" s="23">
        <v>0.02</v>
      </c>
      <c r="F134" s="23">
        <v>-0.45</v>
      </c>
      <c r="G134" s="23">
        <v>5.44</v>
      </c>
      <c r="H134" s="23">
        <v>10.08</v>
      </c>
      <c r="I134" s="15">
        <v>4.6399999999999997</v>
      </c>
      <c r="J134" s="23">
        <v>10.01</v>
      </c>
      <c r="K134" s="23">
        <v>-8.0000000000000099E-2</v>
      </c>
      <c r="L134" s="23">
        <v>0.01</v>
      </c>
      <c r="O134" s="15">
        <f>J134</f>
        <v>10.01</v>
      </c>
      <c r="P134" s="23">
        <v>5.87</v>
      </c>
      <c r="Q134" s="23">
        <v>0.02</v>
      </c>
      <c r="R134" s="23">
        <v>-0.45</v>
      </c>
      <c r="S134" s="15">
        <v>4.6399999999999997</v>
      </c>
      <c r="T134" s="23">
        <v>-8.0000000000000099E-2</v>
      </c>
      <c r="U134" s="23">
        <v>0.01</v>
      </c>
      <c r="V134" s="9">
        <f>SUM(P134:U134)</f>
        <v>10.009999999999998</v>
      </c>
      <c r="W134" s="9">
        <f>O134-V134</f>
        <v>0</v>
      </c>
    </row>
    <row r="135" spans="1:23" ht="15.6">
      <c r="A135" s="9">
        <v>5</v>
      </c>
      <c r="B135" s="23">
        <v>39</v>
      </c>
      <c r="C135" s="23" t="s">
        <v>93</v>
      </c>
      <c r="D135" s="23">
        <v>6.05</v>
      </c>
      <c r="E135" s="23">
        <v>-0.16</v>
      </c>
      <c r="F135" s="23">
        <v>-0.38</v>
      </c>
      <c r="G135" s="23">
        <v>5.51</v>
      </c>
      <c r="H135" s="23">
        <v>10.15</v>
      </c>
      <c r="I135" s="15">
        <v>4.6399999999999997</v>
      </c>
      <c r="J135" s="23">
        <v>10.1</v>
      </c>
      <c r="K135" s="23">
        <v>-6.0000000000000497E-2</v>
      </c>
      <c r="L135" s="23">
        <v>0.01</v>
      </c>
      <c r="O135" s="15">
        <f>J135</f>
        <v>10.1</v>
      </c>
      <c r="P135" s="23">
        <v>6.05</v>
      </c>
      <c r="Q135" s="23">
        <v>-0.16</v>
      </c>
      <c r="R135" s="23">
        <v>-0.38</v>
      </c>
      <c r="S135" s="15">
        <v>4.6399999999999997</v>
      </c>
      <c r="T135" s="23">
        <v>-6.0000000000000497E-2</v>
      </c>
      <c r="U135" s="23">
        <v>0.01</v>
      </c>
      <c r="V135" s="9">
        <f>SUM(P135:U135)</f>
        <v>10.099999999999998</v>
      </c>
      <c r="W135" s="9">
        <f>O135-V135</f>
        <v>0</v>
      </c>
    </row>
    <row r="136" spans="1:23" ht="15.6">
      <c r="A136" s="9">
        <v>5</v>
      </c>
      <c r="B136" s="23">
        <v>40</v>
      </c>
      <c r="C136" s="23" t="s">
        <v>94</v>
      </c>
      <c r="D136" s="23">
        <v>5.91</v>
      </c>
      <c r="E136" s="23">
        <v>0.05</v>
      </c>
      <c r="F136" s="23">
        <v>-0.28999999999999998</v>
      </c>
      <c r="G136" s="23">
        <v>5.67</v>
      </c>
      <c r="H136" s="23">
        <v>10.31</v>
      </c>
      <c r="I136" s="15">
        <v>4.6399999999999997</v>
      </c>
      <c r="J136" s="23">
        <v>10.36</v>
      </c>
      <c r="K136" s="23">
        <v>3.9999999999999203E-2</v>
      </c>
      <c r="L136" s="23">
        <v>0.01</v>
      </c>
      <c r="O136" s="15">
        <f>J136</f>
        <v>10.36</v>
      </c>
      <c r="P136" s="23">
        <v>5.91</v>
      </c>
      <c r="Q136" s="23">
        <v>0.05</v>
      </c>
      <c r="R136" s="23">
        <v>-0.28999999999999998</v>
      </c>
      <c r="S136" s="15">
        <v>4.6399999999999997</v>
      </c>
      <c r="T136" s="23">
        <v>3.9999999999999203E-2</v>
      </c>
      <c r="U136" s="23">
        <v>0.01</v>
      </c>
      <c r="V136" s="9">
        <f>SUM(P136:U136)</f>
        <v>10.359999999999998</v>
      </c>
      <c r="W136" s="9">
        <f>O136-V136</f>
        <v>0</v>
      </c>
    </row>
    <row r="137" spans="1:23" ht="15.6">
      <c r="A137" s="9">
        <v>5</v>
      </c>
      <c r="B137" s="23">
        <v>41</v>
      </c>
      <c r="C137" s="23" t="s">
        <v>95</v>
      </c>
      <c r="D137" s="23">
        <v>6.92</v>
      </c>
      <c r="E137" s="23">
        <v>-0.2</v>
      </c>
      <c r="F137" s="23">
        <v>-0.71</v>
      </c>
      <c r="G137" s="23">
        <v>6.01</v>
      </c>
      <c r="H137" s="23">
        <v>10.65</v>
      </c>
      <c r="I137" s="15">
        <v>4.6399999999999997</v>
      </c>
      <c r="J137" s="23">
        <v>10.51</v>
      </c>
      <c r="K137" s="23">
        <v>-0.110000000000001</v>
      </c>
      <c r="L137" s="23">
        <v>-2.3E-2</v>
      </c>
      <c r="O137" s="15">
        <f>J137</f>
        <v>10.51</v>
      </c>
      <c r="P137" s="23">
        <v>6.92</v>
      </c>
      <c r="Q137" s="23">
        <v>-0.2</v>
      </c>
      <c r="R137" s="23">
        <v>-0.71</v>
      </c>
      <c r="S137" s="15">
        <v>4.6399999999999997</v>
      </c>
      <c r="T137" s="23">
        <v>-0.110000000000001</v>
      </c>
      <c r="U137" s="23">
        <v>-2.3E-2</v>
      </c>
      <c r="V137" s="9">
        <f>SUM(P137:U137)</f>
        <v>10.516999999999998</v>
      </c>
      <c r="W137" s="9">
        <f>O137-V137</f>
        <v>-6.9999999999978968E-3</v>
      </c>
    </row>
    <row r="138" spans="1:23" ht="15.6">
      <c r="A138" s="9">
        <v>5</v>
      </c>
      <c r="B138" s="23">
        <v>42</v>
      </c>
      <c r="C138" s="23" t="s">
        <v>96</v>
      </c>
      <c r="D138" s="23">
        <v>6.6</v>
      </c>
      <c r="E138" s="23">
        <v>-0.23</v>
      </c>
      <c r="F138" s="23">
        <v>-0.77</v>
      </c>
      <c r="G138" s="23">
        <v>5.61</v>
      </c>
      <c r="H138" s="23">
        <v>10.25</v>
      </c>
      <c r="I138" s="15">
        <v>4.6399999999999997</v>
      </c>
      <c r="J138" s="23">
        <v>10.210000000000001</v>
      </c>
      <c r="K138" s="23">
        <v>-3.9999999999999203E-2</v>
      </c>
      <c r="L138" s="23">
        <v>2E-3</v>
      </c>
      <c r="O138" s="15">
        <f>J138</f>
        <v>10.210000000000001</v>
      </c>
      <c r="P138" s="23">
        <v>6.6</v>
      </c>
      <c r="Q138" s="23">
        <v>-0.23</v>
      </c>
      <c r="R138" s="23">
        <v>-0.77</v>
      </c>
      <c r="S138" s="15">
        <v>4.6399999999999997</v>
      </c>
      <c r="T138" s="23">
        <v>-3.9999999999999203E-2</v>
      </c>
      <c r="U138" s="23">
        <v>2E-3</v>
      </c>
      <c r="V138" s="9">
        <f>SUM(P138:U138)</f>
        <v>10.202</v>
      </c>
      <c r="W138" s="9">
        <f>O138-V138</f>
        <v>8.0000000000008953E-3</v>
      </c>
    </row>
    <row r="139" spans="1:23" ht="15.6">
      <c r="A139" s="9">
        <v>5</v>
      </c>
      <c r="B139" s="23">
        <v>43</v>
      </c>
      <c r="C139" s="23" t="s">
        <v>97</v>
      </c>
      <c r="D139" s="23">
        <v>6.4</v>
      </c>
      <c r="E139" s="23">
        <v>-0.08</v>
      </c>
      <c r="F139" s="23">
        <v>-0.62</v>
      </c>
      <c r="G139" s="23">
        <v>5.69</v>
      </c>
      <c r="H139" s="23">
        <v>10.33</v>
      </c>
      <c r="I139" s="15">
        <v>4.6399999999999997</v>
      </c>
      <c r="J139" s="23">
        <v>10.32</v>
      </c>
      <c r="K139" s="23">
        <v>2.9999999999999399E-2</v>
      </c>
      <c r="L139" s="23">
        <v>-4.7E-2</v>
      </c>
      <c r="O139" s="15">
        <f>J139</f>
        <v>10.32</v>
      </c>
      <c r="P139" s="23">
        <v>6.4</v>
      </c>
      <c r="Q139" s="23">
        <v>-0.08</v>
      </c>
      <c r="R139" s="23">
        <v>-0.62</v>
      </c>
      <c r="S139" s="15">
        <v>4.6399999999999997</v>
      </c>
      <c r="T139" s="23">
        <v>2.9999999999999399E-2</v>
      </c>
      <c r="U139" s="23">
        <v>-4.7E-2</v>
      </c>
      <c r="V139" s="9">
        <f>SUM(P139:U139)</f>
        <v>10.322999999999999</v>
      </c>
      <c r="W139" s="9">
        <f>O139-V139</f>
        <v>-2.9999999999983373E-3</v>
      </c>
    </row>
    <row r="140" spans="1:23" ht="15.6">
      <c r="A140" s="9">
        <v>5</v>
      </c>
      <c r="B140" s="23">
        <v>44</v>
      </c>
      <c r="C140" s="23" t="s">
        <v>98</v>
      </c>
      <c r="D140" s="23">
        <v>6.43</v>
      </c>
      <c r="E140" s="23">
        <v>-0.22</v>
      </c>
      <c r="F140" s="23">
        <v>-0.6</v>
      </c>
      <c r="G140" s="23">
        <v>5.61</v>
      </c>
      <c r="H140" s="23">
        <v>10.25</v>
      </c>
      <c r="I140" s="15">
        <v>4.6399999999999997</v>
      </c>
      <c r="J140" s="23">
        <v>10.199999999999999</v>
      </c>
      <c r="K140" s="23">
        <v>-2.9999999999999399E-2</v>
      </c>
      <c r="L140" s="23">
        <v>-1.9E-2</v>
      </c>
      <c r="O140" s="15">
        <f>J140</f>
        <v>10.199999999999999</v>
      </c>
      <c r="P140" s="23">
        <v>6.43</v>
      </c>
      <c r="Q140" s="23">
        <v>-0.22</v>
      </c>
      <c r="R140" s="23">
        <v>-0.6</v>
      </c>
      <c r="S140" s="15">
        <v>4.6399999999999997</v>
      </c>
      <c r="T140" s="23">
        <v>-2.9999999999999399E-2</v>
      </c>
      <c r="U140" s="23">
        <v>-1.9E-2</v>
      </c>
      <c r="V140" s="9">
        <f>SUM(P140:U140)</f>
        <v>10.201000000000001</v>
      </c>
      <c r="W140" s="9">
        <f>O140-V140</f>
        <v>-1.0000000000012221E-3</v>
      </c>
    </row>
    <row r="141" spans="1:23" ht="15.6">
      <c r="A141" s="9">
        <v>5</v>
      </c>
      <c r="B141" s="23">
        <v>45</v>
      </c>
      <c r="C141" s="23" t="s">
        <v>99</v>
      </c>
      <c r="D141" s="23">
        <v>6.05</v>
      </c>
      <c r="E141" s="23">
        <v>-0.1</v>
      </c>
      <c r="F141" s="23">
        <v>-0.75</v>
      </c>
      <c r="G141" s="23">
        <v>5.2</v>
      </c>
      <c r="H141" s="23">
        <v>9.84</v>
      </c>
      <c r="I141" s="15">
        <v>4.6399999999999997</v>
      </c>
      <c r="J141" s="23">
        <v>9.76</v>
      </c>
      <c r="K141" s="23">
        <v>-8.0000000000000099E-2</v>
      </c>
      <c r="L141" s="23">
        <v>-3.0000000000000001E-3</v>
      </c>
      <c r="O141" s="15">
        <f>J141</f>
        <v>9.76</v>
      </c>
      <c r="P141" s="23">
        <v>6.05</v>
      </c>
      <c r="Q141" s="23">
        <v>-0.1</v>
      </c>
      <c r="R141" s="23">
        <v>-0.75</v>
      </c>
      <c r="S141" s="15">
        <v>4.6399999999999997</v>
      </c>
      <c r="T141" s="23">
        <v>-8.0000000000000099E-2</v>
      </c>
      <c r="U141" s="23">
        <v>-3.0000000000000001E-3</v>
      </c>
      <c r="V141" s="9">
        <f>SUM(P141:U141)</f>
        <v>9.7569999999999997</v>
      </c>
      <c r="W141" s="9">
        <f>O141-V141</f>
        <v>3.0000000000001137E-3</v>
      </c>
    </row>
    <row r="142" spans="1:23" ht="15.6">
      <c r="A142" s="9">
        <v>5</v>
      </c>
      <c r="B142" s="23">
        <v>46</v>
      </c>
      <c r="C142" s="23" t="s">
        <v>100</v>
      </c>
      <c r="D142" s="23">
        <v>6.59</v>
      </c>
      <c r="E142" s="23">
        <v>-0.06</v>
      </c>
      <c r="F142" s="23">
        <v>-0.88</v>
      </c>
      <c r="G142" s="23">
        <v>5.66</v>
      </c>
      <c r="H142" s="23">
        <v>10.3</v>
      </c>
      <c r="I142" s="15">
        <v>4.6399999999999997</v>
      </c>
      <c r="J142" s="23">
        <v>10.26</v>
      </c>
      <c r="K142" s="23">
        <v>1.9999999999999601E-2</v>
      </c>
      <c r="L142" s="23">
        <v>-5.6000000000000001E-2</v>
      </c>
      <c r="O142" s="15">
        <f>J142</f>
        <v>10.26</v>
      </c>
      <c r="P142" s="23">
        <v>6.59</v>
      </c>
      <c r="Q142" s="23">
        <v>-0.06</v>
      </c>
      <c r="R142" s="23">
        <v>-0.88</v>
      </c>
      <c r="S142" s="15">
        <v>4.6399999999999997</v>
      </c>
      <c r="T142" s="23">
        <v>1.9999999999999601E-2</v>
      </c>
      <c r="U142" s="23">
        <v>-5.6000000000000001E-2</v>
      </c>
      <c r="V142" s="9">
        <f>SUM(P142:U142)</f>
        <v>10.254</v>
      </c>
      <c r="W142" s="9">
        <f>O142-V142</f>
        <v>6.0000000000002274E-3</v>
      </c>
    </row>
    <row r="143" spans="1:23" ht="15.6">
      <c r="A143" s="9">
        <v>5</v>
      </c>
      <c r="B143" s="23">
        <v>47</v>
      </c>
      <c r="C143" s="23" t="s">
        <v>101</v>
      </c>
      <c r="D143" s="23">
        <v>6.64</v>
      </c>
      <c r="E143" s="23">
        <v>0.25</v>
      </c>
      <c r="F143" s="23">
        <v>-1.59</v>
      </c>
      <c r="G143" s="23">
        <v>5.3</v>
      </c>
      <c r="H143" s="23">
        <v>9.94</v>
      </c>
      <c r="I143" s="15">
        <v>4.6399999999999997</v>
      </c>
      <c r="J143" s="23">
        <v>9.89</v>
      </c>
      <c r="K143" s="23">
        <v>-3.9999999999999203E-2</v>
      </c>
      <c r="L143" s="23">
        <v>-1.0999999999999999E-2</v>
      </c>
      <c r="O143" s="15">
        <f>J143</f>
        <v>9.89</v>
      </c>
      <c r="P143" s="23">
        <v>6.64</v>
      </c>
      <c r="Q143" s="23">
        <v>0.25</v>
      </c>
      <c r="R143" s="23">
        <v>-1.59</v>
      </c>
      <c r="S143" s="15">
        <v>4.6399999999999997</v>
      </c>
      <c r="T143" s="23">
        <v>-3.9999999999999203E-2</v>
      </c>
      <c r="U143" s="23">
        <v>-1.0999999999999999E-2</v>
      </c>
      <c r="V143" s="9">
        <f>SUM(P143:U143)</f>
        <v>9.8890000000000011</v>
      </c>
      <c r="W143" s="9">
        <f>O143-V143</f>
        <v>9.9999999999944578E-4</v>
      </c>
    </row>
    <row r="144" spans="1:23" ht="15.6">
      <c r="A144" s="9">
        <v>6</v>
      </c>
      <c r="B144" s="23">
        <v>1</v>
      </c>
      <c r="C144" s="23" t="s">
        <v>33</v>
      </c>
      <c r="D144" s="23">
        <v>6.26</v>
      </c>
      <c r="E144" s="23">
        <v>-0.31</v>
      </c>
      <c r="F144" s="23">
        <v>-0.25</v>
      </c>
      <c r="G144" s="23">
        <v>5.7</v>
      </c>
      <c r="H144" s="23">
        <v>10.3</v>
      </c>
      <c r="I144" s="15">
        <v>4.5999999999999996</v>
      </c>
      <c r="J144" s="23">
        <v>10.210000000000001</v>
      </c>
      <c r="K144" s="23">
        <v>-0.100000000000001</v>
      </c>
      <c r="L144" s="23">
        <v>0.01</v>
      </c>
      <c r="O144" s="15">
        <f>J144</f>
        <v>10.210000000000001</v>
      </c>
      <c r="P144" s="23">
        <v>6.26</v>
      </c>
      <c r="Q144" s="23">
        <v>-0.31</v>
      </c>
      <c r="R144" s="23">
        <v>-0.25</v>
      </c>
      <c r="S144" s="15">
        <v>4.5999999999999996</v>
      </c>
      <c r="T144" s="23">
        <v>-0.100000000000001</v>
      </c>
      <c r="U144" s="23">
        <v>0.01</v>
      </c>
      <c r="V144" s="9">
        <f>SUM(P144:U144)</f>
        <v>10.209999999999999</v>
      </c>
      <c r="W144" s="9">
        <f>O144-V144</f>
        <v>0</v>
      </c>
    </row>
    <row r="145" spans="1:23" ht="15.6">
      <c r="A145" s="9">
        <v>6</v>
      </c>
      <c r="B145" s="23">
        <v>2</v>
      </c>
      <c r="C145" s="23" t="s">
        <v>36</v>
      </c>
      <c r="D145" s="23">
        <v>6.26</v>
      </c>
      <c r="E145" s="23">
        <v>-0.32</v>
      </c>
      <c r="F145" s="23">
        <v>-0.81</v>
      </c>
      <c r="G145" s="23">
        <v>5.13</v>
      </c>
      <c r="H145" s="23">
        <v>9.73</v>
      </c>
      <c r="I145" s="15">
        <v>4.5999999999999996</v>
      </c>
      <c r="J145" s="23">
        <v>9.49</v>
      </c>
      <c r="K145" s="23">
        <v>-0.25</v>
      </c>
      <c r="L145" s="23">
        <v>0.01</v>
      </c>
      <c r="O145" s="15">
        <f>J145</f>
        <v>9.49</v>
      </c>
      <c r="P145" s="23">
        <v>6.26</v>
      </c>
      <c r="Q145" s="23">
        <v>-0.32</v>
      </c>
      <c r="R145" s="23">
        <v>-0.81</v>
      </c>
      <c r="S145" s="15">
        <v>4.5999999999999996</v>
      </c>
      <c r="T145" s="23">
        <v>-0.25</v>
      </c>
      <c r="U145" s="23">
        <v>0.01</v>
      </c>
      <c r="V145" s="9">
        <f>SUM(P145:U145)</f>
        <v>9.4899999999999984</v>
      </c>
      <c r="W145" s="9">
        <f>O145-V145</f>
        <v>0</v>
      </c>
    </row>
    <row r="146" spans="1:23" ht="15.6">
      <c r="A146" s="9">
        <v>6</v>
      </c>
      <c r="B146" s="23">
        <v>3</v>
      </c>
      <c r="C146" s="23" t="s">
        <v>37</v>
      </c>
      <c r="D146" s="23">
        <v>6.04</v>
      </c>
      <c r="E146" s="23">
        <v>-0.32</v>
      </c>
      <c r="F146" s="23">
        <v>-0.6</v>
      </c>
      <c r="G146" s="23">
        <v>5.12</v>
      </c>
      <c r="H146" s="23">
        <v>9.7200000000000006</v>
      </c>
      <c r="I146" s="15">
        <v>4.5999999999999996</v>
      </c>
      <c r="J146" s="23">
        <v>9.6300000000000008</v>
      </c>
      <c r="K146" s="23">
        <v>-0.100000000000001</v>
      </c>
      <c r="L146" s="23">
        <v>0.01</v>
      </c>
      <c r="O146" s="15">
        <f>J146</f>
        <v>9.6300000000000008</v>
      </c>
      <c r="P146" s="23">
        <v>6.04</v>
      </c>
      <c r="Q146" s="23">
        <v>-0.32</v>
      </c>
      <c r="R146" s="23">
        <v>-0.6</v>
      </c>
      <c r="S146" s="15">
        <v>4.5999999999999996</v>
      </c>
      <c r="T146" s="23">
        <v>-0.100000000000001</v>
      </c>
      <c r="U146" s="23">
        <v>0.01</v>
      </c>
      <c r="V146" s="9">
        <f>SUM(P146:U146)</f>
        <v>9.6299999999999972</v>
      </c>
      <c r="W146" s="9">
        <f>O146-V146</f>
        <v>0</v>
      </c>
    </row>
    <row r="147" spans="1:23" ht="15.6">
      <c r="A147" s="9">
        <v>6</v>
      </c>
      <c r="B147" s="23">
        <v>4</v>
      </c>
      <c r="C147" s="23" t="s">
        <v>39</v>
      </c>
      <c r="D147" s="23">
        <v>5.98</v>
      </c>
      <c r="E147" s="23">
        <v>-0.17</v>
      </c>
      <c r="F147" s="23">
        <v>-0.34</v>
      </c>
      <c r="G147" s="23">
        <v>5.46</v>
      </c>
      <c r="H147" s="23">
        <v>10.07</v>
      </c>
      <c r="I147" s="15">
        <v>4.5999999999999996</v>
      </c>
      <c r="J147" s="23">
        <v>10.01</v>
      </c>
      <c r="K147" s="23">
        <v>-7.0000000000000298E-2</v>
      </c>
      <c r="L147" s="23">
        <v>0.01</v>
      </c>
      <c r="O147" s="15">
        <f>J147</f>
        <v>10.01</v>
      </c>
      <c r="P147" s="23">
        <v>5.98</v>
      </c>
      <c r="Q147" s="23">
        <v>-0.17</v>
      </c>
      <c r="R147" s="23">
        <v>-0.34</v>
      </c>
      <c r="S147" s="15">
        <v>4.5999999999999996</v>
      </c>
      <c r="T147" s="23">
        <v>-7.0000000000000298E-2</v>
      </c>
      <c r="U147" s="23">
        <v>0.01</v>
      </c>
      <c r="V147" s="9">
        <f>SUM(P147:U147)</f>
        <v>10.01</v>
      </c>
      <c r="W147" s="9">
        <f>O147-V147</f>
        <v>0</v>
      </c>
    </row>
    <row r="148" spans="1:23" ht="15.6">
      <c r="A148" s="9">
        <v>6</v>
      </c>
      <c r="B148" s="23">
        <v>5</v>
      </c>
      <c r="C148" s="23" t="s">
        <v>40</v>
      </c>
      <c r="D148" s="23">
        <v>6.83</v>
      </c>
      <c r="E148" s="23">
        <v>-0.62</v>
      </c>
      <c r="F148" s="23">
        <v>-0.75</v>
      </c>
      <c r="G148" s="23">
        <v>5.46</v>
      </c>
      <c r="H148" s="23">
        <v>10.06</v>
      </c>
      <c r="I148" s="15">
        <v>4.5999999999999996</v>
      </c>
      <c r="J148" s="23">
        <v>9.85</v>
      </c>
      <c r="K148" s="23">
        <v>-0.21000000000000099</v>
      </c>
      <c r="L148" s="23">
        <v>-5.0000000000000001E-3</v>
      </c>
      <c r="O148" s="15">
        <f>J148</f>
        <v>9.85</v>
      </c>
      <c r="P148" s="23">
        <v>6.83</v>
      </c>
      <c r="Q148" s="23">
        <v>-0.62</v>
      </c>
      <c r="R148" s="23">
        <v>-0.75</v>
      </c>
      <c r="S148" s="15">
        <v>4.5999999999999996</v>
      </c>
      <c r="T148" s="23">
        <v>-0.21000000000000099</v>
      </c>
      <c r="U148" s="23">
        <v>-5.0000000000000001E-3</v>
      </c>
      <c r="V148" s="9">
        <f>SUM(P148:U148)</f>
        <v>9.8449999999999971</v>
      </c>
      <c r="W148" s="9">
        <f>O148-V148</f>
        <v>5.000000000002558E-3</v>
      </c>
    </row>
    <row r="149" spans="1:23" ht="15.6">
      <c r="A149" s="9">
        <v>6</v>
      </c>
      <c r="B149" s="23">
        <v>6</v>
      </c>
      <c r="C149" s="23" t="s">
        <v>41</v>
      </c>
      <c r="D149" s="23">
        <v>6.2</v>
      </c>
      <c r="E149" s="23">
        <v>-0.28999999999999998</v>
      </c>
      <c r="F149" s="23">
        <v>-0.49</v>
      </c>
      <c r="G149" s="23">
        <v>5.41</v>
      </c>
      <c r="H149" s="23">
        <v>10.01</v>
      </c>
      <c r="I149" s="15">
        <v>4.5999999999999996</v>
      </c>
      <c r="J149" s="23">
        <v>9.84</v>
      </c>
      <c r="K149" s="23">
        <v>-1.9999999999999601E-2</v>
      </c>
      <c r="L149" s="23">
        <v>-0.152</v>
      </c>
      <c r="O149" s="15">
        <f>J149</f>
        <v>9.84</v>
      </c>
      <c r="P149" s="23">
        <v>6.2</v>
      </c>
      <c r="Q149" s="23">
        <v>-0.28999999999999998</v>
      </c>
      <c r="R149" s="23">
        <v>-0.49</v>
      </c>
      <c r="S149" s="15">
        <v>4.5999999999999996</v>
      </c>
      <c r="T149" s="23">
        <v>-1.9999999999999601E-2</v>
      </c>
      <c r="U149" s="23">
        <v>-0.152</v>
      </c>
      <c r="V149" s="9">
        <f>SUM(P149:U149)</f>
        <v>9.8480000000000008</v>
      </c>
      <c r="W149" s="9">
        <f>O149-V149</f>
        <v>-8.0000000000008953E-3</v>
      </c>
    </row>
    <row r="150" spans="1:23" ht="15.6">
      <c r="A150" s="9">
        <v>6</v>
      </c>
      <c r="B150" s="23">
        <v>7</v>
      </c>
      <c r="C150" s="23" t="s">
        <v>42</v>
      </c>
      <c r="D150" s="23">
        <v>5.49</v>
      </c>
      <c r="E150" s="23">
        <v>-0.19</v>
      </c>
      <c r="F150" s="23">
        <v>-0.28000000000000003</v>
      </c>
      <c r="G150" s="23">
        <v>5.0199999999999996</v>
      </c>
      <c r="H150" s="23">
        <v>9.6199999999999992</v>
      </c>
      <c r="I150" s="15">
        <v>4.5999999999999996</v>
      </c>
      <c r="J150" s="23">
        <v>9.59</v>
      </c>
      <c r="K150" s="23">
        <v>-3.9999999999999203E-2</v>
      </c>
      <c r="L150" s="23">
        <v>0.01</v>
      </c>
      <c r="O150" s="15">
        <f>J150</f>
        <v>9.59</v>
      </c>
      <c r="P150" s="23">
        <v>5.49</v>
      </c>
      <c r="Q150" s="23">
        <v>-0.19</v>
      </c>
      <c r="R150" s="23">
        <v>-0.28000000000000003</v>
      </c>
      <c r="S150" s="15">
        <v>4.5999999999999996</v>
      </c>
      <c r="T150" s="23">
        <v>-3.9999999999999203E-2</v>
      </c>
      <c r="U150" s="23">
        <v>0.01</v>
      </c>
      <c r="V150" s="9">
        <f>SUM(P150:U150)</f>
        <v>9.59</v>
      </c>
      <c r="W150" s="9">
        <f>O150-V150</f>
        <v>0</v>
      </c>
    </row>
    <row r="151" spans="1:23" ht="15.6">
      <c r="A151" s="9">
        <v>6</v>
      </c>
      <c r="B151" s="23">
        <v>8</v>
      </c>
      <c r="C151" s="23" t="s">
        <v>43</v>
      </c>
      <c r="D151" s="23">
        <v>5.13</v>
      </c>
      <c r="E151" s="23">
        <v>-0.04</v>
      </c>
      <c r="F151" s="23">
        <v>0.03</v>
      </c>
      <c r="G151" s="23">
        <v>5.1100000000000003</v>
      </c>
      <c r="H151" s="23">
        <v>9.7100000000000009</v>
      </c>
      <c r="I151" s="15">
        <v>4.5999999999999996</v>
      </c>
      <c r="J151" s="23">
        <v>9.66</v>
      </c>
      <c r="K151" s="23">
        <v>-6.0000000000000497E-2</v>
      </c>
      <c r="L151" s="23">
        <v>0.01</v>
      </c>
      <c r="O151" s="15">
        <f>J151</f>
        <v>9.66</v>
      </c>
      <c r="P151" s="23">
        <v>5.13</v>
      </c>
      <c r="Q151" s="23">
        <v>-0.04</v>
      </c>
      <c r="R151" s="23">
        <v>0.03</v>
      </c>
      <c r="S151" s="15">
        <v>4.5999999999999996</v>
      </c>
      <c r="T151" s="23">
        <v>-6.0000000000000497E-2</v>
      </c>
      <c r="U151" s="23">
        <v>0.01</v>
      </c>
      <c r="V151" s="9">
        <f>SUM(P151:U151)</f>
        <v>9.6699999999999982</v>
      </c>
      <c r="W151" s="9">
        <f>O151-V151</f>
        <v>-9.9999999999980105E-3</v>
      </c>
    </row>
    <row r="152" spans="1:23" ht="15.6">
      <c r="A152" s="9">
        <v>6</v>
      </c>
      <c r="B152" s="23">
        <v>9</v>
      </c>
      <c r="C152" s="23" t="s">
        <v>44</v>
      </c>
      <c r="D152" s="23">
        <v>5.4</v>
      </c>
      <c r="E152" s="23">
        <v>-7.0000000000000007E-2</v>
      </c>
      <c r="F152" s="23">
        <v>-0.06</v>
      </c>
      <c r="G152" s="23">
        <v>5.27</v>
      </c>
      <c r="H152" s="23">
        <v>9.8699999999999992</v>
      </c>
      <c r="I152" s="15">
        <v>4.5999999999999996</v>
      </c>
      <c r="J152" s="23">
        <v>9.7899999999999991</v>
      </c>
      <c r="K152" s="23">
        <v>-2.9999999999999399E-2</v>
      </c>
      <c r="L152" s="23">
        <v>-4.8000000000000001E-2</v>
      </c>
      <c r="O152" s="15">
        <f>J152</f>
        <v>9.7899999999999991</v>
      </c>
      <c r="P152" s="23">
        <v>5.4</v>
      </c>
      <c r="Q152" s="23">
        <v>-7.0000000000000007E-2</v>
      </c>
      <c r="R152" s="23">
        <v>-0.06</v>
      </c>
      <c r="S152" s="15">
        <v>4.5999999999999996</v>
      </c>
      <c r="T152" s="23">
        <v>-2.9999999999999399E-2</v>
      </c>
      <c r="U152" s="23">
        <v>-4.8000000000000001E-2</v>
      </c>
      <c r="V152" s="9">
        <f>SUM(P152:U152)</f>
        <v>9.7920000000000016</v>
      </c>
      <c r="W152" s="9">
        <f>O152-V152</f>
        <v>-2.0000000000024443E-3</v>
      </c>
    </row>
    <row r="153" spans="1:23" ht="15.6">
      <c r="A153" s="9">
        <v>6</v>
      </c>
      <c r="B153" s="23">
        <v>10</v>
      </c>
      <c r="C153" s="23" t="s">
        <v>45</v>
      </c>
      <c r="D153" s="23">
        <v>5.28</v>
      </c>
      <c r="E153" s="23">
        <v>-0.02</v>
      </c>
      <c r="F153" s="23">
        <v>-0.08</v>
      </c>
      <c r="G153" s="23">
        <v>5.18</v>
      </c>
      <c r="H153" s="23">
        <v>9.7799999999999994</v>
      </c>
      <c r="I153" s="15">
        <v>4.5999999999999996</v>
      </c>
      <c r="J153" s="23">
        <v>9.81</v>
      </c>
      <c r="K153" s="23">
        <v>2.0000000000001399E-2</v>
      </c>
      <c r="L153" s="23">
        <v>0.01</v>
      </c>
      <c r="O153" s="15">
        <f>J153</f>
        <v>9.81</v>
      </c>
      <c r="P153" s="23">
        <v>5.28</v>
      </c>
      <c r="Q153" s="23">
        <v>-0.02</v>
      </c>
      <c r="R153" s="23">
        <v>-0.08</v>
      </c>
      <c r="S153" s="15">
        <v>4.5999999999999996</v>
      </c>
      <c r="T153" s="23">
        <v>2.0000000000001399E-2</v>
      </c>
      <c r="U153" s="23">
        <v>0.01</v>
      </c>
      <c r="V153" s="9">
        <f>SUM(P153:U153)</f>
        <v>9.8100000000000023</v>
      </c>
      <c r="W153" s="9">
        <f>O153-V153</f>
        <v>0</v>
      </c>
    </row>
    <row r="154" spans="1:23" ht="15.6">
      <c r="A154" s="9">
        <v>6</v>
      </c>
      <c r="B154" s="23">
        <v>11</v>
      </c>
      <c r="C154" s="23" t="s">
        <v>47</v>
      </c>
      <c r="D154" s="23">
        <v>5.03</v>
      </c>
      <c r="E154" s="23">
        <v>-0.01</v>
      </c>
      <c r="F154" s="23">
        <v>0.13</v>
      </c>
      <c r="G154" s="23">
        <v>5.16</v>
      </c>
      <c r="H154" s="23">
        <v>9.76</v>
      </c>
      <c r="I154" s="15">
        <v>4.5999999999999996</v>
      </c>
      <c r="J154" s="23">
        <v>9.7799999999999994</v>
      </c>
      <c r="K154" s="23">
        <v>9.9999999999997903E-3</v>
      </c>
      <c r="L154" s="23">
        <v>0.01</v>
      </c>
      <c r="O154" s="15">
        <f>J154</f>
        <v>9.7799999999999994</v>
      </c>
      <c r="P154" s="23">
        <v>5.03</v>
      </c>
      <c r="Q154" s="23">
        <v>-0.01</v>
      </c>
      <c r="R154" s="23">
        <v>0.13</v>
      </c>
      <c r="S154" s="15">
        <v>4.5999999999999996</v>
      </c>
      <c r="T154" s="23">
        <v>9.9999999999997903E-3</v>
      </c>
      <c r="U154" s="23">
        <v>0.01</v>
      </c>
      <c r="V154" s="9">
        <f>SUM(P154:U154)</f>
        <v>9.77</v>
      </c>
      <c r="W154" s="9">
        <f>O154-V154</f>
        <v>9.9999999999997868E-3</v>
      </c>
    </row>
    <row r="155" spans="1:23" ht="15.6">
      <c r="A155" s="9">
        <v>6</v>
      </c>
      <c r="B155" s="23">
        <v>12</v>
      </c>
      <c r="C155" s="23" t="s">
        <v>49</v>
      </c>
      <c r="D155" s="23">
        <v>5.12</v>
      </c>
      <c r="E155" s="23">
        <v>-0.08</v>
      </c>
      <c r="F155" s="23">
        <v>0.12</v>
      </c>
      <c r="G155" s="23">
        <v>5.16</v>
      </c>
      <c r="H155" s="23">
        <v>9.76</v>
      </c>
      <c r="I155" s="15">
        <v>4.5999999999999996</v>
      </c>
      <c r="J155" s="23">
        <v>9.77</v>
      </c>
      <c r="K155" s="23">
        <v>0</v>
      </c>
      <c r="L155" s="23">
        <v>0.01</v>
      </c>
      <c r="O155" s="15">
        <f>J155</f>
        <v>9.77</v>
      </c>
      <c r="P155" s="23">
        <v>5.12</v>
      </c>
      <c r="Q155" s="23">
        <v>-0.08</v>
      </c>
      <c r="R155" s="23">
        <v>0.12</v>
      </c>
      <c r="S155" s="15">
        <v>4.5999999999999996</v>
      </c>
      <c r="T155" s="23">
        <v>0</v>
      </c>
      <c r="U155" s="23">
        <v>0.01</v>
      </c>
      <c r="V155" s="9">
        <f>SUM(P155:U155)</f>
        <v>9.77</v>
      </c>
      <c r="W155" s="9">
        <f>O155-V155</f>
        <v>0</v>
      </c>
    </row>
    <row r="156" spans="1:23" ht="15.6">
      <c r="A156" s="9">
        <v>6</v>
      </c>
      <c r="B156" s="23">
        <v>13</v>
      </c>
      <c r="C156" s="23" t="s">
        <v>51</v>
      </c>
      <c r="D156" s="23">
        <v>4.4800000000000004</v>
      </c>
      <c r="E156" s="23">
        <v>0.16</v>
      </c>
      <c r="F156" s="23">
        <v>0.66</v>
      </c>
      <c r="G156" s="23">
        <v>5.3</v>
      </c>
      <c r="H156" s="23">
        <v>9.9</v>
      </c>
      <c r="I156" s="15">
        <v>4.5999999999999996</v>
      </c>
      <c r="J156" s="23">
        <v>9.98</v>
      </c>
      <c r="K156" s="23">
        <v>7.0000000000000298E-2</v>
      </c>
      <c r="L156" s="23">
        <v>0.01</v>
      </c>
      <c r="O156" s="15">
        <f>J156</f>
        <v>9.98</v>
      </c>
      <c r="P156" s="23">
        <v>4.4800000000000004</v>
      </c>
      <c r="Q156" s="23">
        <v>0.16</v>
      </c>
      <c r="R156" s="23">
        <v>0.66</v>
      </c>
      <c r="S156" s="15">
        <v>4.5999999999999996</v>
      </c>
      <c r="T156" s="23">
        <v>7.0000000000000298E-2</v>
      </c>
      <c r="U156" s="23">
        <v>0.01</v>
      </c>
      <c r="V156" s="9">
        <f>SUM(P156:U156)</f>
        <v>9.98</v>
      </c>
      <c r="W156" s="9">
        <f>O156-V156</f>
        <v>0</v>
      </c>
    </row>
    <row r="157" spans="1:23" ht="15.6">
      <c r="A157" s="9">
        <v>6</v>
      </c>
      <c r="B157" s="23">
        <v>14</v>
      </c>
      <c r="C157" s="23" t="s">
        <v>53</v>
      </c>
      <c r="D157" s="23">
        <v>5.0199999999999996</v>
      </c>
      <c r="E157" s="23">
        <v>-0.06</v>
      </c>
      <c r="F157" s="23">
        <v>0.38</v>
      </c>
      <c r="G157" s="23">
        <v>5.35</v>
      </c>
      <c r="H157" s="23">
        <v>9.9499999999999993</v>
      </c>
      <c r="I157" s="15">
        <v>4.5999999999999996</v>
      </c>
      <c r="J157" s="23">
        <v>10.02</v>
      </c>
      <c r="K157" s="23">
        <v>6.0000000000000497E-2</v>
      </c>
      <c r="L157" s="23">
        <v>0.01</v>
      </c>
      <c r="O157" s="15">
        <f>J157</f>
        <v>10.02</v>
      </c>
      <c r="P157" s="23">
        <v>5.0199999999999996</v>
      </c>
      <c r="Q157" s="23">
        <v>-0.06</v>
      </c>
      <c r="R157" s="23">
        <v>0.38</v>
      </c>
      <c r="S157" s="15">
        <v>4.5999999999999996</v>
      </c>
      <c r="T157" s="23">
        <v>6.0000000000000497E-2</v>
      </c>
      <c r="U157" s="23">
        <v>0.01</v>
      </c>
      <c r="V157" s="9">
        <f>SUM(P157:U157)</f>
        <v>10.01</v>
      </c>
      <c r="W157" s="9">
        <f>O157-V157</f>
        <v>9.9999999999997868E-3</v>
      </c>
    </row>
    <row r="158" spans="1:23" ht="15.6">
      <c r="A158" s="9">
        <v>6</v>
      </c>
      <c r="B158" s="23">
        <v>15</v>
      </c>
      <c r="C158" s="23" t="s">
        <v>55</v>
      </c>
      <c r="D158" s="23">
        <v>5.31</v>
      </c>
      <c r="E158" s="23">
        <v>-0.14000000000000001</v>
      </c>
      <c r="F158" s="23">
        <v>-0.31</v>
      </c>
      <c r="G158" s="23">
        <v>4.8499999999999996</v>
      </c>
      <c r="H158" s="23">
        <v>9.4499999999999993</v>
      </c>
      <c r="I158" s="15">
        <v>4.5999999999999996</v>
      </c>
      <c r="J158" s="23">
        <v>9.35</v>
      </c>
      <c r="K158" s="23">
        <v>-8.0000000000000099E-2</v>
      </c>
      <c r="L158" s="23">
        <v>-0.02</v>
      </c>
      <c r="O158" s="15">
        <f>J158</f>
        <v>9.35</v>
      </c>
      <c r="P158" s="23">
        <v>5.31</v>
      </c>
      <c r="Q158" s="23">
        <v>-0.14000000000000001</v>
      </c>
      <c r="R158" s="23">
        <v>-0.31</v>
      </c>
      <c r="S158" s="15">
        <v>4.5999999999999996</v>
      </c>
      <c r="T158" s="23">
        <v>-8.0000000000000099E-2</v>
      </c>
      <c r="U158" s="23">
        <v>-0.02</v>
      </c>
      <c r="V158" s="9">
        <f>SUM(P158:U158)</f>
        <v>9.3600000000000012</v>
      </c>
      <c r="W158" s="9">
        <f>O158-V158</f>
        <v>-1.0000000000001563E-2</v>
      </c>
    </row>
    <row r="159" spans="1:23" ht="15.6">
      <c r="A159" s="9">
        <v>6</v>
      </c>
      <c r="B159" s="23">
        <v>16</v>
      </c>
      <c r="C159" s="23" t="s">
        <v>57</v>
      </c>
      <c r="D159" s="23">
        <v>4.9800000000000004</v>
      </c>
      <c r="E159" s="23">
        <v>-7.0000000000000007E-2</v>
      </c>
      <c r="F159" s="23">
        <v>0.12</v>
      </c>
      <c r="G159" s="23">
        <v>5.03</v>
      </c>
      <c r="H159" s="23">
        <v>9.6300000000000008</v>
      </c>
      <c r="I159" s="15">
        <v>4.5999999999999996</v>
      </c>
      <c r="J159" s="23">
        <v>9.6199999999999992</v>
      </c>
      <c r="K159" s="23">
        <v>0</v>
      </c>
      <c r="L159" s="23">
        <v>-0.01</v>
      </c>
      <c r="O159" s="15">
        <f>J159</f>
        <v>9.6199999999999992</v>
      </c>
      <c r="P159" s="23">
        <v>4.9800000000000004</v>
      </c>
      <c r="Q159" s="23">
        <v>-7.0000000000000007E-2</v>
      </c>
      <c r="R159" s="23">
        <v>0.12</v>
      </c>
      <c r="S159" s="15">
        <v>4.5999999999999996</v>
      </c>
      <c r="T159" s="23">
        <v>0</v>
      </c>
      <c r="U159" s="23">
        <v>-0.01</v>
      </c>
      <c r="V159" s="9">
        <f>SUM(P159:U159)</f>
        <v>9.6199999999999992</v>
      </c>
      <c r="W159" s="9">
        <f>O159-V159</f>
        <v>0</v>
      </c>
    </row>
    <row r="160" spans="1:23" ht="15.6">
      <c r="A160" s="9">
        <v>6</v>
      </c>
      <c r="B160" s="23">
        <v>17</v>
      </c>
      <c r="C160" s="23" t="s">
        <v>58</v>
      </c>
      <c r="D160" s="23">
        <v>5.33</v>
      </c>
      <c r="E160" s="23">
        <v>-0.02</v>
      </c>
      <c r="F160" s="23">
        <v>0.03</v>
      </c>
      <c r="G160" s="23">
        <v>5.34</v>
      </c>
      <c r="H160" s="23">
        <v>9.94</v>
      </c>
      <c r="I160" s="15">
        <v>4.5999999999999996</v>
      </c>
      <c r="J160" s="23">
        <v>9.94</v>
      </c>
      <c r="K160" s="23">
        <v>-9.9999999999997903E-3</v>
      </c>
      <c r="L160" s="23">
        <v>0.01</v>
      </c>
      <c r="O160" s="15">
        <f>J160</f>
        <v>9.94</v>
      </c>
      <c r="P160" s="23">
        <v>5.33</v>
      </c>
      <c r="Q160" s="23">
        <v>-0.02</v>
      </c>
      <c r="R160" s="23">
        <v>0.03</v>
      </c>
      <c r="S160" s="15">
        <v>4.5999999999999996</v>
      </c>
      <c r="T160" s="23">
        <v>-9.9999999999997903E-3</v>
      </c>
      <c r="U160" s="23">
        <v>0.01</v>
      </c>
      <c r="V160" s="9">
        <f>SUM(P160:U160)</f>
        <v>9.9400000000000013</v>
      </c>
      <c r="W160" s="9">
        <f>O160-V160</f>
        <v>0</v>
      </c>
    </row>
    <row r="161" spans="1:23" ht="15.6">
      <c r="A161" s="9">
        <v>6</v>
      </c>
      <c r="B161" s="23">
        <v>18</v>
      </c>
      <c r="C161" s="23" t="s">
        <v>60</v>
      </c>
      <c r="D161" s="23">
        <v>5.58</v>
      </c>
      <c r="E161" s="23">
        <v>-0.14000000000000001</v>
      </c>
      <c r="F161" s="23">
        <v>-0.03</v>
      </c>
      <c r="G161" s="23">
        <v>5.41</v>
      </c>
      <c r="H161" s="23">
        <v>10.01</v>
      </c>
      <c r="I161" s="15">
        <v>4.5999999999999996</v>
      </c>
      <c r="J161" s="23">
        <v>10.07</v>
      </c>
      <c r="K161" s="23">
        <v>5.0000000000000697E-2</v>
      </c>
      <c r="L161" s="23">
        <v>0.01</v>
      </c>
      <c r="O161" s="15">
        <f>J161</f>
        <v>10.07</v>
      </c>
      <c r="P161" s="23">
        <v>5.58</v>
      </c>
      <c r="Q161" s="23">
        <v>-0.14000000000000001</v>
      </c>
      <c r="R161" s="23">
        <v>-0.03</v>
      </c>
      <c r="S161" s="15">
        <v>4.5999999999999996</v>
      </c>
      <c r="T161" s="23">
        <v>5.0000000000000697E-2</v>
      </c>
      <c r="U161" s="23">
        <v>0.01</v>
      </c>
      <c r="V161" s="9">
        <f>SUM(P161:U161)</f>
        <v>10.07</v>
      </c>
      <c r="W161" s="9">
        <f>O161-V161</f>
        <v>0</v>
      </c>
    </row>
    <row r="162" spans="1:23" ht="15.6">
      <c r="A162" s="9">
        <v>6</v>
      </c>
      <c r="B162" s="23">
        <v>19</v>
      </c>
      <c r="C162" s="23" t="s">
        <v>66</v>
      </c>
      <c r="D162" s="23">
        <v>5.54</v>
      </c>
      <c r="E162" s="23">
        <v>-0.15</v>
      </c>
      <c r="F162" s="23">
        <v>-0.14000000000000001</v>
      </c>
      <c r="G162" s="23">
        <v>5.25</v>
      </c>
      <c r="H162" s="23">
        <v>9.85</v>
      </c>
      <c r="I162" s="15">
        <v>4.5999999999999996</v>
      </c>
      <c r="J162" s="23">
        <v>9.94</v>
      </c>
      <c r="K162" s="23">
        <v>8.0000000000000099E-2</v>
      </c>
      <c r="L162" s="23">
        <v>0.01</v>
      </c>
      <c r="O162" s="15">
        <f>J162</f>
        <v>9.94</v>
      </c>
      <c r="P162" s="23">
        <v>5.54</v>
      </c>
      <c r="Q162" s="23">
        <v>-0.15</v>
      </c>
      <c r="R162" s="23">
        <v>-0.14000000000000001</v>
      </c>
      <c r="S162" s="15">
        <v>4.5999999999999996</v>
      </c>
      <c r="T162" s="23">
        <v>8.0000000000000099E-2</v>
      </c>
      <c r="U162" s="23">
        <v>0.01</v>
      </c>
      <c r="V162" s="9">
        <f>SUM(P162:U162)</f>
        <v>9.94</v>
      </c>
      <c r="W162" s="9">
        <f>O162-V162</f>
        <v>0</v>
      </c>
    </row>
    <row r="163" spans="1:23" ht="15.6">
      <c r="A163" s="9">
        <v>6</v>
      </c>
      <c r="B163" s="23">
        <v>20</v>
      </c>
      <c r="C163" s="23" t="s">
        <v>67</v>
      </c>
      <c r="D163" s="23">
        <v>5.27</v>
      </c>
      <c r="E163" s="23">
        <v>-0.08</v>
      </c>
      <c r="F163" s="23">
        <v>-0.17</v>
      </c>
      <c r="G163" s="23">
        <v>5.01</v>
      </c>
      <c r="H163" s="23">
        <v>9.61</v>
      </c>
      <c r="I163" s="15">
        <v>4.5999999999999996</v>
      </c>
      <c r="J163" s="23">
        <v>9.5500000000000007</v>
      </c>
      <c r="K163" s="23">
        <v>-3.9999999999999203E-2</v>
      </c>
      <c r="L163" s="23">
        <v>-2.8000000000000001E-2</v>
      </c>
      <c r="O163" s="15">
        <f>J163</f>
        <v>9.5500000000000007</v>
      </c>
      <c r="P163" s="23">
        <v>5.27</v>
      </c>
      <c r="Q163" s="23">
        <v>-0.08</v>
      </c>
      <c r="R163" s="23">
        <v>-0.17</v>
      </c>
      <c r="S163" s="15">
        <v>4.5999999999999996</v>
      </c>
      <c r="T163" s="23">
        <v>-3.9999999999999203E-2</v>
      </c>
      <c r="U163" s="23">
        <v>-2.8000000000000001E-2</v>
      </c>
      <c r="V163" s="9">
        <f>SUM(P163:U163)</f>
        <v>9.5519999999999996</v>
      </c>
      <c r="W163" s="9">
        <f>O163-V163</f>
        <v>-1.9999999999988916E-3</v>
      </c>
    </row>
    <row r="164" spans="1:23" ht="15.6">
      <c r="A164" s="9">
        <v>6</v>
      </c>
      <c r="B164" s="23">
        <v>21</v>
      </c>
      <c r="C164" s="23" t="s">
        <v>69</v>
      </c>
      <c r="D164" s="23">
        <v>5.38</v>
      </c>
      <c r="E164" s="23">
        <v>0</v>
      </c>
      <c r="F164" s="23">
        <v>-0.09</v>
      </c>
      <c r="G164" s="23">
        <v>5.3</v>
      </c>
      <c r="H164" s="23">
        <v>9.9</v>
      </c>
      <c r="I164" s="15">
        <v>4.5999999999999996</v>
      </c>
      <c r="J164" s="23">
        <v>9.91</v>
      </c>
      <c r="K164" s="23">
        <v>2.9999999999999399E-2</v>
      </c>
      <c r="L164" s="23">
        <v>-1.6E-2</v>
      </c>
      <c r="O164" s="15">
        <f>J164</f>
        <v>9.91</v>
      </c>
      <c r="P164" s="23">
        <v>5.38</v>
      </c>
      <c r="Q164" s="23">
        <v>0</v>
      </c>
      <c r="R164" s="23">
        <v>-0.09</v>
      </c>
      <c r="S164" s="15">
        <v>4.5999999999999996</v>
      </c>
      <c r="T164" s="23">
        <v>2.9999999999999399E-2</v>
      </c>
      <c r="U164" s="23">
        <v>-1.6E-2</v>
      </c>
      <c r="V164" s="9">
        <f>SUM(P164:U164)</f>
        <v>9.9039999999999999</v>
      </c>
      <c r="W164" s="9">
        <f>O164-V164</f>
        <v>6.0000000000002274E-3</v>
      </c>
    </row>
    <row r="165" spans="1:23" ht="15.6">
      <c r="A165" s="9">
        <v>6</v>
      </c>
      <c r="B165" s="23">
        <v>22</v>
      </c>
      <c r="C165" s="23" t="s">
        <v>71</v>
      </c>
      <c r="D165" s="23">
        <v>5.13</v>
      </c>
      <c r="E165" s="23">
        <v>-0.04</v>
      </c>
      <c r="F165" s="23">
        <v>0.1</v>
      </c>
      <c r="G165" s="23">
        <v>5.19</v>
      </c>
      <c r="H165" s="23">
        <v>9.7899999999999991</v>
      </c>
      <c r="I165" s="15">
        <v>4.5999999999999996</v>
      </c>
      <c r="J165" s="23">
        <v>9.85</v>
      </c>
      <c r="K165" s="23">
        <v>5.0000000000000697E-2</v>
      </c>
      <c r="L165" s="23">
        <v>0.01</v>
      </c>
      <c r="O165" s="15">
        <f>J165</f>
        <v>9.85</v>
      </c>
      <c r="P165" s="23">
        <v>5.13</v>
      </c>
      <c r="Q165" s="23">
        <v>-0.04</v>
      </c>
      <c r="R165" s="23">
        <v>0.1</v>
      </c>
      <c r="S165" s="15">
        <v>4.5999999999999996</v>
      </c>
      <c r="T165" s="23">
        <v>5.0000000000000697E-2</v>
      </c>
      <c r="U165" s="23">
        <v>0.01</v>
      </c>
      <c r="V165" s="9">
        <f>SUM(P165:U165)</f>
        <v>9.85</v>
      </c>
      <c r="W165" s="9">
        <f>O165-V165</f>
        <v>0</v>
      </c>
    </row>
    <row r="166" spans="1:23" ht="15.6">
      <c r="A166" s="9">
        <v>6</v>
      </c>
      <c r="B166" s="23">
        <v>23</v>
      </c>
      <c r="C166" s="23" t="s">
        <v>72</v>
      </c>
      <c r="D166" s="23">
        <v>4.92</v>
      </c>
      <c r="E166" s="23">
        <v>0.19</v>
      </c>
      <c r="F166" s="23">
        <v>0.25</v>
      </c>
      <c r="G166" s="23">
        <v>5.36</v>
      </c>
      <c r="H166" s="23">
        <v>9.9600000000000009</v>
      </c>
      <c r="I166" s="15">
        <v>4.5999999999999996</v>
      </c>
      <c r="J166" s="23">
        <v>10.02</v>
      </c>
      <c r="K166" s="23">
        <v>4.9999999999998899E-2</v>
      </c>
      <c r="L166" s="23">
        <v>0.01</v>
      </c>
      <c r="O166" s="15">
        <f>J166</f>
        <v>10.02</v>
      </c>
      <c r="P166" s="23">
        <v>4.92</v>
      </c>
      <c r="Q166" s="23">
        <v>0.19</v>
      </c>
      <c r="R166" s="23">
        <v>0.25</v>
      </c>
      <c r="S166" s="15">
        <v>4.5999999999999996</v>
      </c>
      <c r="T166" s="23">
        <v>4.9999999999998899E-2</v>
      </c>
      <c r="U166" s="23">
        <v>0.01</v>
      </c>
      <c r="V166" s="9">
        <f>SUM(P166:U166)</f>
        <v>10.02</v>
      </c>
      <c r="W166" s="9">
        <f>O166-V166</f>
        <v>0</v>
      </c>
    </row>
    <row r="167" spans="1:23" ht="15.6">
      <c r="A167" s="9">
        <v>6</v>
      </c>
      <c r="B167" s="23">
        <v>24</v>
      </c>
      <c r="C167" s="23" t="s">
        <v>74</v>
      </c>
      <c r="D167" s="23">
        <v>5.26</v>
      </c>
      <c r="E167" s="23">
        <v>0.02</v>
      </c>
      <c r="F167" s="23">
        <v>0.01</v>
      </c>
      <c r="G167" s="23">
        <v>5.29</v>
      </c>
      <c r="H167" s="23">
        <v>9.89</v>
      </c>
      <c r="I167" s="15">
        <v>4.5999999999999996</v>
      </c>
      <c r="J167" s="23">
        <v>9.94</v>
      </c>
      <c r="K167" s="23">
        <v>3.9999999999999203E-2</v>
      </c>
      <c r="L167" s="23">
        <v>0.01</v>
      </c>
      <c r="O167" s="15">
        <f>J167</f>
        <v>9.94</v>
      </c>
      <c r="P167" s="23">
        <v>5.26</v>
      </c>
      <c r="Q167" s="23">
        <v>0.02</v>
      </c>
      <c r="R167" s="23">
        <v>0.01</v>
      </c>
      <c r="S167" s="15">
        <v>4.5999999999999996</v>
      </c>
      <c r="T167" s="23">
        <v>3.9999999999999203E-2</v>
      </c>
      <c r="U167" s="23">
        <v>0.01</v>
      </c>
      <c r="V167" s="9">
        <f>SUM(P167:U167)</f>
        <v>9.9399999999999977</v>
      </c>
      <c r="W167" s="9">
        <f>O167-V167</f>
        <v>0</v>
      </c>
    </row>
    <row r="168" spans="1:23" ht="15.6">
      <c r="A168" s="9">
        <v>6</v>
      </c>
      <c r="B168" s="23">
        <v>25</v>
      </c>
      <c r="C168" s="23" t="s">
        <v>75</v>
      </c>
      <c r="D168" s="23">
        <v>5.32</v>
      </c>
      <c r="E168" s="23">
        <v>7.0000000000000007E-2</v>
      </c>
      <c r="F168" s="23">
        <v>-0.14000000000000001</v>
      </c>
      <c r="G168" s="23">
        <v>5.26</v>
      </c>
      <c r="H168" s="23">
        <v>9.86</v>
      </c>
      <c r="I168" s="15">
        <v>4.5999999999999996</v>
      </c>
      <c r="J168" s="23">
        <v>9.89</v>
      </c>
      <c r="K168" s="23">
        <v>2.0000000000001399E-2</v>
      </c>
      <c r="L168" s="23">
        <v>0.01</v>
      </c>
      <c r="O168" s="15">
        <f>J168</f>
        <v>9.89</v>
      </c>
      <c r="P168" s="23">
        <v>5.32</v>
      </c>
      <c r="Q168" s="23">
        <v>7.0000000000000007E-2</v>
      </c>
      <c r="R168" s="23">
        <v>-0.14000000000000001</v>
      </c>
      <c r="S168" s="15">
        <v>4.5999999999999996</v>
      </c>
      <c r="T168" s="23">
        <v>2.0000000000001399E-2</v>
      </c>
      <c r="U168" s="23">
        <v>0.01</v>
      </c>
      <c r="V168" s="9">
        <f>SUM(P168:U168)</f>
        <v>9.8800000000000026</v>
      </c>
      <c r="W168" s="9">
        <f>O168-V168</f>
        <v>9.9999999999980105E-3</v>
      </c>
    </row>
    <row r="169" spans="1:23" ht="15.6">
      <c r="A169" s="9">
        <v>6</v>
      </c>
      <c r="B169" s="23">
        <v>26</v>
      </c>
      <c r="C169" s="23" t="s">
        <v>79</v>
      </c>
      <c r="D169" s="23">
        <v>5.36</v>
      </c>
      <c r="E169" s="23">
        <v>0.06</v>
      </c>
      <c r="F169" s="23">
        <v>0.03</v>
      </c>
      <c r="G169" s="23">
        <v>5.46</v>
      </c>
      <c r="H169" s="23">
        <v>10.06</v>
      </c>
      <c r="I169" s="15">
        <v>4.5999999999999996</v>
      </c>
      <c r="J169" s="23">
        <v>10.130000000000001</v>
      </c>
      <c r="K169" s="23">
        <v>5.99999999999987E-2</v>
      </c>
      <c r="L169" s="23">
        <v>0.01</v>
      </c>
      <c r="O169" s="15">
        <f>J169</f>
        <v>10.130000000000001</v>
      </c>
      <c r="P169" s="23">
        <v>5.36</v>
      </c>
      <c r="Q169" s="23">
        <v>0.06</v>
      </c>
      <c r="R169" s="23">
        <v>0.03</v>
      </c>
      <c r="S169" s="15">
        <v>4.5999999999999996</v>
      </c>
      <c r="T169" s="23">
        <v>5.99999999999987E-2</v>
      </c>
      <c r="U169" s="23">
        <v>0.01</v>
      </c>
      <c r="V169" s="9">
        <f>SUM(P169:U169)</f>
        <v>10.119999999999999</v>
      </c>
      <c r="W169" s="9">
        <f>O169-V169</f>
        <v>1.0000000000001563E-2</v>
      </c>
    </row>
    <row r="170" spans="1:23" ht="15.6">
      <c r="A170" s="9">
        <v>6</v>
      </c>
      <c r="B170" s="23">
        <v>27</v>
      </c>
      <c r="C170" s="23" t="s">
        <v>80</v>
      </c>
      <c r="D170" s="23">
        <v>5.39</v>
      </c>
      <c r="E170" s="23">
        <v>0.17</v>
      </c>
      <c r="F170" s="23">
        <v>0.13</v>
      </c>
      <c r="G170" s="23">
        <v>5.68</v>
      </c>
      <c r="H170" s="23">
        <v>10.28</v>
      </c>
      <c r="I170" s="15">
        <v>4.5999999999999996</v>
      </c>
      <c r="J170" s="23">
        <v>10.34</v>
      </c>
      <c r="K170" s="23">
        <v>5.0000000000000697E-2</v>
      </c>
      <c r="L170" s="23">
        <v>0.01</v>
      </c>
      <c r="O170" s="15">
        <f>J170</f>
        <v>10.34</v>
      </c>
      <c r="P170" s="23">
        <v>5.39</v>
      </c>
      <c r="Q170" s="23">
        <v>0.17</v>
      </c>
      <c r="R170" s="23">
        <v>0.13</v>
      </c>
      <c r="S170" s="15">
        <v>4.5999999999999996</v>
      </c>
      <c r="T170" s="23">
        <v>5.0000000000000697E-2</v>
      </c>
      <c r="U170" s="23">
        <v>0.01</v>
      </c>
      <c r="V170" s="9">
        <f>SUM(P170:U170)</f>
        <v>10.35</v>
      </c>
      <c r="W170" s="9">
        <f>O170-V170</f>
        <v>-9.9999999999997868E-3</v>
      </c>
    </row>
    <row r="171" spans="1:23" ht="15.6">
      <c r="A171" s="9">
        <v>6</v>
      </c>
      <c r="B171" s="23">
        <v>28</v>
      </c>
      <c r="C171" s="23" t="s">
        <v>81</v>
      </c>
      <c r="D171" s="23">
        <v>5.56</v>
      </c>
      <c r="E171" s="23">
        <v>0.02</v>
      </c>
      <c r="F171" s="23">
        <v>-0.03</v>
      </c>
      <c r="G171" s="23">
        <v>5.56</v>
      </c>
      <c r="H171" s="23">
        <v>10.16</v>
      </c>
      <c r="I171" s="15">
        <v>4.5999999999999996</v>
      </c>
      <c r="J171" s="23">
        <v>10.18</v>
      </c>
      <c r="K171" s="23">
        <v>9.9999999999997903E-3</v>
      </c>
      <c r="L171" s="23">
        <v>0.01</v>
      </c>
      <c r="O171" s="15">
        <f>J171</f>
        <v>10.18</v>
      </c>
      <c r="P171" s="23">
        <v>5.56</v>
      </c>
      <c r="Q171" s="23">
        <v>0.02</v>
      </c>
      <c r="R171" s="23">
        <v>-0.03</v>
      </c>
      <c r="S171" s="15">
        <v>4.5999999999999996</v>
      </c>
      <c r="T171" s="23">
        <v>9.9999999999997903E-3</v>
      </c>
      <c r="U171" s="23">
        <v>0.01</v>
      </c>
      <c r="V171" s="9">
        <f>SUM(P171:U171)</f>
        <v>10.169999999999998</v>
      </c>
      <c r="W171" s="9">
        <f>O171-V171</f>
        <v>1.0000000000001563E-2</v>
      </c>
    </row>
    <row r="172" spans="1:23" ht="15.6">
      <c r="A172" s="9">
        <v>6</v>
      </c>
      <c r="B172" s="23">
        <v>29</v>
      </c>
      <c r="C172" s="23" t="s">
        <v>82</v>
      </c>
      <c r="D172" s="23">
        <v>6</v>
      </c>
      <c r="E172" s="23">
        <v>-0.02</v>
      </c>
      <c r="F172" s="23">
        <v>-0.43</v>
      </c>
      <c r="G172" s="23">
        <v>5.55</v>
      </c>
      <c r="H172" s="23">
        <v>10.15</v>
      </c>
      <c r="I172" s="15">
        <v>4.5999999999999996</v>
      </c>
      <c r="J172" s="23">
        <v>10.220000000000001</v>
      </c>
      <c r="K172" s="23">
        <v>8.99999999999999E-2</v>
      </c>
      <c r="L172" s="23">
        <v>-2.3E-2</v>
      </c>
      <c r="O172" s="15">
        <f>J172</f>
        <v>10.220000000000001</v>
      </c>
      <c r="P172" s="23">
        <v>6</v>
      </c>
      <c r="Q172" s="23">
        <v>-0.02</v>
      </c>
      <c r="R172" s="23">
        <v>-0.43</v>
      </c>
      <c r="S172" s="15">
        <v>4.5999999999999996</v>
      </c>
      <c r="T172" s="23">
        <v>8.99999999999999E-2</v>
      </c>
      <c r="U172" s="23">
        <v>-2.3E-2</v>
      </c>
      <c r="V172" s="9">
        <f>SUM(P172:U172)</f>
        <v>10.217000000000001</v>
      </c>
      <c r="W172" s="9">
        <f>O172-V172</f>
        <v>3.0000000000001137E-3</v>
      </c>
    </row>
    <row r="173" spans="1:23" ht="15.6">
      <c r="A173" s="9">
        <v>6</v>
      </c>
      <c r="B173" s="23">
        <v>30</v>
      </c>
      <c r="C173" s="23" t="s">
        <v>83</v>
      </c>
      <c r="D173" s="23">
        <v>6.03</v>
      </c>
      <c r="E173" s="23">
        <v>-0.06</v>
      </c>
      <c r="F173" s="23">
        <v>-0.5</v>
      </c>
      <c r="G173" s="23">
        <v>5.47</v>
      </c>
      <c r="H173" s="23">
        <v>10.07</v>
      </c>
      <c r="I173" s="15">
        <v>4.5999999999999996</v>
      </c>
      <c r="J173" s="23">
        <v>10</v>
      </c>
      <c r="K173" s="23">
        <v>-8.0000000000000099E-2</v>
      </c>
      <c r="L173" s="23">
        <v>0.01</v>
      </c>
      <c r="O173" s="15">
        <f>J173</f>
        <v>10</v>
      </c>
      <c r="P173" s="23">
        <v>6.03</v>
      </c>
      <c r="Q173" s="23">
        <v>-0.06</v>
      </c>
      <c r="R173" s="23">
        <v>-0.5</v>
      </c>
      <c r="S173" s="15">
        <v>4.5999999999999996</v>
      </c>
      <c r="T173" s="23">
        <v>-8.0000000000000099E-2</v>
      </c>
      <c r="U173" s="23">
        <v>0.01</v>
      </c>
      <c r="V173" s="9">
        <f>SUM(P173:U173)</f>
        <v>10</v>
      </c>
      <c r="W173" s="9">
        <f>O173-V173</f>
        <v>0</v>
      </c>
    </row>
    <row r="174" spans="1:23" ht="15.6">
      <c r="A174" s="9">
        <v>6</v>
      </c>
      <c r="B174" s="23">
        <v>31</v>
      </c>
      <c r="C174" s="23" t="s">
        <v>84</v>
      </c>
      <c r="D174" s="23">
        <v>6.04</v>
      </c>
      <c r="E174" s="23">
        <v>-0.16</v>
      </c>
      <c r="F174" s="23">
        <v>-0.67</v>
      </c>
      <c r="G174" s="23">
        <v>5.21</v>
      </c>
      <c r="H174" s="23">
        <v>9.81</v>
      </c>
      <c r="I174" s="15">
        <v>4.5999999999999996</v>
      </c>
      <c r="J174" s="23">
        <v>9.68</v>
      </c>
      <c r="K174" s="23">
        <v>-0.14000000000000101</v>
      </c>
      <c r="L174" s="23">
        <v>0.01</v>
      </c>
      <c r="O174" s="15">
        <f>J174</f>
        <v>9.68</v>
      </c>
      <c r="P174" s="23">
        <v>6.04</v>
      </c>
      <c r="Q174" s="23">
        <v>-0.16</v>
      </c>
      <c r="R174" s="23">
        <v>-0.67</v>
      </c>
      <c r="S174" s="15">
        <v>4.5999999999999996</v>
      </c>
      <c r="T174" s="23">
        <v>-0.14000000000000101</v>
      </c>
      <c r="U174" s="23">
        <v>0.01</v>
      </c>
      <c r="V174" s="9">
        <f>SUM(P174:U174)</f>
        <v>9.6799999999999979</v>
      </c>
      <c r="W174" s="9">
        <f>O174-V174</f>
        <v>0</v>
      </c>
    </row>
    <row r="175" spans="1:23" ht="15.6">
      <c r="A175" s="9">
        <v>6</v>
      </c>
      <c r="B175" s="23">
        <v>32</v>
      </c>
      <c r="C175" s="23" t="s">
        <v>85</v>
      </c>
      <c r="D175" s="23">
        <v>6.36</v>
      </c>
      <c r="E175" s="23">
        <v>-0.28999999999999998</v>
      </c>
      <c r="F175" s="23">
        <v>-0.55000000000000004</v>
      </c>
      <c r="G175" s="23">
        <v>5.53</v>
      </c>
      <c r="H175" s="23">
        <v>10.130000000000001</v>
      </c>
      <c r="I175" s="15">
        <v>4.5999999999999996</v>
      </c>
      <c r="J175" s="23">
        <v>9.92</v>
      </c>
      <c r="K175" s="23">
        <v>-0.130000000000001</v>
      </c>
      <c r="L175" s="23">
        <v>-0.08</v>
      </c>
      <c r="O175" s="15">
        <f>J175</f>
        <v>9.92</v>
      </c>
      <c r="P175" s="23">
        <v>6.36</v>
      </c>
      <c r="Q175" s="23">
        <v>-0.28999999999999998</v>
      </c>
      <c r="R175" s="23">
        <v>-0.55000000000000004</v>
      </c>
      <c r="S175" s="15">
        <v>4.5999999999999996</v>
      </c>
      <c r="T175" s="23">
        <v>-0.130000000000001</v>
      </c>
      <c r="U175" s="23">
        <v>-0.08</v>
      </c>
      <c r="V175" s="9">
        <f>SUM(P175:U175)</f>
        <v>9.91</v>
      </c>
      <c r="W175" s="9">
        <f>O175-V175</f>
        <v>9.9999999999997868E-3</v>
      </c>
    </row>
    <row r="176" spans="1:23" ht="15.6">
      <c r="A176" s="9">
        <v>6</v>
      </c>
      <c r="B176" s="23">
        <v>33</v>
      </c>
      <c r="C176" s="23" t="s">
        <v>86</v>
      </c>
      <c r="D176" s="23">
        <v>5.65</v>
      </c>
      <c r="E176" s="23">
        <v>0.06</v>
      </c>
      <c r="F176" s="23">
        <v>-0.2</v>
      </c>
      <c r="G176" s="23">
        <v>5.52</v>
      </c>
      <c r="H176" s="23">
        <v>10.119999999999999</v>
      </c>
      <c r="I176" s="15">
        <v>4.5999999999999996</v>
      </c>
      <c r="J176" s="23">
        <v>10.02</v>
      </c>
      <c r="K176" s="23">
        <v>-0.109999999999999</v>
      </c>
      <c r="L176" s="23">
        <v>0.01</v>
      </c>
      <c r="O176" s="15">
        <f>J176</f>
        <v>10.02</v>
      </c>
      <c r="P176" s="23">
        <v>5.65</v>
      </c>
      <c r="Q176" s="23">
        <v>0.06</v>
      </c>
      <c r="R176" s="23">
        <v>-0.2</v>
      </c>
      <c r="S176" s="15">
        <v>4.5999999999999996</v>
      </c>
      <c r="T176" s="23">
        <v>-0.109999999999999</v>
      </c>
      <c r="U176" s="23">
        <v>0.01</v>
      </c>
      <c r="V176" s="9">
        <f>SUM(P176:U176)</f>
        <v>10.01</v>
      </c>
      <c r="W176" s="9">
        <f>O176-V176</f>
        <v>9.9999999999997868E-3</v>
      </c>
    </row>
    <row r="177" spans="1:23" ht="15.6">
      <c r="A177" s="9">
        <v>6</v>
      </c>
      <c r="B177" s="23">
        <v>34</v>
      </c>
      <c r="C177" s="23" t="s">
        <v>88</v>
      </c>
      <c r="D177" s="23">
        <v>5.5</v>
      </c>
      <c r="E177" s="23">
        <v>0.04</v>
      </c>
      <c r="F177" s="23">
        <v>-0.15</v>
      </c>
      <c r="G177" s="23">
        <v>5.4</v>
      </c>
      <c r="H177" s="23">
        <v>10</v>
      </c>
      <c r="I177" s="15">
        <v>4.5999999999999996</v>
      </c>
      <c r="J177" s="23">
        <v>9.9499999999999993</v>
      </c>
      <c r="K177" s="23">
        <v>-6.0000000000000497E-2</v>
      </c>
      <c r="L177" s="23">
        <v>0.01</v>
      </c>
      <c r="O177" s="15">
        <f>J177</f>
        <v>9.9499999999999993</v>
      </c>
      <c r="P177" s="23">
        <v>5.5</v>
      </c>
      <c r="Q177" s="23">
        <v>0.04</v>
      </c>
      <c r="R177" s="23">
        <v>-0.15</v>
      </c>
      <c r="S177" s="15">
        <v>4.5999999999999996</v>
      </c>
      <c r="T177" s="23">
        <v>-6.0000000000000497E-2</v>
      </c>
      <c r="U177" s="23">
        <v>0.01</v>
      </c>
      <c r="V177" s="9">
        <f>SUM(P177:U177)</f>
        <v>9.9399999999999977</v>
      </c>
      <c r="W177" s="9">
        <f>O177-V177</f>
        <v>1.0000000000001563E-2</v>
      </c>
    </row>
    <row r="178" spans="1:23" ht="15.6">
      <c r="A178" s="9">
        <v>6</v>
      </c>
      <c r="B178" s="23">
        <v>35</v>
      </c>
      <c r="C178" s="23" t="s">
        <v>89</v>
      </c>
      <c r="D178" s="23">
        <v>5.87</v>
      </c>
      <c r="E178" s="23">
        <v>-0.17</v>
      </c>
      <c r="F178" s="23">
        <v>-0.11</v>
      </c>
      <c r="G178" s="23">
        <v>5.59</v>
      </c>
      <c r="H178" s="23">
        <v>10.19</v>
      </c>
      <c r="I178" s="15">
        <v>4.5999999999999996</v>
      </c>
      <c r="J178" s="23">
        <v>10.199999999999999</v>
      </c>
      <c r="K178" s="23">
        <v>0</v>
      </c>
      <c r="L178" s="23">
        <v>0.01</v>
      </c>
      <c r="O178" s="15">
        <f>J178</f>
        <v>10.199999999999999</v>
      </c>
      <c r="P178" s="23">
        <v>5.87</v>
      </c>
      <c r="Q178" s="23">
        <v>-0.17</v>
      </c>
      <c r="R178" s="23">
        <v>-0.11</v>
      </c>
      <c r="S178" s="15">
        <v>4.5999999999999996</v>
      </c>
      <c r="T178" s="23">
        <v>0</v>
      </c>
      <c r="U178" s="23">
        <v>0.01</v>
      </c>
      <c r="V178" s="9">
        <f>SUM(P178:U178)</f>
        <v>10.199999999999999</v>
      </c>
      <c r="W178" s="9">
        <f>O178-V178</f>
        <v>0</v>
      </c>
    </row>
    <row r="179" spans="1:23" ht="15.6">
      <c r="A179" s="9">
        <v>6</v>
      </c>
      <c r="B179" s="23">
        <v>36</v>
      </c>
      <c r="C179" s="23" t="s">
        <v>90</v>
      </c>
      <c r="D179" s="23">
        <v>6.16</v>
      </c>
      <c r="E179" s="23">
        <v>-0.11</v>
      </c>
      <c r="F179" s="23">
        <v>-0.36</v>
      </c>
      <c r="G179" s="23">
        <v>5.69</v>
      </c>
      <c r="H179" s="23">
        <v>10.29</v>
      </c>
      <c r="I179" s="15">
        <v>4.5999999999999996</v>
      </c>
      <c r="J179" s="23">
        <v>10.19</v>
      </c>
      <c r="K179" s="23">
        <v>-0.109999999999999</v>
      </c>
      <c r="L179" s="23">
        <v>0.01</v>
      </c>
      <c r="O179" s="15">
        <f>J179</f>
        <v>10.19</v>
      </c>
      <c r="P179" s="23">
        <v>6.16</v>
      </c>
      <c r="Q179" s="23">
        <v>-0.11</v>
      </c>
      <c r="R179" s="23">
        <v>-0.36</v>
      </c>
      <c r="S179" s="15">
        <v>4.5999999999999996</v>
      </c>
      <c r="T179" s="23">
        <v>-0.109999999999999</v>
      </c>
      <c r="U179" s="23">
        <v>0.01</v>
      </c>
      <c r="V179" s="9">
        <f>SUM(P179:U179)</f>
        <v>10.19</v>
      </c>
      <c r="W179" s="9">
        <f>O179-V179</f>
        <v>0</v>
      </c>
    </row>
    <row r="180" spans="1:23" ht="15.6">
      <c r="A180" s="9">
        <v>6</v>
      </c>
      <c r="B180" s="23">
        <v>37</v>
      </c>
      <c r="C180" s="23" t="s">
        <v>91</v>
      </c>
      <c r="D180" s="23">
        <v>6.16</v>
      </c>
      <c r="E180" s="23">
        <v>-0.06</v>
      </c>
      <c r="F180" s="23">
        <v>-0.36</v>
      </c>
      <c r="G180" s="23">
        <v>5.74</v>
      </c>
      <c r="H180" s="23">
        <v>10.34</v>
      </c>
      <c r="I180" s="15">
        <v>4.5999999999999996</v>
      </c>
      <c r="J180" s="23">
        <v>10.33</v>
      </c>
      <c r="K180" s="23">
        <v>-1.9999999999999601E-2</v>
      </c>
      <c r="L180" s="23">
        <v>0.01</v>
      </c>
      <c r="O180" s="15">
        <f>J180</f>
        <v>10.33</v>
      </c>
      <c r="P180" s="23">
        <v>6.16</v>
      </c>
      <c r="Q180" s="23">
        <v>-0.06</v>
      </c>
      <c r="R180" s="23">
        <v>-0.36</v>
      </c>
      <c r="S180" s="15">
        <v>4.5999999999999996</v>
      </c>
      <c r="T180" s="23">
        <v>-1.9999999999999601E-2</v>
      </c>
      <c r="U180" s="23">
        <v>0.01</v>
      </c>
      <c r="V180" s="9">
        <f>SUM(P180:U180)</f>
        <v>10.33</v>
      </c>
      <c r="W180" s="9">
        <f>O180-V180</f>
        <v>0</v>
      </c>
    </row>
    <row r="181" spans="1:23" ht="15.6">
      <c r="A181" s="9">
        <v>6</v>
      </c>
      <c r="B181" s="23">
        <v>38</v>
      </c>
      <c r="C181" s="23" t="s">
        <v>92</v>
      </c>
      <c r="D181" s="23">
        <v>5.97</v>
      </c>
      <c r="E181" s="23">
        <v>0</v>
      </c>
      <c r="F181" s="23">
        <v>-0.47</v>
      </c>
      <c r="G181" s="23">
        <v>5.5</v>
      </c>
      <c r="H181" s="23">
        <v>10.1</v>
      </c>
      <c r="I181" s="15">
        <v>4.5999999999999996</v>
      </c>
      <c r="J181" s="23">
        <v>10.029999999999999</v>
      </c>
      <c r="K181" s="23">
        <v>-8.0000000000000099E-2</v>
      </c>
      <c r="L181" s="23">
        <v>0.01</v>
      </c>
      <c r="O181" s="15">
        <f>J181</f>
        <v>10.029999999999999</v>
      </c>
      <c r="P181" s="23">
        <v>5.97</v>
      </c>
      <c r="Q181" s="23">
        <v>0</v>
      </c>
      <c r="R181" s="23">
        <v>-0.47</v>
      </c>
      <c r="S181" s="15">
        <v>4.5999999999999996</v>
      </c>
      <c r="T181" s="23">
        <v>-8.0000000000000099E-2</v>
      </c>
      <c r="U181" s="23">
        <v>0.01</v>
      </c>
      <c r="V181" s="9">
        <f>SUM(P181:U181)</f>
        <v>10.029999999999999</v>
      </c>
      <c r="W181" s="9">
        <f>O181-V181</f>
        <v>0</v>
      </c>
    </row>
    <row r="182" spans="1:23" ht="15.6">
      <c r="A182" s="9">
        <v>6</v>
      </c>
      <c r="B182" s="23">
        <v>39</v>
      </c>
      <c r="C182" s="23" t="s">
        <v>93</v>
      </c>
      <c r="D182" s="23">
        <v>6.04</v>
      </c>
      <c r="E182" s="23">
        <v>-0.16</v>
      </c>
      <c r="F182" s="23">
        <v>-0.4</v>
      </c>
      <c r="G182" s="23">
        <v>5.48</v>
      </c>
      <c r="H182" s="23">
        <v>10.08</v>
      </c>
      <c r="I182" s="15">
        <v>4.5999999999999996</v>
      </c>
      <c r="J182" s="23">
        <v>9.89</v>
      </c>
      <c r="K182" s="23">
        <v>-0.19999999999999901</v>
      </c>
      <c r="L182" s="23">
        <v>0.01</v>
      </c>
      <c r="O182" s="15">
        <f>J182</f>
        <v>9.89</v>
      </c>
      <c r="P182" s="23">
        <v>6.04</v>
      </c>
      <c r="Q182" s="23">
        <v>-0.16</v>
      </c>
      <c r="R182" s="23">
        <v>-0.4</v>
      </c>
      <c r="S182" s="15">
        <v>4.5999999999999996</v>
      </c>
      <c r="T182" s="23">
        <v>-0.19999999999999901</v>
      </c>
      <c r="U182" s="23">
        <v>0.01</v>
      </c>
      <c r="V182" s="9">
        <f>SUM(P182:U182)</f>
        <v>9.8899999999999988</v>
      </c>
      <c r="W182" s="9">
        <f>O182-V182</f>
        <v>0</v>
      </c>
    </row>
    <row r="183" spans="1:23" ht="15.6">
      <c r="A183" s="9">
        <v>6</v>
      </c>
      <c r="B183" s="23">
        <v>40</v>
      </c>
      <c r="C183" s="23" t="s">
        <v>94</v>
      </c>
      <c r="D183" s="23">
        <v>5.99</v>
      </c>
      <c r="E183" s="23">
        <v>0.04</v>
      </c>
      <c r="F183" s="23">
        <v>-0.3</v>
      </c>
      <c r="G183" s="23">
        <v>5.73</v>
      </c>
      <c r="H183" s="23">
        <v>10.33</v>
      </c>
      <c r="I183" s="15">
        <v>4.5999999999999996</v>
      </c>
      <c r="J183" s="23">
        <v>10.35</v>
      </c>
      <c r="K183" s="23">
        <v>6.0000000000000497E-2</v>
      </c>
      <c r="L183" s="23">
        <v>-4.4999999999999998E-2</v>
      </c>
      <c r="O183" s="15">
        <f>J183</f>
        <v>10.35</v>
      </c>
      <c r="P183" s="23">
        <v>5.99</v>
      </c>
      <c r="Q183" s="23">
        <v>0.04</v>
      </c>
      <c r="R183" s="23">
        <v>-0.3</v>
      </c>
      <c r="S183" s="15">
        <v>4.5999999999999996</v>
      </c>
      <c r="T183" s="23">
        <v>6.0000000000000497E-2</v>
      </c>
      <c r="U183" s="23">
        <v>-4.4999999999999998E-2</v>
      </c>
      <c r="V183" s="9">
        <f>SUM(P183:U183)</f>
        <v>10.345000000000001</v>
      </c>
      <c r="W183" s="9">
        <f>O183-V183</f>
        <v>4.9999999999990052E-3</v>
      </c>
    </row>
    <row r="184" spans="1:23" ht="15.6">
      <c r="A184" s="9">
        <v>6</v>
      </c>
      <c r="B184" s="23">
        <v>41</v>
      </c>
      <c r="C184" s="23" t="s">
        <v>95</v>
      </c>
      <c r="D184" s="23">
        <v>7.07</v>
      </c>
      <c r="E184" s="23">
        <v>-0.2</v>
      </c>
      <c r="F184" s="23">
        <v>-0.71</v>
      </c>
      <c r="G184" s="23">
        <v>6.17</v>
      </c>
      <c r="H184" s="23">
        <v>10.77</v>
      </c>
      <c r="I184" s="15">
        <v>4.5999999999999996</v>
      </c>
      <c r="J184" s="23">
        <v>10.42</v>
      </c>
      <c r="K184" s="23">
        <v>-0.16</v>
      </c>
      <c r="L184" s="23">
        <v>-0.187</v>
      </c>
      <c r="O184" s="15">
        <f>J184</f>
        <v>10.42</v>
      </c>
      <c r="P184" s="23">
        <v>7.07</v>
      </c>
      <c r="Q184" s="23">
        <v>-0.2</v>
      </c>
      <c r="R184" s="23">
        <v>-0.71</v>
      </c>
      <c r="S184" s="15">
        <v>4.5999999999999996</v>
      </c>
      <c r="T184" s="23">
        <v>-0.16</v>
      </c>
      <c r="U184" s="23">
        <v>-0.187</v>
      </c>
      <c r="V184" s="9">
        <f>SUM(P184:U184)</f>
        <v>10.413</v>
      </c>
      <c r="W184" s="9">
        <f>O184-V184</f>
        <v>6.9999999999996732E-3</v>
      </c>
    </row>
    <row r="185" spans="1:23" ht="15.6">
      <c r="A185" s="9">
        <v>6</v>
      </c>
      <c r="B185" s="23">
        <v>42</v>
      </c>
      <c r="C185" s="23" t="s">
        <v>96</v>
      </c>
      <c r="D185" s="23">
        <v>6.71</v>
      </c>
      <c r="E185" s="23">
        <v>-0.24</v>
      </c>
      <c r="F185" s="23">
        <v>-0.79</v>
      </c>
      <c r="G185" s="23">
        <v>5.67</v>
      </c>
      <c r="H185" s="23">
        <v>10.27</v>
      </c>
      <c r="I185" s="15">
        <v>4.5999999999999996</v>
      </c>
      <c r="J185" s="23">
        <v>10.17</v>
      </c>
      <c r="K185" s="23">
        <v>-9.9999999999999603E-2</v>
      </c>
      <c r="L185" s="23">
        <v>0</v>
      </c>
      <c r="O185" s="15">
        <f>J185</f>
        <v>10.17</v>
      </c>
      <c r="P185" s="23">
        <v>6.71</v>
      </c>
      <c r="Q185" s="23">
        <v>-0.24</v>
      </c>
      <c r="R185" s="23">
        <v>-0.79</v>
      </c>
      <c r="S185" s="15">
        <v>4.5999999999999996</v>
      </c>
      <c r="T185" s="23">
        <v>-9.9999999999999603E-2</v>
      </c>
      <c r="U185" s="23">
        <v>0</v>
      </c>
      <c r="V185" s="9">
        <f>SUM(P185:U185)</f>
        <v>10.18</v>
      </c>
      <c r="W185" s="9">
        <f>O185-V185</f>
        <v>-9.9999999999997868E-3</v>
      </c>
    </row>
    <row r="186" spans="1:23" ht="15.6">
      <c r="A186" s="9">
        <v>6</v>
      </c>
      <c r="B186" s="23">
        <v>43</v>
      </c>
      <c r="C186" s="23" t="s">
        <v>97</v>
      </c>
      <c r="D186" s="23">
        <v>6.46</v>
      </c>
      <c r="E186" s="23">
        <v>-0.1</v>
      </c>
      <c r="F186" s="23">
        <v>-0.61</v>
      </c>
      <c r="G186" s="23">
        <v>5.75</v>
      </c>
      <c r="H186" s="23">
        <v>10.35</v>
      </c>
      <c r="I186" s="15">
        <v>4.5999999999999996</v>
      </c>
      <c r="J186" s="23">
        <v>10.3</v>
      </c>
      <c r="K186" s="23">
        <v>-4.9999999999998899E-2</v>
      </c>
      <c r="L186" s="23">
        <v>2E-3</v>
      </c>
      <c r="O186" s="15">
        <f>J186</f>
        <v>10.3</v>
      </c>
      <c r="P186" s="23">
        <v>6.46</v>
      </c>
      <c r="Q186" s="23">
        <v>-0.1</v>
      </c>
      <c r="R186" s="23">
        <v>-0.61</v>
      </c>
      <c r="S186" s="15">
        <v>4.5999999999999996</v>
      </c>
      <c r="T186" s="23">
        <v>-4.9999999999998899E-2</v>
      </c>
      <c r="U186" s="23">
        <v>2E-3</v>
      </c>
      <c r="V186" s="9">
        <f>SUM(P186:U186)</f>
        <v>10.302000000000001</v>
      </c>
      <c r="W186" s="9">
        <f>O186-V186</f>
        <v>-2.0000000000006679E-3</v>
      </c>
    </row>
    <row r="187" spans="1:23" ht="15.6">
      <c r="A187" s="9">
        <v>6</v>
      </c>
      <c r="B187" s="23">
        <v>44</v>
      </c>
      <c r="C187" s="23" t="s">
        <v>98</v>
      </c>
      <c r="D187" s="23">
        <v>6.54</v>
      </c>
      <c r="E187" s="23">
        <v>-0.22</v>
      </c>
      <c r="F187" s="23">
        <v>-0.6</v>
      </c>
      <c r="G187" s="23">
        <v>5.72</v>
      </c>
      <c r="H187" s="23">
        <v>10.32</v>
      </c>
      <c r="I187" s="15">
        <v>4.5999999999999996</v>
      </c>
      <c r="J187" s="23">
        <v>10.25</v>
      </c>
      <c r="K187" s="23">
        <v>-8.0000000000000099E-2</v>
      </c>
      <c r="L187" s="23">
        <v>0.01</v>
      </c>
      <c r="O187" s="15">
        <f>J187</f>
        <v>10.25</v>
      </c>
      <c r="P187" s="23">
        <v>6.54</v>
      </c>
      <c r="Q187" s="23">
        <v>-0.22</v>
      </c>
      <c r="R187" s="23">
        <v>-0.6</v>
      </c>
      <c r="S187" s="15">
        <v>4.5999999999999996</v>
      </c>
      <c r="T187" s="23">
        <v>-8.0000000000000099E-2</v>
      </c>
      <c r="U187" s="23">
        <v>0.01</v>
      </c>
      <c r="V187" s="9">
        <f>SUM(P187:U187)</f>
        <v>10.25</v>
      </c>
      <c r="W187" s="9">
        <f>O187-V187</f>
        <v>0</v>
      </c>
    </row>
    <row r="188" spans="1:23" ht="15.6">
      <c r="A188" s="9">
        <v>6</v>
      </c>
      <c r="B188" s="23">
        <v>45</v>
      </c>
      <c r="C188" s="23" t="s">
        <v>99</v>
      </c>
      <c r="D188" s="23">
        <v>6.24</v>
      </c>
      <c r="E188" s="23">
        <v>-0.12</v>
      </c>
      <c r="F188" s="23">
        <v>-0.76</v>
      </c>
      <c r="G188" s="23">
        <v>5.36</v>
      </c>
      <c r="H188" s="23">
        <v>9.9600000000000009</v>
      </c>
      <c r="I188" s="15">
        <v>4.5999999999999996</v>
      </c>
      <c r="J188" s="23">
        <v>9.85</v>
      </c>
      <c r="K188" s="23">
        <v>-8.0000000000000099E-2</v>
      </c>
      <c r="L188" s="23">
        <v>-2.8000000000000001E-2</v>
      </c>
      <c r="O188" s="15">
        <f>J188</f>
        <v>9.85</v>
      </c>
      <c r="P188" s="23">
        <v>6.24</v>
      </c>
      <c r="Q188" s="23">
        <v>-0.12</v>
      </c>
      <c r="R188" s="23">
        <v>-0.76</v>
      </c>
      <c r="S188" s="15">
        <v>4.5999999999999996</v>
      </c>
      <c r="T188" s="23">
        <v>-8.0000000000000099E-2</v>
      </c>
      <c r="U188" s="23">
        <v>-2.8000000000000001E-2</v>
      </c>
      <c r="V188" s="9">
        <f>SUM(P188:U188)</f>
        <v>9.8520000000000003</v>
      </c>
      <c r="W188" s="9">
        <f>O188-V188</f>
        <v>-2.0000000000006679E-3</v>
      </c>
    </row>
    <row r="189" spans="1:23" ht="15.6">
      <c r="A189" s="9">
        <v>6</v>
      </c>
      <c r="B189" s="23">
        <v>46</v>
      </c>
      <c r="C189" s="23" t="s">
        <v>100</v>
      </c>
      <c r="D189" s="23">
        <v>6.7</v>
      </c>
      <c r="E189" s="23">
        <v>-0.09</v>
      </c>
      <c r="F189" s="23">
        <v>-0.9</v>
      </c>
      <c r="G189" s="23">
        <v>5.71</v>
      </c>
      <c r="H189" s="23">
        <v>10.31</v>
      </c>
      <c r="I189" s="15">
        <v>4.5999999999999996</v>
      </c>
      <c r="J189" s="23">
        <v>10.130000000000001</v>
      </c>
      <c r="K189" s="23">
        <v>-0.130000000000001</v>
      </c>
      <c r="L189" s="23">
        <v>-5.1999999999999998E-2</v>
      </c>
      <c r="O189" s="15">
        <f>J189</f>
        <v>10.130000000000001</v>
      </c>
      <c r="P189" s="23">
        <v>6.7</v>
      </c>
      <c r="Q189" s="23">
        <v>-0.09</v>
      </c>
      <c r="R189" s="23">
        <v>-0.9</v>
      </c>
      <c r="S189" s="15">
        <v>4.5999999999999996</v>
      </c>
      <c r="T189" s="23">
        <v>-0.130000000000001</v>
      </c>
      <c r="U189" s="23">
        <v>-5.1999999999999998E-2</v>
      </c>
      <c r="V189" s="9">
        <f>SUM(P189:U189)</f>
        <v>10.127999999999998</v>
      </c>
      <c r="W189" s="9">
        <f>O189-V189</f>
        <v>2.0000000000024443E-3</v>
      </c>
    </row>
    <row r="190" spans="1:23" ht="15.6">
      <c r="A190" s="9">
        <v>6</v>
      </c>
      <c r="B190" s="23">
        <v>47</v>
      </c>
      <c r="C190" s="23" t="s">
        <v>101</v>
      </c>
      <c r="D190" s="23">
        <v>6.59</v>
      </c>
      <c r="E190" s="23">
        <v>0.17</v>
      </c>
      <c r="F190" s="23">
        <v>-1.58</v>
      </c>
      <c r="G190" s="23">
        <v>5.18</v>
      </c>
      <c r="H190" s="23">
        <v>9.7799999999999994</v>
      </c>
      <c r="I190" s="15">
        <v>4.5999999999999996</v>
      </c>
      <c r="J190" s="23">
        <v>9.52</v>
      </c>
      <c r="K190" s="23">
        <v>-0.27</v>
      </c>
      <c r="L190" s="23">
        <v>0.01</v>
      </c>
      <c r="O190" s="15">
        <f>J190</f>
        <v>9.52</v>
      </c>
      <c r="P190" s="23">
        <v>6.59</v>
      </c>
      <c r="Q190" s="23">
        <v>0.17</v>
      </c>
      <c r="R190" s="23">
        <v>-1.58</v>
      </c>
      <c r="S190" s="15">
        <v>4.5999999999999996</v>
      </c>
      <c r="T190" s="23">
        <v>-0.27</v>
      </c>
      <c r="U190" s="23">
        <v>0.01</v>
      </c>
      <c r="V190" s="9">
        <f>SUM(P190:U190)</f>
        <v>9.52</v>
      </c>
      <c r="W190" s="9">
        <f>O190-V190</f>
        <v>0</v>
      </c>
    </row>
    <row r="191" spans="1:23" ht="15.6">
      <c r="A191" s="9">
        <v>7</v>
      </c>
      <c r="B191" s="23">
        <v>1</v>
      </c>
      <c r="C191" s="23" t="s">
        <v>33</v>
      </c>
      <c r="D191" s="23">
        <v>6.21</v>
      </c>
      <c r="E191" s="23">
        <v>-0.33</v>
      </c>
      <c r="F191" s="23">
        <v>-0.22</v>
      </c>
      <c r="G191" s="23">
        <v>5.67</v>
      </c>
      <c r="H191" s="23">
        <v>10.32</v>
      </c>
      <c r="I191" s="15">
        <v>4.6500000000000004</v>
      </c>
      <c r="J191" s="23">
        <v>10.31</v>
      </c>
      <c r="K191" s="23">
        <v>-1.9999999999999601E-2</v>
      </c>
      <c r="L191" s="23">
        <v>0.01</v>
      </c>
      <c r="O191" s="15">
        <f>J191</f>
        <v>10.31</v>
      </c>
      <c r="P191" s="23">
        <v>6.21</v>
      </c>
      <c r="Q191" s="23">
        <v>-0.33</v>
      </c>
      <c r="R191" s="23">
        <v>-0.22</v>
      </c>
      <c r="S191" s="15">
        <v>4.6500000000000004</v>
      </c>
      <c r="T191" s="23">
        <v>-1.9999999999999601E-2</v>
      </c>
      <c r="U191" s="23">
        <v>0.01</v>
      </c>
      <c r="V191" s="9">
        <f>SUM(P191:U191)</f>
        <v>10.3</v>
      </c>
      <c r="W191" s="9">
        <f>O191-V191</f>
        <v>9.9999999999997868E-3</v>
      </c>
    </row>
    <row r="192" spans="1:23" ht="15.6">
      <c r="A192" s="9">
        <v>7</v>
      </c>
      <c r="B192" s="23">
        <v>2</v>
      </c>
      <c r="C192" s="23" t="s">
        <v>36</v>
      </c>
      <c r="D192" s="23">
        <v>6.35</v>
      </c>
      <c r="E192" s="23">
        <v>-0.37</v>
      </c>
      <c r="F192" s="23">
        <v>-0.79</v>
      </c>
      <c r="G192" s="23">
        <v>5.19</v>
      </c>
      <c r="H192" s="23">
        <v>9.85</v>
      </c>
      <c r="I192" s="15">
        <v>4.6500000000000004</v>
      </c>
      <c r="J192" s="23">
        <v>9.85</v>
      </c>
      <c r="K192" s="23">
        <v>-9.9999999999997903E-3</v>
      </c>
      <c r="L192" s="23">
        <v>7.0000000000000001E-3</v>
      </c>
      <c r="O192" s="15">
        <f>J192</f>
        <v>9.85</v>
      </c>
      <c r="P192" s="23">
        <v>6.35</v>
      </c>
      <c r="Q192" s="23">
        <v>-0.37</v>
      </c>
      <c r="R192" s="23">
        <v>-0.79</v>
      </c>
      <c r="S192" s="15">
        <v>4.6500000000000004</v>
      </c>
      <c r="T192" s="23">
        <v>-9.9999999999997903E-3</v>
      </c>
      <c r="U192" s="23">
        <v>7.0000000000000001E-3</v>
      </c>
      <c r="V192" s="9">
        <f>SUM(P192:U192)</f>
        <v>9.8369999999999997</v>
      </c>
      <c r="W192" s="9">
        <f>O192-V192</f>
        <v>1.2999999999999901E-2</v>
      </c>
    </row>
    <row r="193" spans="1:23" ht="15.6">
      <c r="A193" s="9">
        <v>7</v>
      </c>
      <c r="B193" s="23">
        <v>3</v>
      </c>
      <c r="C193" s="23" t="s">
        <v>37</v>
      </c>
      <c r="D193" s="23">
        <v>5.99</v>
      </c>
      <c r="E193" s="23">
        <v>-0.35</v>
      </c>
      <c r="F193" s="23">
        <v>-0.62</v>
      </c>
      <c r="G193" s="23">
        <v>5.0199999999999996</v>
      </c>
      <c r="H193" s="23">
        <v>9.68</v>
      </c>
      <c r="I193" s="15">
        <v>4.6500000000000004</v>
      </c>
      <c r="J193" s="23">
        <v>9.6199999999999992</v>
      </c>
      <c r="K193" s="23">
        <v>-7.0000000000000298E-2</v>
      </c>
      <c r="L193" s="23">
        <v>0.01</v>
      </c>
      <c r="O193" s="15">
        <f>J193</f>
        <v>9.6199999999999992</v>
      </c>
      <c r="P193" s="23">
        <v>5.99</v>
      </c>
      <c r="Q193" s="23">
        <v>-0.35</v>
      </c>
      <c r="R193" s="23">
        <v>-0.62</v>
      </c>
      <c r="S193" s="15">
        <v>4.6500000000000004</v>
      </c>
      <c r="T193" s="23">
        <v>-7.0000000000000298E-2</v>
      </c>
      <c r="U193" s="23">
        <v>0.01</v>
      </c>
      <c r="V193" s="9">
        <f>SUM(P193:U193)</f>
        <v>9.6100000000000012</v>
      </c>
      <c r="W193" s="9">
        <f>O193-V193</f>
        <v>9.9999999999980105E-3</v>
      </c>
    </row>
    <row r="194" spans="1:23" ht="15.6">
      <c r="A194" s="9">
        <v>7</v>
      </c>
      <c r="B194" s="23">
        <v>4</v>
      </c>
      <c r="C194" s="23" t="s">
        <v>39</v>
      </c>
      <c r="D194" s="23">
        <v>5.91</v>
      </c>
      <c r="E194" s="23">
        <v>-0.16</v>
      </c>
      <c r="F194" s="23">
        <v>-0.33</v>
      </c>
      <c r="G194" s="23">
        <v>5.42</v>
      </c>
      <c r="H194" s="23">
        <v>10.07</v>
      </c>
      <c r="I194" s="15">
        <v>4.6500000000000004</v>
      </c>
      <c r="J194" s="23">
        <v>10.11</v>
      </c>
      <c r="K194" s="23">
        <v>2.9999999999999399E-2</v>
      </c>
      <c r="L194" s="23">
        <v>0.01</v>
      </c>
      <c r="O194" s="15">
        <f>J194</f>
        <v>10.11</v>
      </c>
      <c r="P194" s="23">
        <v>5.91</v>
      </c>
      <c r="Q194" s="23">
        <v>-0.16</v>
      </c>
      <c r="R194" s="23">
        <v>-0.33</v>
      </c>
      <c r="S194" s="15">
        <v>4.6500000000000004</v>
      </c>
      <c r="T194" s="23">
        <v>2.9999999999999399E-2</v>
      </c>
      <c r="U194" s="23">
        <v>0.01</v>
      </c>
      <c r="V194" s="9">
        <f>SUM(P194:U194)</f>
        <v>10.11</v>
      </c>
      <c r="W194" s="9">
        <f>O194-V194</f>
        <v>0</v>
      </c>
    </row>
    <row r="195" spans="1:23" ht="15.6">
      <c r="A195" s="9">
        <v>7</v>
      </c>
      <c r="B195" s="23">
        <v>5</v>
      </c>
      <c r="C195" s="23" t="s">
        <v>40</v>
      </c>
      <c r="D195" s="23">
        <v>6.72</v>
      </c>
      <c r="E195" s="23">
        <v>-0.63</v>
      </c>
      <c r="F195" s="23">
        <v>-0.72</v>
      </c>
      <c r="G195" s="23">
        <v>5.37</v>
      </c>
      <c r="H195" s="23">
        <v>10.02</v>
      </c>
      <c r="I195" s="15">
        <v>4.6500000000000004</v>
      </c>
      <c r="J195" s="23">
        <v>10.01</v>
      </c>
      <c r="K195" s="23">
        <v>-9.9999999999997903E-3</v>
      </c>
      <c r="L195" s="23">
        <v>0</v>
      </c>
      <c r="O195" s="15">
        <f>J195</f>
        <v>10.01</v>
      </c>
      <c r="P195" s="23">
        <v>6.72</v>
      </c>
      <c r="Q195" s="23">
        <v>-0.63</v>
      </c>
      <c r="R195" s="23">
        <v>-0.72</v>
      </c>
      <c r="S195" s="15">
        <v>4.6500000000000004</v>
      </c>
      <c r="T195" s="23">
        <v>-9.9999999999997903E-3</v>
      </c>
      <c r="U195" s="23">
        <v>0</v>
      </c>
      <c r="V195" s="9">
        <f>SUM(P195:U195)</f>
        <v>10.01</v>
      </c>
      <c r="W195" s="9">
        <f>O195-V195</f>
        <v>0</v>
      </c>
    </row>
    <row r="196" spans="1:23" ht="15.6">
      <c r="A196" s="9">
        <v>7</v>
      </c>
      <c r="B196" s="23">
        <v>6</v>
      </c>
      <c r="C196" s="23" t="s">
        <v>41</v>
      </c>
      <c r="D196" s="23">
        <v>6.12</v>
      </c>
      <c r="E196" s="23">
        <v>-0.31</v>
      </c>
      <c r="F196" s="23">
        <v>-0.49</v>
      </c>
      <c r="G196" s="23">
        <v>5.31</v>
      </c>
      <c r="H196" s="23">
        <v>9.9600000000000009</v>
      </c>
      <c r="I196" s="15">
        <v>4.6500000000000004</v>
      </c>
      <c r="J196" s="23">
        <v>9.75</v>
      </c>
      <c r="K196" s="23">
        <v>-6.0000000000000497E-2</v>
      </c>
      <c r="L196" s="23">
        <v>-0.14799999999999999</v>
      </c>
      <c r="O196" s="15">
        <f>J196</f>
        <v>9.75</v>
      </c>
      <c r="P196" s="23">
        <v>6.12</v>
      </c>
      <c r="Q196" s="23">
        <v>-0.31</v>
      </c>
      <c r="R196" s="23">
        <v>-0.49</v>
      </c>
      <c r="S196" s="15">
        <v>4.6500000000000004</v>
      </c>
      <c r="T196" s="23">
        <v>-6.0000000000000497E-2</v>
      </c>
      <c r="U196" s="23">
        <v>-0.14799999999999999</v>
      </c>
      <c r="V196" s="9">
        <f>SUM(P196:U196)</f>
        <v>9.7620000000000005</v>
      </c>
      <c r="W196" s="9">
        <f>O196-V196</f>
        <v>-1.2000000000000455E-2</v>
      </c>
    </row>
    <row r="197" spans="1:23" ht="15.6">
      <c r="A197" s="9">
        <v>7</v>
      </c>
      <c r="B197" s="23">
        <v>7</v>
      </c>
      <c r="C197" s="23" t="s">
        <v>42</v>
      </c>
      <c r="D197" s="23">
        <v>5.43</v>
      </c>
      <c r="E197" s="23">
        <v>-0.2</v>
      </c>
      <c r="F197" s="23">
        <v>-0.28000000000000003</v>
      </c>
      <c r="G197" s="23">
        <v>4.9400000000000004</v>
      </c>
      <c r="H197" s="23">
        <v>9.6</v>
      </c>
      <c r="I197" s="15">
        <v>4.6500000000000004</v>
      </c>
      <c r="J197" s="23">
        <v>9.6199999999999992</v>
      </c>
      <c r="K197" s="23">
        <v>9.9999999999997903E-3</v>
      </c>
      <c r="L197" s="23">
        <v>0.01</v>
      </c>
      <c r="O197" s="15">
        <f>J197</f>
        <v>9.6199999999999992</v>
      </c>
      <c r="P197" s="23">
        <v>5.43</v>
      </c>
      <c r="Q197" s="23">
        <v>-0.2</v>
      </c>
      <c r="R197" s="23">
        <v>-0.28000000000000003</v>
      </c>
      <c r="S197" s="15">
        <v>4.6500000000000004</v>
      </c>
      <c r="T197" s="23">
        <v>9.9999999999997903E-3</v>
      </c>
      <c r="U197" s="23">
        <v>0.01</v>
      </c>
      <c r="V197" s="9">
        <f>SUM(P197:U197)</f>
        <v>9.6199999999999992</v>
      </c>
      <c r="W197" s="9">
        <f>O197-V197</f>
        <v>0</v>
      </c>
    </row>
    <row r="198" spans="1:23" ht="15.6">
      <c r="A198" s="9">
        <v>7</v>
      </c>
      <c r="B198" s="23">
        <v>8</v>
      </c>
      <c r="C198" s="23" t="s">
        <v>43</v>
      </c>
      <c r="D198" s="23">
        <v>5.07</v>
      </c>
      <c r="E198" s="23">
        <v>-0.04</v>
      </c>
      <c r="F198" s="23">
        <v>0.02</v>
      </c>
      <c r="G198" s="23">
        <v>5.05</v>
      </c>
      <c r="H198" s="23">
        <v>9.6999999999999993</v>
      </c>
      <c r="I198" s="15">
        <v>4.6500000000000004</v>
      </c>
      <c r="J198" s="23">
        <v>9.67</v>
      </c>
      <c r="K198" s="23">
        <v>-3.9999999999999203E-2</v>
      </c>
      <c r="L198" s="23">
        <v>0.01</v>
      </c>
      <c r="O198" s="15">
        <f>J198</f>
        <v>9.67</v>
      </c>
      <c r="P198" s="23">
        <v>5.07</v>
      </c>
      <c r="Q198" s="23">
        <v>-0.04</v>
      </c>
      <c r="R198" s="23">
        <v>0.02</v>
      </c>
      <c r="S198" s="15">
        <v>4.6500000000000004</v>
      </c>
      <c r="T198" s="23">
        <v>-3.9999999999999203E-2</v>
      </c>
      <c r="U198" s="23">
        <v>0.01</v>
      </c>
      <c r="V198" s="9">
        <f>SUM(P198:U198)</f>
        <v>9.67</v>
      </c>
      <c r="W198" s="9">
        <f>O198-V198</f>
        <v>0</v>
      </c>
    </row>
    <row r="199" spans="1:23" ht="15.6">
      <c r="A199" s="9">
        <v>7</v>
      </c>
      <c r="B199" s="23">
        <v>9</v>
      </c>
      <c r="C199" s="23" t="s">
        <v>44</v>
      </c>
      <c r="D199" s="23">
        <v>5.38</v>
      </c>
      <c r="E199" s="23">
        <v>-0.08</v>
      </c>
      <c r="F199" s="23">
        <v>-0.09</v>
      </c>
      <c r="G199" s="23">
        <v>5.21</v>
      </c>
      <c r="H199" s="23">
        <v>9.8699999999999992</v>
      </c>
      <c r="I199" s="15">
        <v>4.6500000000000004</v>
      </c>
      <c r="J199" s="23">
        <v>9.82</v>
      </c>
      <c r="K199" s="23">
        <v>-5.99999999999987E-2</v>
      </c>
      <c r="L199" s="23">
        <v>0.01</v>
      </c>
      <c r="O199" s="15">
        <f>J199</f>
        <v>9.82</v>
      </c>
      <c r="P199" s="23">
        <v>5.38</v>
      </c>
      <c r="Q199" s="23">
        <v>-0.08</v>
      </c>
      <c r="R199" s="23">
        <v>-0.09</v>
      </c>
      <c r="S199" s="15">
        <v>4.6500000000000004</v>
      </c>
      <c r="T199" s="23">
        <v>-5.99999999999987E-2</v>
      </c>
      <c r="U199" s="23">
        <v>0.01</v>
      </c>
      <c r="V199" s="9">
        <f>SUM(P199:U199)</f>
        <v>9.81</v>
      </c>
      <c r="W199" s="9">
        <f>O199-V199</f>
        <v>9.9999999999997868E-3</v>
      </c>
    </row>
    <row r="200" spans="1:23" ht="15.6">
      <c r="A200" s="9">
        <v>7</v>
      </c>
      <c r="B200" s="23">
        <v>10</v>
      </c>
      <c r="C200" s="23" t="s">
        <v>45</v>
      </c>
      <c r="D200" s="23">
        <v>5.2</v>
      </c>
      <c r="E200" s="23">
        <v>-0.02</v>
      </c>
      <c r="F200" s="23">
        <v>-0.08</v>
      </c>
      <c r="G200" s="23">
        <v>5.0999999999999996</v>
      </c>
      <c r="H200" s="23">
        <v>9.75</v>
      </c>
      <c r="I200" s="15">
        <v>4.6500000000000004</v>
      </c>
      <c r="J200" s="23">
        <v>9.77</v>
      </c>
      <c r="K200" s="23">
        <v>9.9999999999997903E-3</v>
      </c>
      <c r="L200" s="23">
        <v>0.01</v>
      </c>
      <c r="O200" s="15">
        <f>J200</f>
        <v>9.77</v>
      </c>
      <c r="P200" s="23">
        <v>5.2</v>
      </c>
      <c r="Q200" s="23">
        <v>-0.02</v>
      </c>
      <c r="R200" s="23">
        <v>-0.08</v>
      </c>
      <c r="S200" s="15">
        <v>4.6500000000000004</v>
      </c>
      <c r="T200" s="23">
        <v>9.9999999999997903E-3</v>
      </c>
      <c r="U200" s="23">
        <v>0.01</v>
      </c>
      <c r="V200" s="9">
        <f>SUM(P200:U200)</f>
        <v>9.77</v>
      </c>
      <c r="W200" s="9">
        <f>O200-V200</f>
        <v>0</v>
      </c>
    </row>
    <row r="201" spans="1:23" ht="15.6">
      <c r="A201" s="9">
        <v>7</v>
      </c>
      <c r="B201" s="23">
        <v>11</v>
      </c>
      <c r="C201" s="23" t="s">
        <v>47</v>
      </c>
      <c r="D201" s="23">
        <v>5.0199999999999996</v>
      </c>
      <c r="E201" s="23">
        <v>-0.01</v>
      </c>
      <c r="F201" s="23">
        <v>0.11</v>
      </c>
      <c r="G201" s="23">
        <v>5.12</v>
      </c>
      <c r="H201" s="23">
        <v>9.77</v>
      </c>
      <c r="I201" s="15">
        <v>4.6500000000000004</v>
      </c>
      <c r="J201" s="23">
        <v>9.76</v>
      </c>
      <c r="K201" s="23">
        <v>-1.9999999999999601E-2</v>
      </c>
      <c r="L201" s="23">
        <v>0.01</v>
      </c>
      <c r="O201" s="15">
        <f>J201</f>
        <v>9.76</v>
      </c>
      <c r="P201" s="23">
        <v>5.0199999999999996</v>
      </c>
      <c r="Q201" s="23">
        <v>-0.01</v>
      </c>
      <c r="R201" s="23">
        <v>0.11</v>
      </c>
      <c r="S201" s="15">
        <v>4.6500000000000004</v>
      </c>
      <c r="T201" s="23">
        <v>-1.9999999999999601E-2</v>
      </c>
      <c r="U201" s="23">
        <v>0.01</v>
      </c>
      <c r="V201" s="9">
        <f>SUM(P201:U201)</f>
        <v>9.76</v>
      </c>
      <c r="W201" s="9">
        <f>O201-V201</f>
        <v>0</v>
      </c>
    </row>
    <row r="202" spans="1:23" ht="15.6">
      <c r="A202" s="9">
        <v>7</v>
      </c>
      <c r="B202" s="23">
        <v>12</v>
      </c>
      <c r="C202" s="23" t="s">
        <v>49</v>
      </c>
      <c r="D202" s="23">
        <v>5.0999999999999996</v>
      </c>
      <c r="E202" s="23">
        <v>-0.06</v>
      </c>
      <c r="F202" s="23">
        <v>0.11</v>
      </c>
      <c r="G202" s="23">
        <v>5.15</v>
      </c>
      <c r="H202" s="23">
        <v>9.8000000000000007</v>
      </c>
      <c r="I202" s="15">
        <v>4.6500000000000004</v>
      </c>
      <c r="J202" s="23">
        <v>9.7899999999999991</v>
      </c>
      <c r="K202" s="23">
        <v>-2.0000000000001399E-2</v>
      </c>
      <c r="L202" s="23">
        <v>0.01</v>
      </c>
      <c r="O202" s="15">
        <f>J202</f>
        <v>9.7899999999999991</v>
      </c>
      <c r="P202" s="23">
        <v>5.0999999999999996</v>
      </c>
      <c r="Q202" s="23">
        <v>-0.06</v>
      </c>
      <c r="R202" s="23">
        <v>0.11</v>
      </c>
      <c r="S202" s="15">
        <v>4.6500000000000004</v>
      </c>
      <c r="T202" s="23">
        <v>-2.0000000000001399E-2</v>
      </c>
      <c r="U202" s="23">
        <v>0.01</v>
      </c>
      <c r="V202" s="9">
        <f>SUM(P202:U202)</f>
        <v>9.7899999999999991</v>
      </c>
      <c r="W202" s="9">
        <f>O202-V202</f>
        <v>0</v>
      </c>
    </row>
    <row r="203" spans="1:23" ht="15.6">
      <c r="A203" s="9">
        <v>7</v>
      </c>
      <c r="B203" s="23">
        <v>13</v>
      </c>
      <c r="C203" s="23" t="s">
        <v>51</v>
      </c>
      <c r="D203" s="23">
        <v>4.46</v>
      </c>
      <c r="E203" s="23">
        <v>0.17</v>
      </c>
      <c r="F203" s="23">
        <v>0.63</v>
      </c>
      <c r="G203" s="23">
        <v>5.26</v>
      </c>
      <c r="H203" s="23">
        <v>9.91</v>
      </c>
      <c r="I203" s="15">
        <v>4.6500000000000004</v>
      </c>
      <c r="J203" s="23">
        <v>9.91</v>
      </c>
      <c r="K203" s="23">
        <v>-9.9999999999997903E-3</v>
      </c>
      <c r="L203" s="23">
        <v>0.01</v>
      </c>
      <c r="O203" s="15">
        <f>J203</f>
        <v>9.91</v>
      </c>
      <c r="P203" s="23">
        <v>4.46</v>
      </c>
      <c r="Q203" s="23">
        <v>0.17</v>
      </c>
      <c r="R203" s="23">
        <v>0.63</v>
      </c>
      <c r="S203" s="15">
        <v>4.6500000000000004</v>
      </c>
      <c r="T203" s="23">
        <v>-9.9999999999997903E-3</v>
      </c>
      <c r="U203" s="23">
        <v>0.01</v>
      </c>
      <c r="V203" s="9">
        <f>SUM(P203:U203)</f>
        <v>9.91</v>
      </c>
      <c r="W203" s="9">
        <f>O203-V203</f>
        <v>0</v>
      </c>
    </row>
    <row r="204" spans="1:23" ht="15.6">
      <c r="A204" s="9">
        <v>7</v>
      </c>
      <c r="B204" s="23">
        <v>14</v>
      </c>
      <c r="C204" s="23" t="s">
        <v>53</v>
      </c>
      <c r="D204" s="23">
        <v>5</v>
      </c>
      <c r="E204" s="23">
        <v>-0.06</v>
      </c>
      <c r="F204" s="23">
        <v>0.36</v>
      </c>
      <c r="G204" s="23">
        <v>5.3</v>
      </c>
      <c r="H204" s="23">
        <v>9.9499999999999993</v>
      </c>
      <c r="I204" s="15">
        <v>4.6500000000000004</v>
      </c>
      <c r="J204" s="23">
        <v>9.92</v>
      </c>
      <c r="K204" s="23">
        <v>-3.9999999999999203E-2</v>
      </c>
      <c r="L204" s="23">
        <v>0.01</v>
      </c>
      <c r="O204" s="15">
        <f>J204</f>
        <v>9.92</v>
      </c>
      <c r="P204" s="23">
        <v>5</v>
      </c>
      <c r="Q204" s="23">
        <v>-0.06</v>
      </c>
      <c r="R204" s="23">
        <v>0.36</v>
      </c>
      <c r="S204" s="15">
        <v>4.6500000000000004</v>
      </c>
      <c r="T204" s="23">
        <v>-3.9999999999999203E-2</v>
      </c>
      <c r="U204" s="23">
        <v>0.01</v>
      </c>
      <c r="V204" s="9">
        <f>SUM(P204:U204)</f>
        <v>9.9200000000000017</v>
      </c>
      <c r="W204" s="9">
        <f>O204-V204</f>
        <v>0</v>
      </c>
    </row>
    <row r="205" spans="1:23" ht="15.6">
      <c r="A205" s="9">
        <v>7</v>
      </c>
      <c r="B205" s="23">
        <v>15</v>
      </c>
      <c r="C205" s="23" t="s">
        <v>55</v>
      </c>
      <c r="D205" s="23">
        <v>5.32</v>
      </c>
      <c r="E205" s="23">
        <v>-0.15</v>
      </c>
      <c r="F205" s="23">
        <v>-0.31</v>
      </c>
      <c r="G205" s="23">
        <v>4.8600000000000003</v>
      </c>
      <c r="H205" s="23">
        <v>9.51</v>
      </c>
      <c r="I205" s="15">
        <v>4.6500000000000004</v>
      </c>
      <c r="J205" s="23">
        <v>9.5500000000000007</v>
      </c>
      <c r="K205" s="23">
        <v>8.0000000000000099E-2</v>
      </c>
      <c r="L205" s="23">
        <v>-0.04</v>
      </c>
      <c r="O205" s="15">
        <f>J205</f>
        <v>9.5500000000000007</v>
      </c>
      <c r="P205" s="23">
        <v>5.32</v>
      </c>
      <c r="Q205" s="23">
        <v>-0.15</v>
      </c>
      <c r="R205" s="23">
        <v>-0.31</v>
      </c>
      <c r="S205" s="15">
        <v>4.6500000000000004</v>
      </c>
      <c r="T205" s="23">
        <v>8.0000000000000099E-2</v>
      </c>
      <c r="U205" s="23">
        <v>-0.04</v>
      </c>
      <c r="V205" s="9">
        <f>SUM(P205:U205)</f>
        <v>9.5500000000000025</v>
      </c>
      <c r="W205" s="9">
        <f>O205-V205</f>
        <v>0</v>
      </c>
    </row>
    <row r="206" spans="1:23" ht="15.6">
      <c r="A206" s="9">
        <v>7</v>
      </c>
      <c r="B206" s="23">
        <v>16</v>
      </c>
      <c r="C206" s="23" t="s">
        <v>57</v>
      </c>
      <c r="D206" s="23">
        <v>4.95</v>
      </c>
      <c r="E206" s="23">
        <v>-7.0000000000000007E-2</v>
      </c>
      <c r="F206" s="23">
        <v>0.11</v>
      </c>
      <c r="G206" s="23">
        <v>4.9800000000000004</v>
      </c>
      <c r="H206" s="23">
        <v>9.64</v>
      </c>
      <c r="I206" s="15">
        <v>4.6500000000000004</v>
      </c>
      <c r="J206" s="23">
        <v>9.65</v>
      </c>
      <c r="K206" s="23">
        <v>3.9999999999999203E-2</v>
      </c>
      <c r="L206" s="23">
        <v>-2.7E-2</v>
      </c>
      <c r="O206" s="15">
        <f>J206</f>
        <v>9.65</v>
      </c>
      <c r="P206" s="23">
        <v>4.95</v>
      </c>
      <c r="Q206" s="23">
        <v>-7.0000000000000007E-2</v>
      </c>
      <c r="R206" s="23">
        <v>0.11</v>
      </c>
      <c r="S206" s="15">
        <v>4.6500000000000004</v>
      </c>
      <c r="T206" s="23">
        <v>3.9999999999999203E-2</v>
      </c>
      <c r="U206" s="23">
        <v>-2.7E-2</v>
      </c>
      <c r="V206" s="9">
        <f>SUM(P206:U206)</f>
        <v>9.6530000000000005</v>
      </c>
      <c r="W206" s="9">
        <f>O206-V206</f>
        <v>-3.0000000000001137E-3</v>
      </c>
    </row>
    <row r="207" spans="1:23" ht="15.6">
      <c r="A207" s="9">
        <v>7</v>
      </c>
      <c r="B207" s="23">
        <v>17</v>
      </c>
      <c r="C207" s="23" t="s">
        <v>58</v>
      </c>
      <c r="D207" s="23">
        <v>5.19</v>
      </c>
      <c r="E207" s="23">
        <v>-0.01</v>
      </c>
      <c r="F207" s="23">
        <v>0.04</v>
      </c>
      <c r="G207" s="23">
        <v>5.21</v>
      </c>
      <c r="H207" s="23">
        <v>9.86</v>
      </c>
      <c r="I207" s="15">
        <v>4.6500000000000004</v>
      </c>
      <c r="J207" s="23">
        <v>9.8800000000000008</v>
      </c>
      <c r="K207" s="23">
        <v>9.9999999999997903E-3</v>
      </c>
      <c r="L207" s="23">
        <v>0.01</v>
      </c>
      <c r="O207" s="15">
        <f>J207</f>
        <v>9.8800000000000008</v>
      </c>
      <c r="P207" s="23">
        <v>5.19</v>
      </c>
      <c r="Q207" s="23">
        <v>-0.01</v>
      </c>
      <c r="R207" s="23">
        <v>0.04</v>
      </c>
      <c r="S207" s="15">
        <v>4.6500000000000004</v>
      </c>
      <c r="T207" s="23">
        <v>9.9999999999997903E-3</v>
      </c>
      <c r="U207" s="23">
        <v>0.01</v>
      </c>
      <c r="V207" s="9">
        <f>SUM(P207:U207)</f>
        <v>9.89</v>
      </c>
      <c r="W207" s="9">
        <f>O207-V207</f>
        <v>-9.9999999999997868E-3</v>
      </c>
    </row>
    <row r="208" spans="1:23" ht="15.6">
      <c r="A208" s="9">
        <v>7</v>
      </c>
      <c r="B208" s="23">
        <v>18</v>
      </c>
      <c r="C208" s="23" t="s">
        <v>60</v>
      </c>
      <c r="D208" s="23">
        <v>5.47</v>
      </c>
      <c r="E208" s="23">
        <v>-0.14000000000000001</v>
      </c>
      <c r="F208" s="23">
        <v>-0.04</v>
      </c>
      <c r="G208" s="23">
        <v>5.28</v>
      </c>
      <c r="H208" s="23">
        <v>9.94</v>
      </c>
      <c r="I208" s="15">
        <v>4.6500000000000004</v>
      </c>
      <c r="J208" s="23">
        <v>9.94</v>
      </c>
      <c r="K208" s="23">
        <v>-9.9999999999997903E-3</v>
      </c>
      <c r="L208" s="23">
        <v>0.01</v>
      </c>
      <c r="O208" s="15">
        <f>J208</f>
        <v>9.94</v>
      </c>
      <c r="P208" s="23">
        <v>5.47</v>
      </c>
      <c r="Q208" s="23">
        <v>-0.14000000000000001</v>
      </c>
      <c r="R208" s="23">
        <v>-0.04</v>
      </c>
      <c r="S208" s="15">
        <v>4.6500000000000004</v>
      </c>
      <c r="T208" s="23">
        <v>-9.9999999999997903E-3</v>
      </c>
      <c r="U208" s="23">
        <v>0.01</v>
      </c>
      <c r="V208" s="9">
        <f>SUM(P208:U208)</f>
        <v>9.9400000000000013</v>
      </c>
      <c r="W208" s="9">
        <f>O208-V208</f>
        <v>0</v>
      </c>
    </row>
    <row r="209" spans="1:23" ht="15.6">
      <c r="A209" s="9">
        <v>7</v>
      </c>
      <c r="B209" s="23">
        <v>19</v>
      </c>
      <c r="C209" s="23" t="s">
        <v>66</v>
      </c>
      <c r="D209" s="23">
        <v>5.46</v>
      </c>
      <c r="E209" s="23">
        <v>-0.16</v>
      </c>
      <c r="F209" s="23">
        <v>-0.14000000000000001</v>
      </c>
      <c r="G209" s="23">
        <v>5.17</v>
      </c>
      <c r="H209" s="23">
        <v>9.82</v>
      </c>
      <c r="I209" s="15">
        <v>4.6500000000000004</v>
      </c>
      <c r="J209" s="23">
        <v>9.89</v>
      </c>
      <c r="K209" s="23">
        <v>6.0000000000000497E-2</v>
      </c>
      <c r="L209" s="23">
        <v>0.01</v>
      </c>
      <c r="O209" s="15">
        <f>J209</f>
        <v>9.89</v>
      </c>
      <c r="P209" s="23">
        <v>5.46</v>
      </c>
      <c r="Q209" s="23">
        <v>-0.16</v>
      </c>
      <c r="R209" s="23">
        <v>-0.14000000000000001</v>
      </c>
      <c r="S209" s="15">
        <v>4.6500000000000004</v>
      </c>
      <c r="T209" s="23">
        <v>6.0000000000000497E-2</v>
      </c>
      <c r="U209" s="23">
        <v>0.01</v>
      </c>
      <c r="V209" s="9">
        <f>SUM(P209:U209)</f>
        <v>9.8800000000000008</v>
      </c>
      <c r="W209" s="9">
        <f>O209-V209</f>
        <v>9.9999999999997868E-3</v>
      </c>
    </row>
    <row r="210" spans="1:23" ht="15.6">
      <c r="A210" s="9">
        <v>7</v>
      </c>
      <c r="B210" s="23">
        <v>20</v>
      </c>
      <c r="C210" s="23" t="s">
        <v>67</v>
      </c>
      <c r="D210" s="23">
        <v>5.27</v>
      </c>
      <c r="E210" s="23">
        <v>-0.08</v>
      </c>
      <c r="F210" s="23">
        <v>-0.17</v>
      </c>
      <c r="G210" s="23">
        <v>5.0199999999999996</v>
      </c>
      <c r="H210" s="23">
        <v>9.68</v>
      </c>
      <c r="I210" s="15">
        <v>4.6500000000000004</v>
      </c>
      <c r="J210" s="23">
        <v>9.69</v>
      </c>
      <c r="K210" s="23">
        <v>8.0000000000000099E-2</v>
      </c>
      <c r="L210" s="23">
        <v>-6.7000000000000004E-2</v>
      </c>
      <c r="O210" s="15">
        <f>J210</f>
        <v>9.69</v>
      </c>
      <c r="P210" s="23">
        <v>5.27</v>
      </c>
      <c r="Q210" s="23">
        <v>-0.08</v>
      </c>
      <c r="R210" s="23">
        <v>-0.17</v>
      </c>
      <c r="S210" s="15">
        <v>4.6500000000000004</v>
      </c>
      <c r="T210" s="23">
        <v>8.0000000000000099E-2</v>
      </c>
      <c r="U210" s="23">
        <v>-6.7000000000000004E-2</v>
      </c>
      <c r="V210" s="9">
        <f>SUM(P210:U210)</f>
        <v>9.6829999999999998</v>
      </c>
      <c r="W210" s="9">
        <f>O210-V210</f>
        <v>6.9999999999996732E-3</v>
      </c>
    </row>
    <row r="211" spans="1:23" ht="15.6">
      <c r="A211" s="9">
        <v>7</v>
      </c>
      <c r="B211" s="23">
        <v>21</v>
      </c>
      <c r="C211" s="23" t="s">
        <v>69</v>
      </c>
      <c r="D211" s="23">
        <v>5.39</v>
      </c>
      <c r="E211" s="23">
        <v>0</v>
      </c>
      <c r="F211" s="23">
        <v>-0.1</v>
      </c>
      <c r="G211" s="23">
        <v>5.28</v>
      </c>
      <c r="H211" s="23">
        <v>9.94</v>
      </c>
      <c r="I211" s="15">
        <v>4.6500000000000004</v>
      </c>
      <c r="J211" s="23">
        <v>9.93</v>
      </c>
      <c r="K211" s="23">
        <v>7.0000000000000298E-2</v>
      </c>
      <c r="L211" s="23">
        <v>-7.9000000000000001E-2</v>
      </c>
      <c r="O211" s="15">
        <f>J211</f>
        <v>9.93</v>
      </c>
      <c r="P211" s="23">
        <v>5.39</v>
      </c>
      <c r="Q211" s="23">
        <v>0</v>
      </c>
      <c r="R211" s="23">
        <v>-0.1</v>
      </c>
      <c r="S211" s="15">
        <v>4.6500000000000004</v>
      </c>
      <c r="T211" s="23">
        <v>7.0000000000000298E-2</v>
      </c>
      <c r="U211" s="23">
        <v>-7.9000000000000001E-2</v>
      </c>
      <c r="V211" s="9">
        <f>SUM(P211:U211)</f>
        <v>9.9310000000000009</v>
      </c>
      <c r="W211" s="9">
        <f>O211-V211</f>
        <v>-1.0000000000012221E-3</v>
      </c>
    </row>
    <row r="212" spans="1:23" ht="15.6">
      <c r="A212" s="9">
        <v>7</v>
      </c>
      <c r="B212" s="23">
        <v>22</v>
      </c>
      <c r="C212" s="23" t="s">
        <v>71</v>
      </c>
      <c r="D212" s="23">
        <v>5.07</v>
      </c>
      <c r="E212" s="23">
        <v>-0.04</v>
      </c>
      <c r="F212" s="23">
        <v>0.08</v>
      </c>
      <c r="G212" s="23">
        <v>5.1100000000000003</v>
      </c>
      <c r="H212" s="23">
        <v>9.76</v>
      </c>
      <c r="I212" s="15">
        <v>4.6500000000000004</v>
      </c>
      <c r="J212" s="23">
        <v>9.8000000000000007</v>
      </c>
      <c r="K212" s="23">
        <v>2.9999999999999399E-2</v>
      </c>
      <c r="L212" s="23">
        <v>0.01</v>
      </c>
      <c r="O212" s="15">
        <f>J212</f>
        <v>9.8000000000000007</v>
      </c>
      <c r="P212" s="23">
        <v>5.07</v>
      </c>
      <c r="Q212" s="23">
        <v>-0.04</v>
      </c>
      <c r="R212" s="23">
        <v>0.08</v>
      </c>
      <c r="S212" s="15">
        <v>4.6500000000000004</v>
      </c>
      <c r="T212" s="23">
        <v>2.9999999999999399E-2</v>
      </c>
      <c r="U212" s="23">
        <v>0.01</v>
      </c>
      <c r="V212" s="9">
        <f>SUM(P212:U212)</f>
        <v>9.8000000000000007</v>
      </c>
      <c r="W212" s="9">
        <f>O212-V212</f>
        <v>0</v>
      </c>
    </row>
    <row r="213" spans="1:23" ht="15.6">
      <c r="A213" s="9">
        <v>7</v>
      </c>
      <c r="B213" s="23">
        <v>23</v>
      </c>
      <c r="C213" s="23" t="s">
        <v>72</v>
      </c>
      <c r="D213" s="23">
        <v>4.92</v>
      </c>
      <c r="E213" s="23">
        <v>0.19</v>
      </c>
      <c r="F213" s="23">
        <v>0.23</v>
      </c>
      <c r="G213" s="23">
        <v>5.33</v>
      </c>
      <c r="H213" s="23">
        <v>9.98</v>
      </c>
      <c r="I213" s="15">
        <v>4.6500000000000004</v>
      </c>
      <c r="J213" s="23">
        <v>10.029999999999999</v>
      </c>
      <c r="K213" s="23">
        <v>3.9999999999999203E-2</v>
      </c>
      <c r="L213" s="23">
        <v>0.01</v>
      </c>
      <c r="O213" s="15">
        <f>J213</f>
        <v>10.029999999999999</v>
      </c>
      <c r="P213" s="23">
        <v>4.92</v>
      </c>
      <c r="Q213" s="23">
        <v>0.19</v>
      </c>
      <c r="R213" s="23">
        <v>0.23</v>
      </c>
      <c r="S213" s="15">
        <v>4.6500000000000004</v>
      </c>
      <c r="T213" s="23">
        <v>3.9999999999999203E-2</v>
      </c>
      <c r="U213" s="23">
        <v>0.01</v>
      </c>
      <c r="V213" s="9">
        <f>SUM(P213:U213)</f>
        <v>10.040000000000001</v>
      </c>
      <c r="W213" s="9">
        <f>O213-V213</f>
        <v>-1.0000000000001563E-2</v>
      </c>
    </row>
    <row r="214" spans="1:23" ht="15.6">
      <c r="A214" s="9">
        <v>7</v>
      </c>
      <c r="B214" s="23">
        <v>24</v>
      </c>
      <c r="C214" s="23" t="s">
        <v>74</v>
      </c>
      <c r="D214" s="23">
        <v>5.22</v>
      </c>
      <c r="E214" s="23">
        <v>0.02</v>
      </c>
      <c r="F214" s="23">
        <v>0.01</v>
      </c>
      <c r="G214" s="23">
        <v>5.25</v>
      </c>
      <c r="H214" s="23">
        <v>9.9</v>
      </c>
      <c r="I214" s="15">
        <v>4.6500000000000004</v>
      </c>
      <c r="J214" s="23">
        <v>9.99</v>
      </c>
      <c r="K214" s="23">
        <v>8.0000000000000099E-2</v>
      </c>
      <c r="L214" s="23">
        <v>0.01</v>
      </c>
      <c r="O214" s="15">
        <f>J214</f>
        <v>9.99</v>
      </c>
      <c r="P214" s="23">
        <v>5.22</v>
      </c>
      <c r="Q214" s="23">
        <v>0.02</v>
      </c>
      <c r="R214" s="23">
        <v>0.01</v>
      </c>
      <c r="S214" s="15">
        <v>4.6500000000000004</v>
      </c>
      <c r="T214" s="23">
        <v>8.0000000000000099E-2</v>
      </c>
      <c r="U214" s="23">
        <v>0.01</v>
      </c>
      <c r="V214" s="9">
        <f>SUM(P214:U214)</f>
        <v>9.9899999999999984</v>
      </c>
      <c r="W214" s="9">
        <f>O214-V214</f>
        <v>0</v>
      </c>
    </row>
    <row r="215" spans="1:23" ht="15.6">
      <c r="A215" s="9">
        <v>7</v>
      </c>
      <c r="B215" s="23">
        <v>25</v>
      </c>
      <c r="C215" s="23" t="s">
        <v>75</v>
      </c>
      <c r="D215" s="23">
        <v>5.28</v>
      </c>
      <c r="E215" s="23">
        <v>0.08</v>
      </c>
      <c r="F215" s="23">
        <v>-0.14000000000000001</v>
      </c>
      <c r="G215" s="23">
        <v>5.22</v>
      </c>
      <c r="H215" s="23">
        <v>9.8800000000000008</v>
      </c>
      <c r="I215" s="15">
        <v>4.6500000000000004</v>
      </c>
      <c r="J215" s="23">
        <v>9.9700000000000006</v>
      </c>
      <c r="K215" s="23">
        <v>8.0000000000000099E-2</v>
      </c>
      <c r="L215" s="23">
        <v>0.01</v>
      </c>
      <c r="O215" s="15">
        <f>J215</f>
        <v>9.9700000000000006</v>
      </c>
      <c r="P215" s="23">
        <v>5.28</v>
      </c>
      <c r="Q215" s="23">
        <v>0.08</v>
      </c>
      <c r="R215" s="23">
        <v>-0.14000000000000001</v>
      </c>
      <c r="S215" s="15">
        <v>4.6500000000000004</v>
      </c>
      <c r="T215" s="23">
        <v>8.0000000000000099E-2</v>
      </c>
      <c r="U215" s="23">
        <v>0.01</v>
      </c>
      <c r="V215" s="9">
        <f>SUM(P215:U215)</f>
        <v>9.9600000000000009</v>
      </c>
      <c r="W215" s="9">
        <f>O215-V215</f>
        <v>9.9999999999997868E-3</v>
      </c>
    </row>
    <row r="216" spans="1:23" ht="15.6">
      <c r="A216" s="9">
        <v>7</v>
      </c>
      <c r="B216" s="23">
        <v>26</v>
      </c>
      <c r="C216" s="23" t="s">
        <v>79</v>
      </c>
      <c r="D216" s="23">
        <v>5.28</v>
      </c>
      <c r="E216" s="23">
        <v>7.0000000000000007E-2</v>
      </c>
      <c r="F216" s="23">
        <v>0.04</v>
      </c>
      <c r="G216" s="23">
        <v>5.39</v>
      </c>
      <c r="H216" s="23">
        <v>10.050000000000001</v>
      </c>
      <c r="I216" s="15">
        <v>4.6500000000000004</v>
      </c>
      <c r="J216" s="23">
        <v>10.029999999999999</v>
      </c>
      <c r="K216" s="23">
        <v>-3.0000000000001099E-2</v>
      </c>
      <c r="L216" s="23">
        <v>0.01</v>
      </c>
      <c r="O216" s="15">
        <f>J216</f>
        <v>10.029999999999999</v>
      </c>
      <c r="P216" s="23">
        <v>5.28</v>
      </c>
      <c r="Q216" s="23">
        <v>7.0000000000000007E-2</v>
      </c>
      <c r="R216" s="23">
        <v>0.04</v>
      </c>
      <c r="S216" s="15">
        <v>4.6500000000000004</v>
      </c>
      <c r="T216" s="23">
        <v>-3.0000000000001099E-2</v>
      </c>
      <c r="U216" s="23">
        <v>0.01</v>
      </c>
      <c r="V216" s="9">
        <f>SUM(P216:U216)</f>
        <v>10.02</v>
      </c>
      <c r="W216" s="9">
        <f>O216-V216</f>
        <v>9.9999999999997868E-3</v>
      </c>
    </row>
    <row r="217" spans="1:23" ht="15.6">
      <c r="A217" s="9">
        <v>7</v>
      </c>
      <c r="B217" s="23">
        <v>27</v>
      </c>
      <c r="C217" s="23" t="s">
        <v>80</v>
      </c>
      <c r="D217" s="23">
        <v>5.32</v>
      </c>
      <c r="E217" s="23">
        <v>0.16</v>
      </c>
      <c r="F217" s="23">
        <v>0.12</v>
      </c>
      <c r="G217" s="23">
        <v>5.6</v>
      </c>
      <c r="H217" s="23">
        <v>10.25</v>
      </c>
      <c r="I217" s="15">
        <v>4.6500000000000004</v>
      </c>
      <c r="J217" s="23">
        <v>10.24</v>
      </c>
      <c r="K217" s="23">
        <v>-1.9999999999999601E-2</v>
      </c>
      <c r="L217" s="23">
        <v>0.01</v>
      </c>
      <c r="O217" s="15">
        <f>J217</f>
        <v>10.24</v>
      </c>
      <c r="P217" s="23">
        <v>5.32</v>
      </c>
      <c r="Q217" s="23">
        <v>0.16</v>
      </c>
      <c r="R217" s="23">
        <v>0.12</v>
      </c>
      <c r="S217" s="15">
        <v>4.6500000000000004</v>
      </c>
      <c r="T217" s="23">
        <v>-1.9999999999999601E-2</v>
      </c>
      <c r="U217" s="23">
        <v>0.01</v>
      </c>
      <c r="V217" s="9">
        <f>SUM(P217:U217)</f>
        <v>10.24</v>
      </c>
      <c r="W217" s="9">
        <f>O217-V217</f>
        <v>0</v>
      </c>
    </row>
    <row r="218" spans="1:23" ht="15.6">
      <c r="A218" s="9">
        <v>7</v>
      </c>
      <c r="B218" s="23">
        <v>28</v>
      </c>
      <c r="C218" s="23" t="s">
        <v>81</v>
      </c>
      <c r="D218" s="23">
        <v>5.52</v>
      </c>
      <c r="E218" s="23">
        <v>0.02</v>
      </c>
      <c r="F218" s="23">
        <v>-0.03</v>
      </c>
      <c r="G218" s="23">
        <v>5.51</v>
      </c>
      <c r="H218" s="23">
        <v>10.17</v>
      </c>
      <c r="I218" s="15">
        <v>4.6500000000000004</v>
      </c>
      <c r="J218" s="23">
        <v>10.16</v>
      </c>
      <c r="K218" s="23">
        <v>-1.9999999999999601E-2</v>
      </c>
      <c r="L218" s="23">
        <v>0.01</v>
      </c>
      <c r="O218" s="15">
        <f>J218</f>
        <v>10.16</v>
      </c>
      <c r="P218" s="23">
        <v>5.52</v>
      </c>
      <c r="Q218" s="23">
        <v>0.02</v>
      </c>
      <c r="R218" s="23">
        <v>-0.03</v>
      </c>
      <c r="S218" s="15">
        <v>4.6500000000000004</v>
      </c>
      <c r="T218" s="23">
        <v>-1.9999999999999601E-2</v>
      </c>
      <c r="U218" s="23">
        <v>0.01</v>
      </c>
      <c r="V218" s="9">
        <f>SUM(P218:U218)</f>
        <v>10.15</v>
      </c>
      <c r="W218" s="9">
        <f>O218-V218</f>
        <v>9.9999999999997868E-3</v>
      </c>
    </row>
    <row r="219" spans="1:23" ht="15.6">
      <c r="A219" s="9">
        <v>7</v>
      </c>
      <c r="B219" s="23">
        <v>29</v>
      </c>
      <c r="C219" s="23" t="s">
        <v>82</v>
      </c>
      <c r="D219" s="23">
        <v>5.88</v>
      </c>
      <c r="E219" s="23">
        <v>-0.02</v>
      </c>
      <c r="F219" s="23">
        <v>-0.43</v>
      </c>
      <c r="G219" s="23">
        <v>5.42</v>
      </c>
      <c r="H219" s="23">
        <v>10.08</v>
      </c>
      <c r="I219" s="15">
        <v>4.6500000000000004</v>
      </c>
      <c r="J219" s="23">
        <v>10.02</v>
      </c>
      <c r="K219" s="23">
        <v>-6.0000000000000497E-2</v>
      </c>
      <c r="L219" s="23">
        <v>1E-3</v>
      </c>
      <c r="O219" s="15">
        <f>J219</f>
        <v>10.02</v>
      </c>
      <c r="P219" s="23">
        <v>5.88</v>
      </c>
      <c r="Q219" s="23">
        <v>-0.02</v>
      </c>
      <c r="R219" s="23">
        <v>-0.43</v>
      </c>
      <c r="S219" s="15">
        <v>4.6500000000000004</v>
      </c>
      <c r="T219" s="23">
        <v>-6.0000000000000497E-2</v>
      </c>
      <c r="U219" s="23">
        <v>1E-3</v>
      </c>
      <c r="V219" s="9">
        <f>SUM(P219:U219)</f>
        <v>10.021000000000001</v>
      </c>
      <c r="W219" s="9">
        <f>O219-V219</f>
        <v>-1.0000000000012221E-3</v>
      </c>
    </row>
    <row r="220" spans="1:23" ht="15.6">
      <c r="A220" s="9">
        <v>7</v>
      </c>
      <c r="B220" s="23">
        <v>30</v>
      </c>
      <c r="C220" s="23" t="s">
        <v>83</v>
      </c>
      <c r="D220" s="23">
        <v>6.06</v>
      </c>
      <c r="E220" s="23">
        <v>-0.08</v>
      </c>
      <c r="F220" s="23">
        <v>-0.52</v>
      </c>
      <c r="G220" s="23">
        <v>5.46</v>
      </c>
      <c r="H220" s="23">
        <v>10.11</v>
      </c>
      <c r="I220" s="15">
        <v>4.6500000000000004</v>
      </c>
      <c r="J220" s="23">
        <v>10.19</v>
      </c>
      <c r="K220" s="23">
        <v>8.0000000000000099E-2</v>
      </c>
      <c r="L220" s="23">
        <v>-1E-3</v>
      </c>
      <c r="O220" s="15">
        <f>J220</f>
        <v>10.19</v>
      </c>
      <c r="P220" s="23">
        <v>6.06</v>
      </c>
      <c r="Q220" s="23">
        <v>-0.08</v>
      </c>
      <c r="R220" s="23">
        <v>-0.52</v>
      </c>
      <c r="S220" s="15">
        <v>4.6500000000000004</v>
      </c>
      <c r="T220" s="23">
        <v>8.0000000000000099E-2</v>
      </c>
      <c r="U220" s="23">
        <v>-1E-3</v>
      </c>
      <c r="V220" s="9">
        <f>SUM(P220:U220)</f>
        <v>10.189</v>
      </c>
      <c r="W220" s="9">
        <f>O220-V220</f>
        <v>9.9999999999944578E-4</v>
      </c>
    </row>
    <row r="221" spans="1:23" ht="15.6">
      <c r="A221" s="9">
        <v>7</v>
      </c>
      <c r="B221" s="23">
        <v>31</v>
      </c>
      <c r="C221" s="23" t="s">
        <v>84</v>
      </c>
      <c r="D221" s="23">
        <v>6.09</v>
      </c>
      <c r="E221" s="23">
        <v>-0.16</v>
      </c>
      <c r="F221" s="23">
        <v>-0.67</v>
      </c>
      <c r="G221" s="23">
        <v>5.26</v>
      </c>
      <c r="H221" s="23">
        <v>9.92</v>
      </c>
      <c r="I221" s="15">
        <v>4.6500000000000004</v>
      </c>
      <c r="J221" s="23">
        <v>9.93</v>
      </c>
      <c r="K221" s="23">
        <v>0</v>
      </c>
      <c r="L221" s="23">
        <v>0.01</v>
      </c>
      <c r="O221" s="15">
        <f>J221</f>
        <v>9.93</v>
      </c>
      <c r="P221" s="23">
        <v>6.09</v>
      </c>
      <c r="Q221" s="23">
        <v>-0.16</v>
      </c>
      <c r="R221" s="23">
        <v>-0.67</v>
      </c>
      <c r="S221" s="15">
        <v>4.6500000000000004</v>
      </c>
      <c r="T221" s="23">
        <v>0</v>
      </c>
      <c r="U221" s="23">
        <v>0.01</v>
      </c>
      <c r="V221" s="9">
        <f>SUM(P221:U221)</f>
        <v>9.92</v>
      </c>
      <c r="W221" s="9">
        <f>O221-V221</f>
        <v>9.9999999999997868E-3</v>
      </c>
    </row>
    <row r="222" spans="1:23" ht="15.6">
      <c r="A222" s="9">
        <v>7</v>
      </c>
      <c r="B222" s="23">
        <v>32</v>
      </c>
      <c r="C222" s="23" t="s">
        <v>85</v>
      </c>
      <c r="D222" s="23">
        <v>6.24</v>
      </c>
      <c r="E222" s="23">
        <v>-0.27</v>
      </c>
      <c r="F222" s="23">
        <v>-0.52</v>
      </c>
      <c r="G222" s="23">
        <v>5.45</v>
      </c>
      <c r="H222" s="23">
        <v>10.11</v>
      </c>
      <c r="I222" s="15">
        <v>4.6500000000000004</v>
      </c>
      <c r="J222" s="23">
        <v>9.94</v>
      </c>
      <c r="K222" s="23">
        <v>-5.99999999999987E-2</v>
      </c>
      <c r="L222" s="23">
        <v>-0.106</v>
      </c>
      <c r="O222" s="15">
        <f>J222</f>
        <v>9.94</v>
      </c>
      <c r="P222" s="23">
        <v>6.24</v>
      </c>
      <c r="Q222" s="23">
        <v>-0.27</v>
      </c>
      <c r="R222" s="23">
        <v>-0.52</v>
      </c>
      <c r="S222" s="15">
        <v>4.6500000000000004</v>
      </c>
      <c r="T222" s="23">
        <v>-5.99999999999987E-2</v>
      </c>
      <c r="U222" s="23">
        <v>-0.106</v>
      </c>
      <c r="V222" s="9">
        <f>SUM(P222:U222)</f>
        <v>9.9340000000000028</v>
      </c>
      <c r="W222" s="9">
        <f>O222-V222</f>
        <v>5.9999999999966747E-3</v>
      </c>
    </row>
    <row r="223" spans="1:23" ht="15.6">
      <c r="A223" s="9">
        <v>7</v>
      </c>
      <c r="B223" s="23">
        <v>33</v>
      </c>
      <c r="C223" s="23" t="s">
        <v>86</v>
      </c>
      <c r="D223" s="23">
        <v>5.66</v>
      </c>
      <c r="E223" s="23">
        <v>0.06</v>
      </c>
      <c r="F223" s="23">
        <v>-0.23</v>
      </c>
      <c r="G223" s="23">
        <v>5.49</v>
      </c>
      <c r="H223" s="23">
        <v>10.15</v>
      </c>
      <c r="I223" s="15">
        <v>4.6500000000000004</v>
      </c>
      <c r="J223" s="23">
        <v>10.17</v>
      </c>
      <c r="K223" s="23">
        <v>9.9999999999997903E-3</v>
      </c>
      <c r="L223" s="23">
        <v>0.01</v>
      </c>
      <c r="O223" s="15">
        <f>J223</f>
        <v>10.17</v>
      </c>
      <c r="P223" s="23">
        <v>5.66</v>
      </c>
      <c r="Q223" s="23">
        <v>0.06</v>
      </c>
      <c r="R223" s="23">
        <v>-0.23</v>
      </c>
      <c r="S223" s="15">
        <v>4.6500000000000004</v>
      </c>
      <c r="T223" s="23">
        <v>9.9999999999997903E-3</v>
      </c>
      <c r="U223" s="23">
        <v>0.01</v>
      </c>
      <c r="V223" s="9">
        <f>SUM(P223:U223)</f>
        <v>10.16</v>
      </c>
      <c r="W223" s="9">
        <f>O223-V223</f>
        <v>9.9999999999997868E-3</v>
      </c>
    </row>
    <row r="224" spans="1:23" ht="15.6">
      <c r="A224" s="9">
        <v>7</v>
      </c>
      <c r="B224" s="23">
        <v>34</v>
      </c>
      <c r="C224" s="23" t="s">
        <v>88</v>
      </c>
      <c r="D224" s="23">
        <v>5.41</v>
      </c>
      <c r="E224" s="23">
        <v>0.04</v>
      </c>
      <c r="F224" s="23">
        <v>-0.14000000000000001</v>
      </c>
      <c r="G224" s="23">
        <v>5.31</v>
      </c>
      <c r="H224" s="23">
        <v>9.9600000000000009</v>
      </c>
      <c r="I224" s="15">
        <v>4.6500000000000004</v>
      </c>
      <c r="J224" s="23">
        <v>9.9700000000000006</v>
      </c>
      <c r="K224" s="23">
        <v>0</v>
      </c>
      <c r="L224" s="23">
        <v>0.01</v>
      </c>
      <c r="O224" s="15">
        <f>J224</f>
        <v>9.9700000000000006</v>
      </c>
      <c r="P224" s="23">
        <v>5.41</v>
      </c>
      <c r="Q224" s="23">
        <v>0.04</v>
      </c>
      <c r="R224" s="23">
        <v>-0.14000000000000001</v>
      </c>
      <c r="S224" s="15">
        <v>4.6500000000000004</v>
      </c>
      <c r="T224" s="23">
        <v>0</v>
      </c>
      <c r="U224" s="23">
        <v>0.01</v>
      </c>
      <c r="V224" s="9">
        <f>SUM(P224:U224)</f>
        <v>9.9700000000000006</v>
      </c>
      <c r="W224" s="9">
        <f>O224-V224</f>
        <v>0</v>
      </c>
    </row>
    <row r="225" spans="1:23" ht="15.6">
      <c r="A225" s="9">
        <v>7</v>
      </c>
      <c r="B225" s="23">
        <v>35</v>
      </c>
      <c r="C225" s="23" t="s">
        <v>89</v>
      </c>
      <c r="D225" s="23">
        <v>5.83</v>
      </c>
      <c r="E225" s="23">
        <v>-0.17</v>
      </c>
      <c r="F225" s="23">
        <v>-0.1</v>
      </c>
      <c r="G225" s="23">
        <v>5.56</v>
      </c>
      <c r="H225" s="23">
        <v>10.210000000000001</v>
      </c>
      <c r="I225" s="15">
        <v>4.6500000000000004</v>
      </c>
      <c r="J225" s="23">
        <v>10.36</v>
      </c>
      <c r="K225" s="23">
        <v>0.13999999999999899</v>
      </c>
      <c r="L225" s="23">
        <v>0.01</v>
      </c>
      <c r="O225" s="15">
        <f>J225</f>
        <v>10.36</v>
      </c>
      <c r="P225" s="23">
        <v>5.83</v>
      </c>
      <c r="Q225" s="23">
        <v>-0.17</v>
      </c>
      <c r="R225" s="23">
        <v>-0.1</v>
      </c>
      <c r="S225" s="15">
        <v>4.6500000000000004</v>
      </c>
      <c r="T225" s="23">
        <v>0.13999999999999899</v>
      </c>
      <c r="U225" s="23">
        <v>0.01</v>
      </c>
      <c r="V225" s="9">
        <f>SUM(P225:U225)</f>
        <v>10.36</v>
      </c>
      <c r="W225" s="9">
        <f>O225-V225</f>
        <v>0</v>
      </c>
    </row>
    <row r="226" spans="1:23" ht="15.6">
      <c r="A226" s="9">
        <v>7</v>
      </c>
      <c r="B226" s="23">
        <v>36</v>
      </c>
      <c r="C226" s="23" t="s">
        <v>90</v>
      </c>
      <c r="D226" s="23">
        <v>6.2</v>
      </c>
      <c r="E226" s="23">
        <v>-0.11</v>
      </c>
      <c r="F226" s="23">
        <v>-0.36</v>
      </c>
      <c r="G226" s="23">
        <v>5.73</v>
      </c>
      <c r="H226" s="23">
        <v>10.38</v>
      </c>
      <c r="I226" s="15">
        <v>4.6500000000000004</v>
      </c>
      <c r="J226" s="23">
        <v>10.47</v>
      </c>
      <c r="K226" s="23">
        <v>0.109999999999999</v>
      </c>
      <c r="L226" s="23">
        <v>-2.5000000000000001E-2</v>
      </c>
      <c r="O226" s="15">
        <f>J226</f>
        <v>10.47</v>
      </c>
      <c r="P226" s="23">
        <v>6.2</v>
      </c>
      <c r="Q226" s="23">
        <v>-0.11</v>
      </c>
      <c r="R226" s="23">
        <v>-0.36</v>
      </c>
      <c r="S226" s="15">
        <v>4.6500000000000004</v>
      </c>
      <c r="T226" s="23">
        <v>0.109999999999999</v>
      </c>
      <c r="U226" s="23">
        <v>-2.5000000000000001E-2</v>
      </c>
      <c r="V226" s="9">
        <f>SUM(P226:U226)</f>
        <v>10.464999999999998</v>
      </c>
      <c r="W226" s="9">
        <f>O226-V226</f>
        <v>5.000000000002558E-3</v>
      </c>
    </row>
    <row r="227" spans="1:23" ht="15.6">
      <c r="A227" s="9">
        <v>7</v>
      </c>
      <c r="B227" s="23">
        <v>37</v>
      </c>
      <c r="C227" s="23" t="s">
        <v>91</v>
      </c>
      <c r="D227" s="23">
        <v>5.99</v>
      </c>
      <c r="E227" s="23">
        <v>-0.05</v>
      </c>
      <c r="F227" s="23">
        <v>-0.35</v>
      </c>
      <c r="G227" s="23">
        <v>5.59</v>
      </c>
      <c r="H227" s="23">
        <v>10.24</v>
      </c>
      <c r="I227" s="15">
        <v>4.6500000000000004</v>
      </c>
      <c r="J227" s="23">
        <v>10.210000000000001</v>
      </c>
      <c r="K227" s="23">
        <v>-4.0000000000000903E-2</v>
      </c>
      <c r="L227" s="23">
        <v>0.01</v>
      </c>
      <c r="O227" s="15">
        <f>J227</f>
        <v>10.210000000000001</v>
      </c>
      <c r="P227" s="23">
        <v>5.99</v>
      </c>
      <c r="Q227" s="23">
        <v>-0.05</v>
      </c>
      <c r="R227" s="23">
        <v>-0.35</v>
      </c>
      <c r="S227" s="15">
        <v>4.6500000000000004</v>
      </c>
      <c r="T227" s="23">
        <v>-4.0000000000000903E-2</v>
      </c>
      <c r="U227" s="23">
        <v>0.01</v>
      </c>
      <c r="V227" s="9">
        <f>SUM(P227:U227)</f>
        <v>10.210000000000001</v>
      </c>
      <c r="W227" s="9">
        <f>O227-V227</f>
        <v>0</v>
      </c>
    </row>
    <row r="228" spans="1:23" ht="15.6">
      <c r="A228" s="9">
        <v>7</v>
      </c>
      <c r="B228" s="23">
        <v>38</v>
      </c>
      <c r="C228" s="23" t="s">
        <v>92</v>
      </c>
      <c r="D228" s="23">
        <v>5.95</v>
      </c>
      <c r="E228" s="23">
        <v>-0.01</v>
      </c>
      <c r="F228" s="23">
        <v>-0.47</v>
      </c>
      <c r="G228" s="23">
        <v>5.47</v>
      </c>
      <c r="H228" s="23">
        <v>10.119999999999999</v>
      </c>
      <c r="I228" s="15">
        <v>4.6500000000000004</v>
      </c>
      <c r="J228" s="23">
        <v>10.18</v>
      </c>
      <c r="K228" s="23">
        <v>5.0000000000000697E-2</v>
      </c>
      <c r="L228" s="23">
        <v>0.01</v>
      </c>
      <c r="O228" s="15">
        <f>J228</f>
        <v>10.18</v>
      </c>
      <c r="P228" s="23">
        <v>5.95</v>
      </c>
      <c r="Q228" s="23">
        <v>-0.01</v>
      </c>
      <c r="R228" s="23">
        <v>-0.47</v>
      </c>
      <c r="S228" s="15">
        <v>4.6500000000000004</v>
      </c>
      <c r="T228" s="23">
        <v>5.0000000000000697E-2</v>
      </c>
      <c r="U228" s="23">
        <v>0.01</v>
      </c>
      <c r="V228" s="9">
        <f>SUM(P228:U228)</f>
        <v>10.180000000000001</v>
      </c>
      <c r="W228" s="9">
        <f>O228-V228</f>
        <v>0</v>
      </c>
    </row>
    <row r="229" spans="1:23" ht="15.6">
      <c r="A229" s="9">
        <v>7</v>
      </c>
      <c r="B229" s="23">
        <v>39</v>
      </c>
      <c r="C229" s="23" t="s">
        <v>93</v>
      </c>
      <c r="D229" s="23">
        <v>6.03</v>
      </c>
      <c r="E229" s="23">
        <v>-0.17</v>
      </c>
      <c r="F229" s="23">
        <v>-0.39</v>
      </c>
      <c r="G229" s="23">
        <v>5.48</v>
      </c>
      <c r="H229" s="23">
        <v>10.130000000000001</v>
      </c>
      <c r="I229" s="15">
        <v>4.6500000000000004</v>
      </c>
      <c r="J229" s="23">
        <v>10.130000000000001</v>
      </c>
      <c r="K229" s="23">
        <v>-1.00000000000016E-2</v>
      </c>
      <c r="L229" s="23">
        <v>0.01</v>
      </c>
      <c r="O229" s="15">
        <f>J229</f>
        <v>10.130000000000001</v>
      </c>
      <c r="P229" s="23">
        <v>6.03</v>
      </c>
      <c r="Q229" s="23">
        <v>-0.17</v>
      </c>
      <c r="R229" s="23">
        <v>-0.39</v>
      </c>
      <c r="S229" s="15">
        <v>4.6500000000000004</v>
      </c>
      <c r="T229" s="23">
        <v>-1.00000000000016E-2</v>
      </c>
      <c r="U229" s="23">
        <v>0.01</v>
      </c>
      <c r="V229" s="9">
        <f>SUM(P229:U229)</f>
        <v>10.119999999999999</v>
      </c>
      <c r="W229" s="9">
        <f>O229-V229</f>
        <v>1.0000000000001563E-2</v>
      </c>
    </row>
    <row r="230" spans="1:23" ht="15.6">
      <c r="A230" s="9">
        <v>7</v>
      </c>
      <c r="B230" s="23">
        <v>40</v>
      </c>
      <c r="C230" s="23" t="s">
        <v>94</v>
      </c>
      <c r="D230" s="23">
        <v>5.9</v>
      </c>
      <c r="E230" s="23">
        <v>0.04</v>
      </c>
      <c r="F230" s="23">
        <v>-0.28999999999999998</v>
      </c>
      <c r="G230" s="23">
        <v>5.65</v>
      </c>
      <c r="H230" s="23">
        <v>10.3</v>
      </c>
      <c r="I230" s="15">
        <v>4.6500000000000004</v>
      </c>
      <c r="J230" s="23">
        <v>10.31</v>
      </c>
      <c r="K230" s="23">
        <v>0</v>
      </c>
      <c r="L230" s="23">
        <v>0.01</v>
      </c>
      <c r="O230" s="15">
        <f>J230</f>
        <v>10.31</v>
      </c>
      <c r="P230" s="23">
        <v>5.9</v>
      </c>
      <c r="Q230" s="23">
        <v>0.04</v>
      </c>
      <c r="R230" s="23">
        <v>-0.28999999999999998</v>
      </c>
      <c r="S230" s="15">
        <v>4.6500000000000004</v>
      </c>
      <c r="T230" s="23">
        <v>0</v>
      </c>
      <c r="U230" s="23">
        <v>0.01</v>
      </c>
      <c r="V230" s="9">
        <f>SUM(P230:U230)</f>
        <v>10.31</v>
      </c>
      <c r="W230" s="9">
        <f>O230-V230</f>
        <v>0</v>
      </c>
    </row>
    <row r="231" spans="1:23" ht="15.6">
      <c r="A231" s="9">
        <v>7</v>
      </c>
      <c r="B231" s="23">
        <v>41</v>
      </c>
      <c r="C231" s="23" t="s">
        <v>95</v>
      </c>
      <c r="D231" s="23">
        <v>6.93</v>
      </c>
      <c r="E231" s="23">
        <v>-0.19</v>
      </c>
      <c r="F231" s="23">
        <v>-0.68</v>
      </c>
      <c r="G231" s="23">
        <v>6.06</v>
      </c>
      <c r="H231" s="23">
        <v>10.71</v>
      </c>
      <c r="I231" s="15">
        <v>4.6500000000000004</v>
      </c>
      <c r="J231" s="23">
        <v>10.78</v>
      </c>
      <c r="K231" s="23">
        <v>5.99999999999987E-2</v>
      </c>
      <c r="L231" s="23">
        <v>0.01</v>
      </c>
      <c r="O231" s="15">
        <f>J231</f>
        <v>10.78</v>
      </c>
      <c r="P231" s="23">
        <v>6.93</v>
      </c>
      <c r="Q231" s="23">
        <v>-0.19</v>
      </c>
      <c r="R231" s="23">
        <v>-0.68</v>
      </c>
      <c r="S231" s="15">
        <v>4.6500000000000004</v>
      </c>
      <c r="T231" s="23">
        <v>5.99999999999987E-2</v>
      </c>
      <c r="U231" s="23">
        <v>0.01</v>
      </c>
      <c r="V231" s="9">
        <f>SUM(P231:U231)</f>
        <v>10.78</v>
      </c>
      <c r="W231" s="9">
        <f>O231-V231</f>
        <v>0</v>
      </c>
    </row>
    <row r="232" spans="1:23" ht="15.6">
      <c r="A232" s="9">
        <v>7</v>
      </c>
      <c r="B232" s="23">
        <v>42</v>
      </c>
      <c r="C232" s="23" t="s">
        <v>96</v>
      </c>
      <c r="D232" s="23">
        <v>6.7</v>
      </c>
      <c r="E232" s="23">
        <v>-0.27</v>
      </c>
      <c r="F232" s="23">
        <v>-0.76</v>
      </c>
      <c r="G232" s="23">
        <v>5.67</v>
      </c>
      <c r="H232" s="23">
        <v>10.33</v>
      </c>
      <c r="I232" s="15">
        <v>4.6500000000000004</v>
      </c>
      <c r="J232" s="23">
        <v>10.41</v>
      </c>
      <c r="K232" s="23">
        <v>7.0000000000000298E-2</v>
      </c>
      <c r="L232" s="23">
        <v>0.01</v>
      </c>
      <c r="O232" s="15">
        <f>J232</f>
        <v>10.41</v>
      </c>
      <c r="P232" s="23">
        <v>6.7</v>
      </c>
      <c r="Q232" s="23">
        <v>-0.27</v>
      </c>
      <c r="R232" s="23">
        <v>-0.76</v>
      </c>
      <c r="S232" s="15">
        <v>4.6500000000000004</v>
      </c>
      <c r="T232" s="23">
        <v>7.0000000000000298E-2</v>
      </c>
      <c r="U232" s="23">
        <v>0.01</v>
      </c>
      <c r="V232" s="9">
        <f>SUM(P232:U232)</f>
        <v>10.4</v>
      </c>
      <c r="W232" s="9">
        <f>O232-V232</f>
        <v>9.9999999999997868E-3</v>
      </c>
    </row>
    <row r="233" spans="1:23" ht="15.6">
      <c r="A233" s="9">
        <v>7</v>
      </c>
      <c r="B233" s="23">
        <v>43</v>
      </c>
      <c r="C233" s="23" t="s">
        <v>97</v>
      </c>
      <c r="D233" s="23">
        <v>6.34</v>
      </c>
      <c r="E233" s="23">
        <v>-0.1</v>
      </c>
      <c r="F233" s="23">
        <v>-0.6</v>
      </c>
      <c r="G233" s="23">
        <v>5.64</v>
      </c>
      <c r="H233" s="23">
        <v>10.29</v>
      </c>
      <c r="I233" s="15">
        <v>4.6500000000000004</v>
      </c>
      <c r="J233" s="23">
        <v>10.119999999999999</v>
      </c>
      <c r="K233" s="23">
        <v>-2.9999999999999399E-2</v>
      </c>
      <c r="L233" s="23">
        <v>-0.13700000000000001</v>
      </c>
      <c r="O233" s="15">
        <f>J233</f>
        <v>10.119999999999999</v>
      </c>
      <c r="P233" s="23">
        <v>6.34</v>
      </c>
      <c r="Q233" s="23">
        <v>-0.1</v>
      </c>
      <c r="R233" s="23">
        <v>-0.6</v>
      </c>
      <c r="S233" s="15">
        <v>4.6500000000000004</v>
      </c>
      <c r="T233" s="23">
        <v>-2.9999999999999399E-2</v>
      </c>
      <c r="U233" s="23">
        <v>-0.13700000000000001</v>
      </c>
      <c r="V233" s="9">
        <f>SUM(P233:U233)</f>
        <v>10.123000000000001</v>
      </c>
      <c r="W233" s="9">
        <f>O233-V233</f>
        <v>-3.00000000000189E-3</v>
      </c>
    </row>
    <row r="234" spans="1:23" ht="15.6">
      <c r="A234" s="9">
        <v>7</v>
      </c>
      <c r="B234" s="23">
        <v>44</v>
      </c>
      <c r="C234" s="23" t="s">
        <v>98</v>
      </c>
      <c r="D234" s="23">
        <v>6.41</v>
      </c>
      <c r="E234" s="23">
        <v>-0.22</v>
      </c>
      <c r="F234" s="23">
        <v>-0.56999999999999995</v>
      </c>
      <c r="G234" s="23">
        <v>5.62</v>
      </c>
      <c r="H234" s="23">
        <v>10.27</v>
      </c>
      <c r="I234" s="15">
        <v>4.6500000000000004</v>
      </c>
      <c r="J234" s="23">
        <v>10.25</v>
      </c>
      <c r="K234" s="23">
        <v>1.9999999999999601E-2</v>
      </c>
      <c r="L234" s="23">
        <v>-4.8000000000000001E-2</v>
      </c>
      <c r="O234" s="15">
        <f>J234</f>
        <v>10.25</v>
      </c>
      <c r="P234" s="23">
        <v>6.41</v>
      </c>
      <c r="Q234" s="23">
        <v>-0.22</v>
      </c>
      <c r="R234" s="23">
        <v>-0.56999999999999995</v>
      </c>
      <c r="S234" s="15">
        <v>4.6500000000000004</v>
      </c>
      <c r="T234" s="23">
        <v>1.9999999999999601E-2</v>
      </c>
      <c r="U234" s="23">
        <v>-4.8000000000000001E-2</v>
      </c>
      <c r="V234" s="9">
        <f>SUM(P234:U234)</f>
        <v>10.241999999999999</v>
      </c>
      <c r="W234" s="9">
        <f>O234-V234</f>
        <v>8.0000000000008953E-3</v>
      </c>
    </row>
    <row r="235" spans="1:23" ht="15.6">
      <c r="A235" s="9">
        <v>7</v>
      </c>
      <c r="B235" s="23">
        <v>45</v>
      </c>
      <c r="C235" s="23" t="s">
        <v>99</v>
      </c>
      <c r="D235" s="23">
        <v>6.21</v>
      </c>
      <c r="E235" s="23">
        <v>-0.13</v>
      </c>
      <c r="F235" s="23">
        <v>-0.75</v>
      </c>
      <c r="G235" s="23">
        <v>5.33</v>
      </c>
      <c r="H235" s="23">
        <v>9.99</v>
      </c>
      <c r="I235" s="15">
        <v>4.6500000000000004</v>
      </c>
      <c r="J235" s="23">
        <v>10.09</v>
      </c>
      <c r="K235" s="23">
        <v>0.15</v>
      </c>
      <c r="L235" s="23">
        <v>-4.8000000000000001E-2</v>
      </c>
      <c r="O235" s="15">
        <f>J235</f>
        <v>10.09</v>
      </c>
      <c r="P235" s="23">
        <v>6.21</v>
      </c>
      <c r="Q235" s="23">
        <v>-0.13</v>
      </c>
      <c r="R235" s="23">
        <v>-0.75</v>
      </c>
      <c r="S235" s="15">
        <v>4.6500000000000004</v>
      </c>
      <c r="T235" s="23">
        <v>0.15</v>
      </c>
      <c r="U235" s="23">
        <v>-4.8000000000000001E-2</v>
      </c>
      <c r="V235" s="9">
        <f>SUM(P235:U235)</f>
        <v>10.082000000000001</v>
      </c>
      <c r="W235" s="9">
        <f>O235-V235</f>
        <v>7.9999999999991189E-3</v>
      </c>
    </row>
    <row r="236" spans="1:23" ht="15.6">
      <c r="A236" s="9">
        <v>7</v>
      </c>
      <c r="B236" s="23">
        <v>46</v>
      </c>
      <c r="C236" s="23" t="s">
        <v>100</v>
      </c>
      <c r="D236" s="23">
        <v>6.65</v>
      </c>
      <c r="E236" s="23">
        <v>-0.12</v>
      </c>
      <c r="F236" s="23">
        <v>-0.9</v>
      </c>
      <c r="G236" s="23">
        <v>5.64</v>
      </c>
      <c r="H236" s="23">
        <v>10.29</v>
      </c>
      <c r="I236" s="15">
        <v>4.6500000000000004</v>
      </c>
      <c r="J236" s="23">
        <v>10.31</v>
      </c>
      <c r="K236" s="23">
        <v>1.00000000000016E-2</v>
      </c>
      <c r="L236" s="23">
        <v>0.01</v>
      </c>
      <c r="O236" s="15">
        <f>J236</f>
        <v>10.31</v>
      </c>
      <c r="P236" s="23">
        <v>6.65</v>
      </c>
      <c r="Q236" s="23">
        <v>-0.12</v>
      </c>
      <c r="R236" s="23">
        <v>-0.9</v>
      </c>
      <c r="S236" s="15">
        <v>4.6500000000000004</v>
      </c>
      <c r="T236" s="23">
        <v>1.00000000000016E-2</v>
      </c>
      <c r="U236" s="23">
        <v>0.01</v>
      </c>
      <c r="V236" s="9">
        <f>SUM(P236:U236)</f>
        <v>10.300000000000002</v>
      </c>
      <c r="W236" s="9">
        <f>O236-V236</f>
        <v>9.9999999999980105E-3</v>
      </c>
    </row>
    <row r="237" spans="1:23" ht="15.6">
      <c r="A237" s="9">
        <v>7</v>
      </c>
      <c r="B237" s="23">
        <v>47</v>
      </c>
      <c r="C237" s="23" t="s">
        <v>101</v>
      </c>
      <c r="D237" s="23">
        <v>6.41</v>
      </c>
      <c r="E237" s="23">
        <v>0.11</v>
      </c>
      <c r="F237" s="23">
        <v>-1.48</v>
      </c>
      <c r="G237" s="23">
        <v>5.03</v>
      </c>
      <c r="H237" s="23">
        <v>9.69</v>
      </c>
      <c r="I237" s="15">
        <v>4.6500000000000004</v>
      </c>
      <c r="J237" s="23">
        <v>9.44</v>
      </c>
      <c r="K237" s="23">
        <v>-0.25</v>
      </c>
      <c r="L237" s="23">
        <v>-2E-3</v>
      </c>
      <c r="O237" s="15">
        <f>J237</f>
        <v>9.44</v>
      </c>
      <c r="P237" s="23">
        <v>6.41</v>
      </c>
      <c r="Q237" s="23">
        <v>0.11</v>
      </c>
      <c r="R237" s="23">
        <v>-1.48</v>
      </c>
      <c r="S237" s="15">
        <v>4.6500000000000004</v>
      </c>
      <c r="T237" s="23">
        <v>-0.25</v>
      </c>
      <c r="U237" s="23">
        <v>-2E-3</v>
      </c>
      <c r="V237" s="9">
        <f>SUM(P237:U237)</f>
        <v>9.4380000000000006</v>
      </c>
      <c r="W237" s="9">
        <f>O237-V237</f>
        <v>1.9999999999988916E-3</v>
      </c>
    </row>
    <row r="238" spans="1:23" ht="15.6">
      <c r="A238" s="9">
        <v>8</v>
      </c>
      <c r="B238" s="23">
        <v>1</v>
      </c>
      <c r="C238" s="23" t="s">
        <v>33</v>
      </c>
      <c r="D238" s="23">
        <v>6.21</v>
      </c>
      <c r="E238" s="23">
        <v>-0.33</v>
      </c>
      <c r="F238" s="23">
        <v>-0.19</v>
      </c>
      <c r="G238" s="23">
        <v>5.69</v>
      </c>
      <c r="H238" s="23">
        <v>10.24</v>
      </c>
      <c r="I238" s="15">
        <v>4.55</v>
      </c>
      <c r="J238" s="23">
        <v>10.28</v>
      </c>
      <c r="K238" s="23">
        <v>0.03</v>
      </c>
      <c r="L238" s="23">
        <v>0.01</v>
      </c>
      <c r="O238" s="15">
        <f>J238</f>
        <v>10.28</v>
      </c>
      <c r="P238" s="23">
        <v>6.21</v>
      </c>
      <c r="Q238" s="23">
        <v>-0.33</v>
      </c>
      <c r="R238" s="23">
        <v>-0.19</v>
      </c>
      <c r="S238" s="15">
        <v>4.55</v>
      </c>
      <c r="T238" s="23">
        <v>0.03</v>
      </c>
      <c r="U238" s="23">
        <v>0.01</v>
      </c>
      <c r="V238" s="9">
        <f>SUM(P238:U238)</f>
        <v>10.279999999999998</v>
      </c>
      <c r="W238" s="9">
        <f>O238-V238</f>
        <v>0</v>
      </c>
    </row>
    <row r="239" spans="1:23" ht="15.6">
      <c r="A239" s="9">
        <v>8</v>
      </c>
      <c r="B239" s="23">
        <v>2</v>
      </c>
      <c r="C239" s="23" t="s">
        <v>36</v>
      </c>
      <c r="D239" s="23">
        <v>6.38</v>
      </c>
      <c r="E239" s="23">
        <v>-0.41</v>
      </c>
      <c r="F239" s="23">
        <v>-0.77</v>
      </c>
      <c r="G239" s="23">
        <v>5.19</v>
      </c>
      <c r="H239" s="23">
        <v>9.74</v>
      </c>
      <c r="I239" s="15">
        <v>4.55</v>
      </c>
      <c r="J239" s="23">
        <v>9.86</v>
      </c>
      <c r="K239" s="23">
        <v>0.11</v>
      </c>
      <c r="L239" s="23">
        <v>0.01</v>
      </c>
      <c r="O239" s="15">
        <f>J239</f>
        <v>9.86</v>
      </c>
      <c r="P239" s="23">
        <v>6.38</v>
      </c>
      <c r="Q239" s="23">
        <v>-0.41</v>
      </c>
      <c r="R239" s="23">
        <v>-0.77</v>
      </c>
      <c r="S239" s="15">
        <v>4.55</v>
      </c>
      <c r="T239" s="23">
        <v>0.11</v>
      </c>
      <c r="U239" s="23">
        <v>0.01</v>
      </c>
      <c r="V239" s="9">
        <f>SUM(P239:U239)</f>
        <v>9.8699999999999992</v>
      </c>
      <c r="W239" s="9">
        <f>O239-V239</f>
        <v>-9.9999999999997868E-3</v>
      </c>
    </row>
    <row r="240" spans="1:23" ht="15.6">
      <c r="A240" s="9">
        <v>8</v>
      </c>
      <c r="B240" s="23">
        <v>3</v>
      </c>
      <c r="C240" s="23" t="s">
        <v>37</v>
      </c>
      <c r="D240" s="23">
        <v>6.02</v>
      </c>
      <c r="E240" s="23">
        <v>-0.37</v>
      </c>
      <c r="F240" s="23">
        <v>-0.64</v>
      </c>
      <c r="G240" s="23">
        <v>5.01</v>
      </c>
      <c r="H240" s="23">
        <v>9.56</v>
      </c>
      <c r="I240" s="15">
        <v>4.55</v>
      </c>
      <c r="J240" s="23">
        <v>9.51</v>
      </c>
      <c r="K240" s="23">
        <v>-0.06</v>
      </c>
      <c r="L240" s="23">
        <v>0</v>
      </c>
      <c r="O240" s="15">
        <f>J240</f>
        <v>9.51</v>
      </c>
      <c r="P240" s="23">
        <v>6.02</v>
      </c>
      <c r="Q240" s="23">
        <v>-0.37</v>
      </c>
      <c r="R240" s="23">
        <v>-0.64</v>
      </c>
      <c r="S240" s="15">
        <v>4.55</v>
      </c>
      <c r="T240" s="23">
        <v>-0.06</v>
      </c>
      <c r="U240" s="23">
        <v>0</v>
      </c>
      <c r="V240" s="9">
        <f>SUM(P240:U240)</f>
        <v>9.4999999999999982</v>
      </c>
      <c r="W240" s="9">
        <f>O240-V240</f>
        <v>1.0000000000001563E-2</v>
      </c>
    </row>
    <row r="241" spans="1:23" ht="15.6">
      <c r="A241" s="9">
        <v>8</v>
      </c>
      <c r="B241" s="23">
        <v>4</v>
      </c>
      <c r="C241" s="23" t="s">
        <v>39</v>
      </c>
      <c r="D241" s="23">
        <v>5.99</v>
      </c>
      <c r="E241" s="23">
        <v>-0.16</v>
      </c>
      <c r="F241" s="23">
        <v>-0.35</v>
      </c>
      <c r="G241" s="23">
        <v>5.48</v>
      </c>
      <c r="H241" s="23">
        <v>10.029999999999999</v>
      </c>
      <c r="I241" s="15">
        <v>4.55</v>
      </c>
      <c r="J241" s="23">
        <v>10.1</v>
      </c>
      <c r="K241" s="23">
        <v>0.06</v>
      </c>
      <c r="L241" s="23">
        <v>0.01</v>
      </c>
      <c r="O241" s="15">
        <f>J241</f>
        <v>10.1</v>
      </c>
      <c r="P241" s="23">
        <v>5.99</v>
      </c>
      <c r="Q241" s="23">
        <v>-0.16</v>
      </c>
      <c r="R241" s="23">
        <v>-0.35</v>
      </c>
      <c r="S241" s="15">
        <v>4.55</v>
      </c>
      <c r="T241" s="23">
        <v>0.06</v>
      </c>
      <c r="U241" s="23">
        <v>0.01</v>
      </c>
      <c r="V241" s="9">
        <f>SUM(P241:U241)</f>
        <v>10.100000000000001</v>
      </c>
      <c r="W241" s="9">
        <f>O241-V241</f>
        <v>0</v>
      </c>
    </row>
    <row r="242" spans="1:23" ht="15.6">
      <c r="A242" s="9">
        <v>8</v>
      </c>
      <c r="B242" s="23">
        <v>5</v>
      </c>
      <c r="C242" s="23" t="s">
        <v>40</v>
      </c>
      <c r="D242" s="23">
        <v>6.81</v>
      </c>
      <c r="E242" s="23">
        <v>-0.66</v>
      </c>
      <c r="F242" s="23">
        <v>-0.69</v>
      </c>
      <c r="G242" s="23">
        <v>5.46</v>
      </c>
      <c r="H242" s="23">
        <v>10.01</v>
      </c>
      <c r="I242" s="15">
        <v>4.55</v>
      </c>
      <c r="J242" s="23">
        <v>10.02</v>
      </c>
      <c r="K242" s="23">
        <v>0.04</v>
      </c>
      <c r="L242" s="23">
        <v>-0.03</v>
      </c>
      <c r="O242" s="15">
        <f>J242</f>
        <v>10.02</v>
      </c>
      <c r="P242" s="23">
        <v>6.81</v>
      </c>
      <c r="Q242" s="23">
        <v>-0.66</v>
      </c>
      <c r="R242" s="23">
        <v>-0.69</v>
      </c>
      <c r="S242" s="15">
        <v>4.55</v>
      </c>
      <c r="T242" s="23">
        <v>0.04</v>
      </c>
      <c r="U242" s="23">
        <v>-0.03</v>
      </c>
      <c r="V242" s="9">
        <f>SUM(P242:U242)</f>
        <v>10.019999999999998</v>
      </c>
      <c r="W242" s="9">
        <f>O242-V242</f>
        <v>0</v>
      </c>
    </row>
    <row r="243" spans="1:23" ht="15.6">
      <c r="A243" s="9">
        <v>8</v>
      </c>
      <c r="B243" s="23">
        <v>6</v>
      </c>
      <c r="C243" s="23" t="s">
        <v>41</v>
      </c>
      <c r="D243" s="23">
        <v>6.15</v>
      </c>
      <c r="E243" s="23">
        <v>-0.33</v>
      </c>
      <c r="F243" s="23">
        <v>-0.5</v>
      </c>
      <c r="G243" s="23">
        <v>5.32</v>
      </c>
      <c r="H243" s="23">
        <v>9.8699999999999992</v>
      </c>
      <c r="I243" s="15">
        <v>4.55</v>
      </c>
      <c r="J243" s="23">
        <v>9.7899999999999991</v>
      </c>
      <c r="K243" s="23">
        <v>-0.04</v>
      </c>
      <c r="L243" s="23">
        <v>-0.04</v>
      </c>
      <c r="O243" s="15">
        <f>J243</f>
        <v>9.7899999999999991</v>
      </c>
      <c r="P243" s="23">
        <v>6.15</v>
      </c>
      <c r="Q243" s="23">
        <v>-0.33</v>
      </c>
      <c r="R243" s="23">
        <v>-0.5</v>
      </c>
      <c r="S243" s="15">
        <v>4.55</v>
      </c>
      <c r="T243" s="23">
        <v>-0.04</v>
      </c>
      <c r="U243" s="23">
        <v>-0.04</v>
      </c>
      <c r="V243" s="9">
        <f>SUM(P243:U243)</f>
        <v>9.7900000000000027</v>
      </c>
      <c r="W243" s="9">
        <f>O243-V243</f>
        <v>0</v>
      </c>
    </row>
    <row r="244" spans="1:23" ht="15.6">
      <c r="A244" s="9">
        <v>8</v>
      </c>
      <c r="B244" s="23">
        <v>7</v>
      </c>
      <c r="C244" s="23" t="s">
        <v>42</v>
      </c>
      <c r="D244" s="23">
        <v>5.48</v>
      </c>
      <c r="E244" s="23">
        <v>-0.21</v>
      </c>
      <c r="F244" s="23">
        <v>-0.32</v>
      </c>
      <c r="G244" s="23">
        <v>4.95</v>
      </c>
      <c r="H244" s="23">
        <v>9.5</v>
      </c>
      <c r="I244" s="15">
        <v>4.55</v>
      </c>
      <c r="J244" s="23">
        <v>9.5</v>
      </c>
      <c r="K244" s="23">
        <v>0.02</v>
      </c>
      <c r="L244" s="23">
        <v>-0.01</v>
      </c>
      <c r="O244" s="15">
        <f>J244</f>
        <v>9.5</v>
      </c>
      <c r="P244" s="23">
        <v>5.48</v>
      </c>
      <c r="Q244" s="23">
        <v>-0.21</v>
      </c>
      <c r="R244" s="23">
        <v>-0.32</v>
      </c>
      <c r="S244" s="15">
        <v>4.55</v>
      </c>
      <c r="T244" s="23">
        <v>0.02</v>
      </c>
      <c r="U244" s="23">
        <v>-0.01</v>
      </c>
      <c r="V244" s="9">
        <f>SUM(P244:U244)</f>
        <v>9.51</v>
      </c>
      <c r="W244" s="9">
        <f>O244-V244</f>
        <v>-9.9999999999997868E-3</v>
      </c>
    </row>
    <row r="245" spans="1:23" ht="15.6">
      <c r="A245" s="9">
        <v>8</v>
      </c>
      <c r="B245" s="23">
        <v>8</v>
      </c>
      <c r="C245" s="23" t="s">
        <v>43</v>
      </c>
      <c r="D245" s="23">
        <v>5.0599999999999996</v>
      </c>
      <c r="E245" s="23">
        <v>-0.05</v>
      </c>
      <c r="F245" s="23">
        <v>0</v>
      </c>
      <c r="G245" s="23">
        <v>5.01</v>
      </c>
      <c r="H245" s="23">
        <v>9.56</v>
      </c>
      <c r="I245" s="15">
        <v>4.55</v>
      </c>
      <c r="J245" s="23">
        <v>9.52</v>
      </c>
      <c r="K245" s="23">
        <v>-0.05</v>
      </c>
      <c r="L245" s="23">
        <v>0.01</v>
      </c>
      <c r="O245" s="15">
        <f>J245</f>
        <v>9.52</v>
      </c>
      <c r="P245" s="23">
        <v>5.0599999999999996</v>
      </c>
      <c r="Q245" s="23">
        <v>-0.05</v>
      </c>
      <c r="R245" s="23">
        <v>0</v>
      </c>
      <c r="S245" s="15">
        <v>4.55</v>
      </c>
      <c r="T245" s="23">
        <v>-0.05</v>
      </c>
      <c r="U245" s="23">
        <v>0.01</v>
      </c>
      <c r="V245" s="9">
        <f>SUM(P245:U245)</f>
        <v>9.5199999999999978</v>
      </c>
      <c r="W245" s="9">
        <f>O245-V245</f>
        <v>0</v>
      </c>
    </row>
    <row r="246" spans="1:23" ht="15.6">
      <c r="A246" s="9">
        <v>8</v>
      </c>
      <c r="B246" s="23">
        <v>9</v>
      </c>
      <c r="C246" s="23" t="s">
        <v>44</v>
      </c>
      <c r="D246" s="23">
        <v>5.43</v>
      </c>
      <c r="E246" s="23">
        <v>-0.09</v>
      </c>
      <c r="F246" s="23">
        <v>-0.09</v>
      </c>
      <c r="G246" s="23">
        <v>5.25</v>
      </c>
      <c r="H246" s="23">
        <v>9.7899999999999991</v>
      </c>
      <c r="I246" s="15">
        <v>4.55</v>
      </c>
      <c r="J246" s="23">
        <v>9.83</v>
      </c>
      <c r="K246" s="23">
        <v>0.03</v>
      </c>
      <c r="L246" s="23">
        <v>0.01</v>
      </c>
      <c r="O246" s="15">
        <f>J246</f>
        <v>9.83</v>
      </c>
      <c r="P246" s="23">
        <v>5.43</v>
      </c>
      <c r="Q246" s="23">
        <v>-0.09</v>
      </c>
      <c r="R246" s="23">
        <v>-0.09</v>
      </c>
      <c r="S246" s="15">
        <v>4.55</v>
      </c>
      <c r="T246" s="23">
        <v>0.03</v>
      </c>
      <c r="U246" s="23">
        <v>0.01</v>
      </c>
      <c r="V246" s="9">
        <f>SUM(P246:U246)</f>
        <v>9.84</v>
      </c>
      <c r="W246" s="9">
        <f>O246-V246</f>
        <v>-9.9999999999997868E-3</v>
      </c>
    </row>
    <row r="247" spans="1:23" ht="15.6">
      <c r="A247" s="9">
        <v>8</v>
      </c>
      <c r="B247" s="23">
        <v>10</v>
      </c>
      <c r="C247" s="23" t="s">
        <v>45</v>
      </c>
      <c r="D247" s="23">
        <v>5.24</v>
      </c>
      <c r="E247" s="23">
        <v>-0.02</v>
      </c>
      <c r="F247" s="23">
        <v>-0.09</v>
      </c>
      <c r="G247" s="23">
        <v>5.13</v>
      </c>
      <c r="H247" s="23">
        <v>9.68</v>
      </c>
      <c r="I247" s="15">
        <v>4.55</v>
      </c>
      <c r="J247" s="23">
        <v>9.68</v>
      </c>
      <c r="K247" s="23">
        <v>-0.01</v>
      </c>
      <c r="L247" s="23">
        <v>0.01</v>
      </c>
      <c r="O247" s="15">
        <f>J247</f>
        <v>9.68</v>
      </c>
      <c r="P247" s="23">
        <v>5.24</v>
      </c>
      <c r="Q247" s="23">
        <v>-0.02</v>
      </c>
      <c r="R247" s="23">
        <v>-0.09</v>
      </c>
      <c r="S247" s="15">
        <v>4.55</v>
      </c>
      <c r="T247" s="23">
        <v>-0.01</v>
      </c>
      <c r="U247" s="23">
        <v>0.01</v>
      </c>
      <c r="V247" s="9">
        <f>SUM(P247:U247)</f>
        <v>9.68</v>
      </c>
      <c r="W247" s="9">
        <f>O247-V247</f>
        <v>0</v>
      </c>
    </row>
    <row r="248" spans="1:23" ht="15.6">
      <c r="A248" s="9">
        <v>8</v>
      </c>
      <c r="B248" s="23">
        <v>11</v>
      </c>
      <c r="C248" s="23" t="s">
        <v>47</v>
      </c>
      <c r="D248" s="23">
        <v>5.03</v>
      </c>
      <c r="E248" s="23">
        <v>-0.02</v>
      </c>
      <c r="F248" s="23">
        <v>0.1</v>
      </c>
      <c r="G248" s="23">
        <v>5.12</v>
      </c>
      <c r="H248" s="23">
        <v>9.66</v>
      </c>
      <c r="I248" s="15">
        <v>4.55</v>
      </c>
      <c r="J248" s="23">
        <v>9.67</v>
      </c>
      <c r="K248" s="23">
        <v>0</v>
      </c>
      <c r="L248" s="23">
        <v>0.01</v>
      </c>
      <c r="O248" s="15">
        <f>J248</f>
        <v>9.67</v>
      </c>
      <c r="P248" s="23">
        <v>5.03</v>
      </c>
      <c r="Q248" s="23">
        <v>-0.02</v>
      </c>
      <c r="R248" s="23">
        <v>0.1</v>
      </c>
      <c r="S248" s="15">
        <v>4.55</v>
      </c>
      <c r="T248" s="23">
        <v>0</v>
      </c>
      <c r="U248" s="23">
        <v>0.01</v>
      </c>
      <c r="V248" s="9">
        <f>SUM(P248:U248)</f>
        <v>9.67</v>
      </c>
      <c r="W248" s="9">
        <f>O248-V248</f>
        <v>0</v>
      </c>
    </row>
    <row r="249" spans="1:23" ht="15.6">
      <c r="A249" s="9">
        <v>8</v>
      </c>
      <c r="B249" s="23">
        <v>12</v>
      </c>
      <c r="C249" s="23" t="s">
        <v>49</v>
      </c>
      <c r="D249" s="23">
        <v>5.0999999999999996</v>
      </c>
      <c r="E249" s="23">
        <v>-0.06</v>
      </c>
      <c r="F249" s="23">
        <v>0.1</v>
      </c>
      <c r="G249" s="23">
        <v>5.15</v>
      </c>
      <c r="H249" s="23">
        <v>9.69</v>
      </c>
      <c r="I249" s="15">
        <v>4.55</v>
      </c>
      <c r="J249" s="23">
        <v>9.73</v>
      </c>
      <c r="K249" s="23">
        <v>0.02</v>
      </c>
      <c r="L249" s="23">
        <v>0.01</v>
      </c>
      <c r="O249" s="15">
        <f>J249</f>
        <v>9.73</v>
      </c>
      <c r="P249" s="23">
        <v>5.0999999999999996</v>
      </c>
      <c r="Q249" s="23">
        <v>-0.06</v>
      </c>
      <c r="R249" s="23">
        <v>0.1</v>
      </c>
      <c r="S249" s="15">
        <v>4.55</v>
      </c>
      <c r="T249" s="23">
        <v>0.02</v>
      </c>
      <c r="U249" s="23">
        <v>0.01</v>
      </c>
      <c r="V249" s="9">
        <f>SUM(P249:U249)</f>
        <v>9.7199999999999989</v>
      </c>
      <c r="W249" s="9">
        <f>O249-V249</f>
        <v>1.0000000000001563E-2</v>
      </c>
    </row>
    <row r="250" spans="1:23" ht="15.6">
      <c r="A250" s="9">
        <v>8</v>
      </c>
      <c r="B250" s="23">
        <v>13</v>
      </c>
      <c r="C250" s="23" t="s">
        <v>51</v>
      </c>
      <c r="D250" s="23">
        <v>4.49</v>
      </c>
      <c r="E250" s="23">
        <v>0.16</v>
      </c>
      <c r="F250" s="23">
        <v>0.62</v>
      </c>
      <c r="G250" s="23">
        <v>5.28</v>
      </c>
      <c r="H250" s="23">
        <v>9.82</v>
      </c>
      <c r="I250" s="15">
        <v>4.55</v>
      </c>
      <c r="J250" s="23">
        <v>9.85</v>
      </c>
      <c r="K250" s="23">
        <v>0.02</v>
      </c>
      <c r="L250" s="23">
        <v>0.01</v>
      </c>
      <c r="O250" s="15">
        <f>J250</f>
        <v>9.85</v>
      </c>
      <c r="P250" s="23">
        <v>4.49</v>
      </c>
      <c r="Q250" s="23">
        <v>0.16</v>
      </c>
      <c r="R250" s="23">
        <v>0.62</v>
      </c>
      <c r="S250" s="15">
        <v>4.55</v>
      </c>
      <c r="T250" s="23">
        <v>0.02</v>
      </c>
      <c r="U250" s="23">
        <v>0.01</v>
      </c>
      <c r="V250" s="9">
        <f>SUM(P250:U250)</f>
        <v>9.85</v>
      </c>
      <c r="W250" s="9">
        <f>O250-V250</f>
        <v>0</v>
      </c>
    </row>
    <row r="251" spans="1:23" ht="15.6">
      <c r="A251" s="9">
        <v>8</v>
      </c>
      <c r="B251" s="23">
        <v>14</v>
      </c>
      <c r="C251" s="23" t="s">
        <v>53</v>
      </c>
      <c r="D251" s="23">
        <v>5.08</v>
      </c>
      <c r="E251" s="23">
        <v>-7.0000000000000007E-2</v>
      </c>
      <c r="F251" s="23">
        <v>0.34</v>
      </c>
      <c r="G251" s="23">
        <v>5.35</v>
      </c>
      <c r="H251" s="23">
        <v>9.9</v>
      </c>
      <c r="I251" s="15">
        <v>4.55</v>
      </c>
      <c r="J251" s="23">
        <v>9.9600000000000009</v>
      </c>
      <c r="K251" s="23">
        <v>0.05</v>
      </c>
      <c r="L251" s="23">
        <v>0.01</v>
      </c>
      <c r="O251" s="15">
        <f>J251</f>
        <v>9.9600000000000009</v>
      </c>
      <c r="P251" s="23">
        <v>5.08</v>
      </c>
      <c r="Q251" s="23">
        <v>-7.0000000000000007E-2</v>
      </c>
      <c r="R251" s="23">
        <v>0.34</v>
      </c>
      <c r="S251" s="15">
        <v>4.55</v>
      </c>
      <c r="T251" s="23">
        <v>0.05</v>
      </c>
      <c r="U251" s="23">
        <v>0.01</v>
      </c>
      <c r="V251" s="9">
        <f>SUM(P251:U251)</f>
        <v>9.9599999999999991</v>
      </c>
      <c r="W251" s="9">
        <f>O251-V251</f>
        <v>0</v>
      </c>
    </row>
    <row r="252" spans="1:23" ht="15.6">
      <c r="A252" s="9">
        <v>8</v>
      </c>
      <c r="B252" s="23">
        <v>15</v>
      </c>
      <c r="C252" s="23" t="s">
        <v>55</v>
      </c>
      <c r="D252" s="23">
        <v>5.28</v>
      </c>
      <c r="E252" s="23">
        <v>-0.15</v>
      </c>
      <c r="F252" s="23">
        <v>-0.28000000000000003</v>
      </c>
      <c r="G252" s="23">
        <v>4.84</v>
      </c>
      <c r="H252" s="23">
        <v>9.39</v>
      </c>
      <c r="I252" s="15">
        <v>4.55</v>
      </c>
      <c r="J252" s="23">
        <v>9.2100000000000009</v>
      </c>
      <c r="K252" s="23">
        <v>0.03</v>
      </c>
      <c r="L252" s="23">
        <v>-0.21</v>
      </c>
      <c r="O252" s="15">
        <f>J252</f>
        <v>9.2100000000000009</v>
      </c>
      <c r="P252" s="23">
        <v>5.28</v>
      </c>
      <c r="Q252" s="23">
        <v>-0.15</v>
      </c>
      <c r="R252" s="23">
        <v>-0.28000000000000003</v>
      </c>
      <c r="S252" s="15">
        <v>4.55</v>
      </c>
      <c r="T252" s="23">
        <v>0.03</v>
      </c>
      <c r="U252" s="23">
        <v>-0.21</v>
      </c>
      <c r="V252" s="9">
        <f>SUM(P252:U252)</f>
        <v>9.2199999999999971</v>
      </c>
      <c r="W252" s="9">
        <f>O252-V252</f>
        <v>-9.9999999999962341E-3</v>
      </c>
    </row>
    <row r="253" spans="1:23" ht="15.6">
      <c r="A253" s="9">
        <v>8</v>
      </c>
      <c r="B253" s="23">
        <v>16</v>
      </c>
      <c r="C253" s="23" t="s">
        <v>57</v>
      </c>
      <c r="D253" s="23">
        <v>4.97</v>
      </c>
      <c r="E253" s="23">
        <v>-0.08</v>
      </c>
      <c r="F253" s="23">
        <v>0.11</v>
      </c>
      <c r="G253" s="23">
        <v>5.01</v>
      </c>
      <c r="H253" s="23">
        <v>9.5500000000000007</v>
      </c>
      <c r="I253" s="15">
        <v>4.55</v>
      </c>
      <c r="J253" s="23">
        <v>9.59</v>
      </c>
      <c r="K253" s="23">
        <v>0.03</v>
      </c>
      <c r="L253" s="23">
        <v>0.01</v>
      </c>
      <c r="O253" s="15">
        <f>J253</f>
        <v>9.59</v>
      </c>
      <c r="P253" s="23">
        <v>4.97</v>
      </c>
      <c r="Q253" s="23">
        <v>-0.08</v>
      </c>
      <c r="R253" s="23">
        <v>0.11</v>
      </c>
      <c r="S253" s="15">
        <v>4.55</v>
      </c>
      <c r="T253" s="23">
        <v>0.03</v>
      </c>
      <c r="U253" s="23">
        <v>0.01</v>
      </c>
      <c r="V253" s="9">
        <f>SUM(P253:U253)</f>
        <v>9.59</v>
      </c>
      <c r="W253" s="9">
        <f>O253-V253</f>
        <v>0</v>
      </c>
    </row>
    <row r="254" spans="1:23" ht="15.6">
      <c r="A254" s="9">
        <v>8</v>
      </c>
      <c r="B254" s="23">
        <v>17</v>
      </c>
      <c r="C254" s="23" t="s">
        <v>58</v>
      </c>
      <c r="D254" s="23">
        <v>5.12</v>
      </c>
      <c r="E254" s="23">
        <v>0</v>
      </c>
      <c r="F254" s="23">
        <v>0.06</v>
      </c>
      <c r="G254" s="23">
        <v>5.18</v>
      </c>
      <c r="H254" s="23">
        <v>9.7200000000000006</v>
      </c>
      <c r="I254" s="15">
        <v>4.55</v>
      </c>
      <c r="J254" s="23">
        <v>9.6999999999999993</v>
      </c>
      <c r="K254" s="23">
        <v>0.01</v>
      </c>
      <c r="L254" s="23">
        <v>-0.04</v>
      </c>
      <c r="O254" s="15">
        <f>J254</f>
        <v>9.6999999999999993</v>
      </c>
      <c r="P254" s="23">
        <v>5.12</v>
      </c>
      <c r="Q254" s="23">
        <v>0</v>
      </c>
      <c r="R254" s="23">
        <v>0.06</v>
      </c>
      <c r="S254" s="15">
        <v>4.55</v>
      </c>
      <c r="T254" s="23">
        <v>0.01</v>
      </c>
      <c r="U254" s="23">
        <v>-0.04</v>
      </c>
      <c r="V254" s="9">
        <f>SUM(P254:U254)</f>
        <v>9.7000000000000011</v>
      </c>
      <c r="W254" s="9">
        <f>O254-V254</f>
        <v>0</v>
      </c>
    </row>
    <row r="255" spans="1:23" ht="15.6">
      <c r="A255" s="9">
        <v>8</v>
      </c>
      <c r="B255" s="23">
        <v>18</v>
      </c>
      <c r="C255" s="23" t="s">
        <v>60</v>
      </c>
      <c r="D255" s="23">
        <v>5.43</v>
      </c>
      <c r="E255" s="23">
        <v>-0.14000000000000001</v>
      </c>
      <c r="F255" s="23">
        <v>-0.05</v>
      </c>
      <c r="G255" s="23">
        <v>5.25</v>
      </c>
      <c r="H255" s="23">
        <v>9.8000000000000007</v>
      </c>
      <c r="I255" s="15">
        <v>4.55</v>
      </c>
      <c r="J255" s="23">
        <v>9.7100000000000009</v>
      </c>
      <c r="K255" s="23">
        <v>-0.1</v>
      </c>
      <c r="L255" s="23">
        <v>0.01</v>
      </c>
      <c r="O255" s="15">
        <f>J255</f>
        <v>9.7100000000000009</v>
      </c>
      <c r="P255" s="23">
        <v>5.43</v>
      </c>
      <c r="Q255" s="23">
        <v>-0.14000000000000001</v>
      </c>
      <c r="R255" s="23">
        <v>-0.05</v>
      </c>
      <c r="S255" s="15">
        <v>4.55</v>
      </c>
      <c r="T255" s="23">
        <v>-0.1</v>
      </c>
      <c r="U255" s="23">
        <v>0.01</v>
      </c>
      <c r="V255" s="9">
        <f>SUM(P255:U255)</f>
        <v>9.6999999999999993</v>
      </c>
      <c r="W255" s="9">
        <f>O255-V255</f>
        <v>1.0000000000001563E-2</v>
      </c>
    </row>
    <row r="256" spans="1:23" ht="15.6">
      <c r="A256" s="9">
        <v>8</v>
      </c>
      <c r="B256" s="23">
        <v>19</v>
      </c>
      <c r="C256" s="23" t="s">
        <v>66</v>
      </c>
      <c r="D256" s="23">
        <v>5.4</v>
      </c>
      <c r="E256" s="23">
        <v>-0.16</v>
      </c>
      <c r="F256" s="23">
        <v>-0.13</v>
      </c>
      <c r="G256" s="23">
        <v>5.1100000000000003</v>
      </c>
      <c r="H256" s="23">
        <v>9.66</v>
      </c>
      <c r="I256" s="15">
        <v>4.55</v>
      </c>
      <c r="J256" s="23">
        <v>9.5500000000000007</v>
      </c>
      <c r="K256" s="23">
        <v>-0.09</v>
      </c>
      <c r="L256" s="23">
        <v>-0.01</v>
      </c>
      <c r="O256" s="15">
        <f>J256</f>
        <v>9.5500000000000007</v>
      </c>
      <c r="P256" s="23">
        <v>5.4</v>
      </c>
      <c r="Q256" s="23">
        <v>-0.16</v>
      </c>
      <c r="R256" s="23">
        <v>-0.13</v>
      </c>
      <c r="S256" s="15">
        <v>4.55</v>
      </c>
      <c r="T256" s="23">
        <v>-0.09</v>
      </c>
      <c r="U256" s="23">
        <v>-0.01</v>
      </c>
      <c r="V256" s="9">
        <f>SUM(P256:U256)</f>
        <v>9.56</v>
      </c>
      <c r="W256" s="9">
        <f>O256-V256</f>
        <v>-9.9999999999997868E-3</v>
      </c>
    </row>
    <row r="257" spans="1:23" ht="15.6">
      <c r="A257" s="9">
        <v>8</v>
      </c>
      <c r="B257" s="23">
        <v>20</v>
      </c>
      <c r="C257" s="23" t="s">
        <v>67</v>
      </c>
      <c r="D257" s="23">
        <v>5.28</v>
      </c>
      <c r="E257" s="23">
        <v>-0.09</v>
      </c>
      <c r="F257" s="23">
        <v>-0.17</v>
      </c>
      <c r="G257" s="23">
        <v>5.0199999999999996</v>
      </c>
      <c r="H257" s="23">
        <v>9.57</v>
      </c>
      <c r="I257" s="15">
        <v>4.55</v>
      </c>
      <c r="J257" s="23">
        <v>9.6300000000000008</v>
      </c>
      <c r="K257" s="23">
        <v>0.05</v>
      </c>
      <c r="L257" s="23">
        <v>0.01</v>
      </c>
      <c r="O257" s="15">
        <f>J257</f>
        <v>9.6300000000000008</v>
      </c>
      <c r="P257" s="23">
        <v>5.28</v>
      </c>
      <c r="Q257" s="23">
        <v>-0.09</v>
      </c>
      <c r="R257" s="23">
        <v>-0.17</v>
      </c>
      <c r="S257" s="15">
        <v>4.55</v>
      </c>
      <c r="T257" s="23">
        <v>0.05</v>
      </c>
      <c r="U257" s="23">
        <v>0.01</v>
      </c>
      <c r="V257" s="9">
        <f>SUM(P257:U257)</f>
        <v>9.6300000000000008</v>
      </c>
      <c r="W257" s="9">
        <f>O257-V257</f>
        <v>0</v>
      </c>
    </row>
    <row r="258" spans="1:23" ht="15.6">
      <c r="A258" s="9">
        <v>8</v>
      </c>
      <c r="B258" s="23">
        <v>21</v>
      </c>
      <c r="C258" s="23" t="s">
        <v>69</v>
      </c>
      <c r="D258" s="23">
        <v>5.4</v>
      </c>
      <c r="E258" s="23">
        <v>-0.01</v>
      </c>
      <c r="F258" s="23">
        <v>-0.12</v>
      </c>
      <c r="G258" s="23">
        <v>5.27</v>
      </c>
      <c r="H258" s="23">
        <v>9.82</v>
      </c>
      <c r="I258" s="15">
        <v>4.55</v>
      </c>
      <c r="J258" s="23">
        <v>9.8000000000000007</v>
      </c>
      <c r="K258" s="23">
        <v>0.03</v>
      </c>
      <c r="L258" s="23">
        <v>-0.05</v>
      </c>
      <c r="O258" s="15">
        <f>J258</f>
        <v>9.8000000000000007</v>
      </c>
      <c r="P258" s="23">
        <v>5.4</v>
      </c>
      <c r="Q258" s="23">
        <v>-0.01</v>
      </c>
      <c r="R258" s="23">
        <v>-0.12</v>
      </c>
      <c r="S258" s="15">
        <v>4.55</v>
      </c>
      <c r="T258" s="23">
        <v>0.03</v>
      </c>
      <c r="U258" s="23">
        <v>-0.05</v>
      </c>
      <c r="V258" s="9">
        <f>SUM(P258:U258)</f>
        <v>9.7999999999999989</v>
      </c>
      <c r="W258" s="9">
        <f>O258-V258</f>
        <v>0</v>
      </c>
    </row>
    <row r="259" spans="1:23" ht="15.6">
      <c r="A259" s="9">
        <v>8</v>
      </c>
      <c r="B259" s="23">
        <v>22</v>
      </c>
      <c r="C259" s="23" t="s">
        <v>71</v>
      </c>
      <c r="D259" s="23">
        <v>5.0999999999999996</v>
      </c>
      <c r="E259" s="23">
        <v>-0.05</v>
      </c>
      <c r="F259" s="23">
        <v>7.0000000000000007E-2</v>
      </c>
      <c r="G259" s="23">
        <v>5.12</v>
      </c>
      <c r="H259" s="23">
        <v>9.67</v>
      </c>
      <c r="I259" s="15">
        <v>4.55</v>
      </c>
      <c r="J259" s="23">
        <v>9.61</v>
      </c>
      <c r="K259" s="23">
        <v>-0.02</v>
      </c>
      <c r="L259" s="23">
        <v>-0.03</v>
      </c>
      <c r="O259" s="15">
        <f>J259</f>
        <v>9.61</v>
      </c>
      <c r="P259" s="23">
        <v>5.0999999999999996</v>
      </c>
      <c r="Q259" s="23">
        <v>-0.05</v>
      </c>
      <c r="R259" s="23">
        <v>7.0000000000000007E-2</v>
      </c>
      <c r="S259" s="15">
        <v>4.55</v>
      </c>
      <c r="T259" s="23">
        <v>-0.02</v>
      </c>
      <c r="U259" s="23">
        <v>-0.03</v>
      </c>
      <c r="V259" s="9">
        <f>SUM(P259:U259)</f>
        <v>9.620000000000001</v>
      </c>
      <c r="W259" s="9">
        <f>O259-V259</f>
        <v>-1.0000000000001563E-2</v>
      </c>
    </row>
    <row r="260" spans="1:23" ht="15.6">
      <c r="A260" s="9">
        <v>8</v>
      </c>
      <c r="B260" s="23">
        <v>23</v>
      </c>
      <c r="C260" s="23" t="s">
        <v>72</v>
      </c>
      <c r="D260" s="23">
        <v>4.9400000000000004</v>
      </c>
      <c r="E260" s="23">
        <v>0.18</v>
      </c>
      <c r="F260" s="23">
        <v>0.21</v>
      </c>
      <c r="G260" s="23">
        <v>5.34</v>
      </c>
      <c r="H260" s="23">
        <v>9.89</v>
      </c>
      <c r="I260" s="15">
        <v>4.55</v>
      </c>
      <c r="J260" s="23">
        <v>9.93</v>
      </c>
      <c r="K260" s="23">
        <v>0.03</v>
      </c>
      <c r="L260" s="23">
        <v>0.01</v>
      </c>
      <c r="O260" s="15">
        <f>J260</f>
        <v>9.93</v>
      </c>
      <c r="P260" s="23">
        <v>4.9400000000000004</v>
      </c>
      <c r="Q260" s="23">
        <v>0.18</v>
      </c>
      <c r="R260" s="23">
        <v>0.21</v>
      </c>
      <c r="S260" s="15">
        <v>4.55</v>
      </c>
      <c r="T260" s="23">
        <v>0.03</v>
      </c>
      <c r="U260" s="23">
        <v>0.01</v>
      </c>
      <c r="V260" s="9">
        <f>SUM(P260:U260)</f>
        <v>9.9199999999999982</v>
      </c>
      <c r="W260" s="9">
        <f>O260-V260</f>
        <v>1.0000000000001563E-2</v>
      </c>
    </row>
    <row r="261" spans="1:23" ht="15.6">
      <c r="A261" s="9">
        <v>8</v>
      </c>
      <c r="B261" s="23">
        <v>24</v>
      </c>
      <c r="C261" s="23" t="s">
        <v>74</v>
      </c>
      <c r="D261" s="23">
        <v>5.22</v>
      </c>
      <c r="E261" s="23">
        <v>0.02</v>
      </c>
      <c r="F261" s="23">
        <v>-0.01</v>
      </c>
      <c r="G261" s="23">
        <v>5.23</v>
      </c>
      <c r="H261" s="23">
        <v>9.77</v>
      </c>
      <c r="I261" s="15">
        <v>4.55</v>
      </c>
      <c r="J261" s="23">
        <v>9.77</v>
      </c>
      <c r="K261" s="23">
        <v>-0.02</v>
      </c>
      <c r="L261" s="23">
        <v>0.01</v>
      </c>
      <c r="O261" s="15">
        <f>J261</f>
        <v>9.77</v>
      </c>
      <c r="P261" s="23">
        <v>5.22</v>
      </c>
      <c r="Q261" s="23">
        <v>0.02</v>
      </c>
      <c r="R261" s="23">
        <v>-0.01</v>
      </c>
      <c r="S261" s="15">
        <v>4.55</v>
      </c>
      <c r="T261" s="23">
        <v>-0.02</v>
      </c>
      <c r="U261" s="23">
        <v>0.01</v>
      </c>
      <c r="V261" s="9">
        <f>SUM(P261:U261)</f>
        <v>9.77</v>
      </c>
      <c r="W261" s="9">
        <f>O261-V261</f>
        <v>0</v>
      </c>
    </row>
    <row r="262" spans="1:23" ht="15.6">
      <c r="A262" s="9">
        <v>8</v>
      </c>
      <c r="B262" s="23">
        <v>25</v>
      </c>
      <c r="C262" s="23" t="s">
        <v>75</v>
      </c>
      <c r="D262" s="23">
        <v>5.35</v>
      </c>
      <c r="E262" s="23">
        <v>0.09</v>
      </c>
      <c r="F262" s="23">
        <v>-0.17</v>
      </c>
      <c r="G262" s="23">
        <v>5.27</v>
      </c>
      <c r="H262" s="23">
        <v>9.82</v>
      </c>
      <c r="I262" s="15">
        <v>4.55</v>
      </c>
      <c r="J262" s="23">
        <v>9.8800000000000008</v>
      </c>
      <c r="K262" s="23">
        <v>0.05</v>
      </c>
      <c r="L262" s="23">
        <v>0.01</v>
      </c>
      <c r="O262" s="15">
        <f>J262</f>
        <v>9.8800000000000008</v>
      </c>
      <c r="P262" s="23">
        <v>5.35</v>
      </c>
      <c r="Q262" s="23">
        <v>0.09</v>
      </c>
      <c r="R262" s="23">
        <v>-0.17</v>
      </c>
      <c r="S262" s="15">
        <v>4.55</v>
      </c>
      <c r="T262" s="23">
        <v>0.05</v>
      </c>
      <c r="U262" s="23">
        <v>0.01</v>
      </c>
      <c r="V262" s="9">
        <f>SUM(P262:U262)</f>
        <v>9.8800000000000008</v>
      </c>
      <c r="W262" s="9">
        <f>O262-V262</f>
        <v>0</v>
      </c>
    </row>
    <row r="263" spans="1:23" ht="15.6">
      <c r="A263" s="9">
        <v>8</v>
      </c>
      <c r="B263" s="23">
        <v>26</v>
      </c>
      <c r="C263" s="23" t="s">
        <v>79</v>
      </c>
      <c r="D263" s="23">
        <v>5.25</v>
      </c>
      <c r="E263" s="23">
        <v>0.08</v>
      </c>
      <c r="F263" s="23">
        <v>0.05</v>
      </c>
      <c r="G263" s="23">
        <v>5.37</v>
      </c>
      <c r="H263" s="23">
        <v>9.92</v>
      </c>
      <c r="I263" s="15">
        <v>4.55</v>
      </c>
      <c r="J263" s="23">
        <v>9.89</v>
      </c>
      <c r="K263" s="23">
        <v>-0.04</v>
      </c>
      <c r="L263" s="23">
        <v>0.01</v>
      </c>
      <c r="O263" s="15">
        <f>J263</f>
        <v>9.89</v>
      </c>
      <c r="P263" s="23">
        <v>5.25</v>
      </c>
      <c r="Q263" s="23">
        <v>0.08</v>
      </c>
      <c r="R263" s="23">
        <v>0.05</v>
      </c>
      <c r="S263" s="15">
        <v>4.55</v>
      </c>
      <c r="T263" s="23">
        <v>-0.04</v>
      </c>
      <c r="U263" s="23">
        <v>0.01</v>
      </c>
      <c r="V263" s="9">
        <f>SUM(P263:U263)</f>
        <v>9.9</v>
      </c>
      <c r="W263" s="9">
        <f>O263-V263</f>
        <v>-9.9999999999997868E-3</v>
      </c>
    </row>
    <row r="264" spans="1:23" ht="15.6">
      <c r="A264" s="9">
        <v>8</v>
      </c>
      <c r="B264" s="23">
        <v>27</v>
      </c>
      <c r="C264" s="23" t="s">
        <v>80</v>
      </c>
      <c r="D264" s="23">
        <v>5.34</v>
      </c>
      <c r="E264" s="23">
        <v>0.16</v>
      </c>
      <c r="F264" s="23">
        <v>0.11</v>
      </c>
      <c r="G264" s="23">
        <v>5.6</v>
      </c>
      <c r="H264" s="23">
        <v>10.15</v>
      </c>
      <c r="I264" s="15">
        <v>4.55</v>
      </c>
      <c r="J264" s="23">
        <v>10.130000000000001</v>
      </c>
      <c r="K264" s="23">
        <v>-0.04</v>
      </c>
      <c r="L264" s="23">
        <v>0.01</v>
      </c>
      <c r="O264" s="15">
        <f>J264</f>
        <v>10.130000000000001</v>
      </c>
      <c r="P264" s="23">
        <v>5.34</v>
      </c>
      <c r="Q264" s="23">
        <v>0.16</v>
      </c>
      <c r="R264" s="23">
        <v>0.11</v>
      </c>
      <c r="S264" s="15">
        <v>4.55</v>
      </c>
      <c r="T264" s="23">
        <v>-0.04</v>
      </c>
      <c r="U264" s="23">
        <v>0.01</v>
      </c>
      <c r="V264" s="9">
        <f>SUM(P264:U264)</f>
        <v>10.130000000000001</v>
      </c>
      <c r="W264" s="9">
        <f>O264-V264</f>
        <v>0</v>
      </c>
    </row>
    <row r="265" spans="1:23" ht="15.6">
      <c r="A265" s="9">
        <v>8</v>
      </c>
      <c r="B265" s="23">
        <v>28</v>
      </c>
      <c r="C265" s="23" t="s">
        <v>81</v>
      </c>
      <c r="D265" s="23">
        <v>5.56</v>
      </c>
      <c r="E265" s="23">
        <v>0.02</v>
      </c>
      <c r="F265" s="23">
        <v>-0.04</v>
      </c>
      <c r="G265" s="23">
        <v>5.54</v>
      </c>
      <c r="H265" s="23">
        <v>10.08</v>
      </c>
      <c r="I265" s="15">
        <v>4.55</v>
      </c>
      <c r="J265" s="23">
        <v>10.119999999999999</v>
      </c>
      <c r="K265" s="23">
        <v>0.02</v>
      </c>
      <c r="L265" s="23">
        <v>0.01</v>
      </c>
      <c r="O265" s="15">
        <f>J265</f>
        <v>10.119999999999999</v>
      </c>
      <c r="P265" s="23">
        <v>5.56</v>
      </c>
      <c r="Q265" s="23">
        <v>0.02</v>
      </c>
      <c r="R265" s="23">
        <v>-0.04</v>
      </c>
      <c r="S265" s="15">
        <v>4.55</v>
      </c>
      <c r="T265" s="23">
        <v>0.02</v>
      </c>
      <c r="U265" s="23">
        <v>0.01</v>
      </c>
      <c r="V265" s="9">
        <f>SUM(P265:U265)</f>
        <v>10.119999999999999</v>
      </c>
      <c r="W265" s="9">
        <f>O265-V265</f>
        <v>0</v>
      </c>
    </row>
    <row r="266" spans="1:23" ht="15.6">
      <c r="A266" s="9">
        <v>8</v>
      </c>
      <c r="B266" s="23">
        <v>29</v>
      </c>
      <c r="C266" s="23" t="s">
        <v>82</v>
      </c>
      <c r="D266" s="23">
        <v>5.91</v>
      </c>
      <c r="E266" s="23">
        <v>-0.02</v>
      </c>
      <c r="F266" s="23">
        <v>-0.44</v>
      </c>
      <c r="G266" s="23">
        <v>5.45</v>
      </c>
      <c r="H266" s="23">
        <v>10</v>
      </c>
      <c r="I266" s="15">
        <v>4.55</v>
      </c>
      <c r="J266" s="23">
        <v>9.91</v>
      </c>
      <c r="K266" s="23">
        <v>-0.06</v>
      </c>
      <c r="L266" s="23">
        <v>-0.02</v>
      </c>
      <c r="O266" s="15">
        <f>J266</f>
        <v>9.91</v>
      </c>
      <c r="P266" s="23">
        <v>5.91</v>
      </c>
      <c r="Q266" s="23">
        <v>-0.02</v>
      </c>
      <c r="R266" s="23">
        <v>-0.44</v>
      </c>
      <c r="S266" s="15">
        <v>4.55</v>
      </c>
      <c r="T266" s="23">
        <v>-0.06</v>
      </c>
      <c r="U266" s="23">
        <v>-0.02</v>
      </c>
      <c r="V266" s="9">
        <f>SUM(P266:U266)</f>
        <v>9.92</v>
      </c>
      <c r="W266" s="9">
        <f>O266-V266</f>
        <v>-9.9999999999997868E-3</v>
      </c>
    </row>
    <row r="267" spans="1:23" ht="15.6">
      <c r="A267" s="9">
        <v>8</v>
      </c>
      <c r="B267" s="23">
        <v>30</v>
      </c>
      <c r="C267" s="23" t="s">
        <v>83</v>
      </c>
      <c r="D267" s="23">
        <v>6.11</v>
      </c>
      <c r="E267" s="23">
        <v>-0.11</v>
      </c>
      <c r="F267" s="23">
        <v>-0.52</v>
      </c>
      <c r="G267" s="23">
        <v>5.48</v>
      </c>
      <c r="H267" s="23">
        <v>10.029999999999999</v>
      </c>
      <c r="I267" s="15">
        <v>4.55</v>
      </c>
      <c r="J267" s="23">
        <v>10.06</v>
      </c>
      <c r="K267" s="23">
        <v>0.05</v>
      </c>
      <c r="L267" s="23">
        <v>-0.01</v>
      </c>
      <c r="O267" s="15">
        <f>J267</f>
        <v>10.06</v>
      </c>
      <c r="P267" s="23">
        <v>6.11</v>
      </c>
      <c r="Q267" s="23">
        <v>-0.11</v>
      </c>
      <c r="R267" s="23">
        <v>-0.52</v>
      </c>
      <c r="S267" s="15">
        <v>4.55</v>
      </c>
      <c r="T267" s="23">
        <v>0.05</v>
      </c>
      <c r="U267" s="23">
        <v>-0.01</v>
      </c>
      <c r="V267" s="9">
        <f>SUM(P267:U267)</f>
        <v>10.070000000000002</v>
      </c>
      <c r="W267" s="9">
        <f>O267-V267</f>
        <v>-1.0000000000001563E-2</v>
      </c>
    </row>
    <row r="268" spans="1:23" ht="15.6">
      <c r="A268" s="9">
        <v>8</v>
      </c>
      <c r="B268" s="23">
        <v>31</v>
      </c>
      <c r="C268" s="23" t="s">
        <v>84</v>
      </c>
      <c r="D268" s="23">
        <v>6.04</v>
      </c>
      <c r="E268" s="23">
        <v>-0.15</v>
      </c>
      <c r="F268" s="23">
        <v>-0.66</v>
      </c>
      <c r="G268" s="23">
        <v>5.23</v>
      </c>
      <c r="H268" s="23">
        <v>9.7799999999999994</v>
      </c>
      <c r="I268" s="15">
        <v>4.55</v>
      </c>
      <c r="J268" s="23">
        <v>9.86</v>
      </c>
      <c r="K268" s="23">
        <v>7.0000000000000007E-2</v>
      </c>
      <c r="L268" s="23">
        <v>0.01</v>
      </c>
      <c r="O268" s="15">
        <f>J268</f>
        <v>9.86</v>
      </c>
      <c r="P268" s="23">
        <v>6.04</v>
      </c>
      <c r="Q268" s="23">
        <v>-0.15</v>
      </c>
      <c r="R268" s="23">
        <v>-0.66</v>
      </c>
      <c r="S268" s="15">
        <v>4.55</v>
      </c>
      <c r="T268" s="23">
        <v>7.0000000000000007E-2</v>
      </c>
      <c r="U268" s="23">
        <v>0.01</v>
      </c>
      <c r="V268" s="9">
        <f>SUM(P268:U268)</f>
        <v>9.86</v>
      </c>
      <c r="W268" s="9">
        <f>O268-V268</f>
        <v>0</v>
      </c>
    </row>
    <row r="269" spans="1:23" ht="15.6">
      <c r="A269" s="9">
        <v>8</v>
      </c>
      <c r="B269" s="23">
        <v>32</v>
      </c>
      <c r="C269" s="23" t="s">
        <v>85</v>
      </c>
      <c r="D269" s="23">
        <v>6.35</v>
      </c>
      <c r="E269" s="23">
        <v>-0.26</v>
      </c>
      <c r="F269" s="23">
        <v>-0.51</v>
      </c>
      <c r="G269" s="23">
        <v>5.57</v>
      </c>
      <c r="H269" s="23">
        <v>10.119999999999999</v>
      </c>
      <c r="I269" s="15">
        <v>4.55</v>
      </c>
      <c r="J269" s="23">
        <v>10.08</v>
      </c>
      <c r="K269" s="23">
        <v>0.08</v>
      </c>
      <c r="L269" s="23">
        <v>-0.13</v>
      </c>
      <c r="O269" s="15">
        <f>J269</f>
        <v>10.08</v>
      </c>
      <c r="P269" s="23">
        <v>6.35</v>
      </c>
      <c r="Q269" s="23">
        <v>-0.26</v>
      </c>
      <c r="R269" s="23">
        <v>-0.51</v>
      </c>
      <c r="S269" s="15">
        <v>4.55</v>
      </c>
      <c r="T269" s="23">
        <v>0.08</v>
      </c>
      <c r="U269" s="23">
        <v>-0.13</v>
      </c>
      <c r="V269" s="9">
        <f>SUM(P269:U269)</f>
        <v>10.079999999999998</v>
      </c>
      <c r="W269" s="9">
        <f>O269-V269</f>
        <v>0</v>
      </c>
    </row>
    <row r="270" spans="1:23" ht="15.6">
      <c r="A270" s="9">
        <v>8</v>
      </c>
      <c r="B270" s="23">
        <v>33</v>
      </c>
      <c r="C270" s="23" t="s">
        <v>86</v>
      </c>
      <c r="D270" s="23">
        <v>5.65</v>
      </c>
      <c r="E270" s="23">
        <v>7.0000000000000007E-2</v>
      </c>
      <c r="F270" s="23">
        <v>-0.24</v>
      </c>
      <c r="G270" s="23">
        <v>5.48</v>
      </c>
      <c r="H270" s="23">
        <v>10.029999999999999</v>
      </c>
      <c r="I270" s="15">
        <v>4.55</v>
      </c>
      <c r="J270" s="23">
        <v>10.050000000000001</v>
      </c>
      <c r="K270" s="23">
        <v>0.01</v>
      </c>
      <c r="L270" s="23">
        <v>0.01</v>
      </c>
      <c r="O270" s="15">
        <f>J270</f>
        <v>10.050000000000001</v>
      </c>
      <c r="P270" s="23">
        <v>5.65</v>
      </c>
      <c r="Q270" s="23">
        <v>7.0000000000000007E-2</v>
      </c>
      <c r="R270" s="23">
        <v>-0.24</v>
      </c>
      <c r="S270" s="15">
        <v>4.55</v>
      </c>
      <c r="T270" s="23">
        <v>0.01</v>
      </c>
      <c r="U270" s="23">
        <v>0.01</v>
      </c>
      <c r="V270" s="9">
        <f>SUM(P270:U270)</f>
        <v>10.050000000000001</v>
      </c>
      <c r="W270" s="9">
        <f>O270-V270</f>
        <v>0</v>
      </c>
    </row>
    <row r="271" spans="1:23" ht="15.6">
      <c r="A271" s="9">
        <v>8</v>
      </c>
      <c r="B271" s="23">
        <v>34</v>
      </c>
      <c r="C271" s="23" t="s">
        <v>88</v>
      </c>
      <c r="D271" s="23">
        <v>5.38</v>
      </c>
      <c r="E271" s="23">
        <v>0.04</v>
      </c>
      <c r="F271" s="23">
        <v>-0.13</v>
      </c>
      <c r="G271" s="23">
        <v>5.28</v>
      </c>
      <c r="H271" s="23">
        <v>9.83</v>
      </c>
      <c r="I271" s="15">
        <v>4.55</v>
      </c>
      <c r="J271" s="23">
        <v>9.7799999999999994</v>
      </c>
      <c r="K271" s="23">
        <v>-0.06</v>
      </c>
      <c r="L271" s="23">
        <v>0.01</v>
      </c>
      <c r="O271" s="15">
        <f>J271</f>
        <v>9.7799999999999994</v>
      </c>
      <c r="P271" s="23">
        <v>5.38</v>
      </c>
      <c r="Q271" s="23">
        <v>0.04</v>
      </c>
      <c r="R271" s="23">
        <v>-0.13</v>
      </c>
      <c r="S271" s="15">
        <v>4.55</v>
      </c>
      <c r="T271" s="23">
        <v>-0.06</v>
      </c>
      <c r="U271" s="23">
        <v>0.01</v>
      </c>
      <c r="V271" s="9">
        <f>SUM(P271:U271)</f>
        <v>9.7899999999999991</v>
      </c>
      <c r="W271" s="9">
        <f>O271-V271</f>
        <v>-9.9999999999997868E-3</v>
      </c>
    </row>
    <row r="272" spans="1:23" ht="15.6">
      <c r="A272" s="9">
        <v>8</v>
      </c>
      <c r="B272" s="23">
        <v>35</v>
      </c>
      <c r="C272" s="23" t="s">
        <v>89</v>
      </c>
      <c r="D272" s="23">
        <v>5.83</v>
      </c>
      <c r="E272" s="23">
        <v>-0.17</v>
      </c>
      <c r="F272" s="23">
        <v>-0.09</v>
      </c>
      <c r="G272" s="23">
        <v>5.57</v>
      </c>
      <c r="H272" s="23">
        <v>10.119999999999999</v>
      </c>
      <c r="I272" s="15">
        <v>4.55</v>
      </c>
      <c r="J272" s="23">
        <v>10.15</v>
      </c>
      <c r="K272" s="23">
        <v>0.03</v>
      </c>
      <c r="L272" s="23">
        <v>0.01</v>
      </c>
      <c r="O272" s="15">
        <f>J272</f>
        <v>10.15</v>
      </c>
      <c r="P272" s="23">
        <v>5.83</v>
      </c>
      <c r="Q272" s="23">
        <v>-0.17</v>
      </c>
      <c r="R272" s="23">
        <v>-0.09</v>
      </c>
      <c r="S272" s="15">
        <v>4.55</v>
      </c>
      <c r="T272" s="23">
        <v>0.03</v>
      </c>
      <c r="U272" s="23">
        <v>0.01</v>
      </c>
      <c r="V272" s="9">
        <f>SUM(P272:U272)</f>
        <v>10.16</v>
      </c>
      <c r="W272" s="9">
        <f>O272-V272</f>
        <v>-9.9999999999997868E-3</v>
      </c>
    </row>
    <row r="273" spans="1:23" ht="15.6">
      <c r="A273" s="9">
        <v>8</v>
      </c>
      <c r="B273" s="23">
        <v>36</v>
      </c>
      <c r="C273" s="23" t="s">
        <v>90</v>
      </c>
      <c r="D273" s="23">
        <v>6.16</v>
      </c>
      <c r="E273" s="23">
        <v>-0.11</v>
      </c>
      <c r="F273" s="23">
        <v>-0.38</v>
      </c>
      <c r="G273" s="23">
        <v>5.67</v>
      </c>
      <c r="H273" s="23">
        <v>10.220000000000001</v>
      </c>
      <c r="I273" s="15">
        <v>4.55</v>
      </c>
      <c r="J273" s="23">
        <v>10.24</v>
      </c>
      <c r="K273" s="23">
        <v>0.02</v>
      </c>
      <c r="L273" s="23">
        <v>0</v>
      </c>
      <c r="O273" s="15">
        <f>J273</f>
        <v>10.24</v>
      </c>
      <c r="P273" s="23">
        <v>6.16</v>
      </c>
      <c r="Q273" s="23">
        <v>-0.11</v>
      </c>
      <c r="R273" s="23">
        <v>-0.38</v>
      </c>
      <c r="S273" s="15">
        <v>4.55</v>
      </c>
      <c r="T273" s="23">
        <v>0.02</v>
      </c>
      <c r="U273" s="23">
        <v>0</v>
      </c>
      <c r="V273" s="9">
        <f>SUM(P273:U273)</f>
        <v>10.239999999999998</v>
      </c>
      <c r="W273" s="9">
        <f>O273-V273</f>
        <v>0</v>
      </c>
    </row>
    <row r="274" spans="1:23" ht="15.6">
      <c r="A274" s="9">
        <v>8</v>
      </c>
      <c r="B274" s="23">
        <v>37</v>
      </c>
      <c r="C274" s="23" t="s">
        <v>91</v>
      </c>
      <c r="D274" s="23">
        <v>5.95</v>
      </c>
      <c r="E274" s="23">
        <v>-0.03</v>
      </c>
      <c r="F274" s="23">
        <v>-0.34</v>
      </c>
      <c r="G274" s="23">
        <v>5.57</v>
      </c>
      <c r="H274" s="23">
        <v>10.119999999999999</v>
      </c>
      <c r="I274" s="15">
        <v>4.55</v>
      </c>
      <c r="J274" s="23">
        <v>10.02</v>
      </c>
      <c r="K274" s="23">
        <v>-0.11</v>
      </c>
      <c r="L274" s="23">
        <v>0.01</v>
      </c>
      <c r="O274" s="15">
        <f>J274</f>
        <v>10.02</v>
      </c>
      <c r="P274" s="23">
        <v>5.95</v>
      </c>
      <c r="Q274" s="23">
        <v>-0.03</v>
      </c>
      <c r="R274" s="23">
        <v>-0.34</v>
      </c>
      <c r="S274" s="15">
        <v>4.55</v>
      </c>
      <c r="T274" s="23">
        <v>-0.11</v>
      </c>
      <c r="U274" s="23">
        <v>0.01</v>
      </c>
      <c r="V274" s="9">
        <f>SUM(P274:U274)</f>
        <v>10.029999999999999</v>
      </c>
      <c r="W274" s="9">
        <f>O274-V274</f>
        <v>-9.9999999999997868E-3</v>
      </c>
    </row>
    <row r="275" spans="1:23" ht="15.6">
      <c r="A275" s="9">
        <v>8</v>
      </c>
      <c r="B275" s="23">
        <v>38</v>
      </c>
      <c r="C275" s="23" t="s">
        <v>92</v>
      </c>
      <c r="D275" s="23">
        <v>5.89</v>
      </c>
      <c r="E275" s="23">
        <v>-0.01</v>
      </c>
      <c r="F275" s="23">
        <v>-0.45</v>
      </c>
      <c r="G275" s="23">
        <v>5.44</v>
      </c>
      <c r="H275" s="23">
        <v>9.99</v>
      </c>
      <c r="I275" s="15">
        <v>4.55</v>
      </c>
      <c r="J275" s="23">
        <v>9.98</v>
      </c>
      <c r="K275" s="23">
        <v>-0.02</v>
      </c>
      <c r="L275" s="23">
        <v>0.01</v>
      </c>
      <c r="O275" s="15">
        <f>J275</f>
        <v>9.98</v>
      </c>
      <c r="P275" s="23">
        <v>5.89</v>
      </c>
      <c r="Q275" s="23">
        <v>-0.01</v>
      </c>
      <c r="R275" s="23">
        <v>-0.45</v>
      </c>
      <c r="S275" s="15">
        <v>4.55</v>
      </c>
      <c r="T275" s="23">
        <v>-0.02</v>
      </c>
      <c r="U275" s="23">
        <v>0.01</v>
      </c>
      <c r="V275" s="9">
        <f>SUM(P275:U275)</f>
        <v>9.9700000000000006</v>
      </c>
      <c r="W275" s="9">
        <f>O275-V275</f>
        <v>9.9999999999997868E-3</v>
      </c>
    </row>
    <row r="276" spans="1:23" ht="15.6">
      <c r="A276" s="9">
        <v>8</v>
      </c>
      <c r="B276" s="23">
        <v>39</v>
      </c>
      <c r="C276" s="23" t="s">
        <v>93</v>
      </c>
      <c r="D276" s="23">
        <v>6.05</v>
      </c>
      <c r="E276" s="23">
        <v>-0.18</v>
      </c>
      <c r="F276" s="23">
        <v>-0.4</v>
      </c>
      <c r="G276" s="23">
        <v>5.47</v>
      </c>
      <c r="H276" s="23">
        <v>10.01</v>
      </c>
      <c r="I276" s="15">
        <v>4.55</v>
      </c>
      <c r="J276" s="23">
        <v>10.050000000000001</v>
      </c>
      <c r="K276" s="23">
        <v>0.03</v>
      </c>
      <c r="L276" s="23">
        <v>0.01</v>
      </c>
      <c r="O276" s="15">
        <f>J276</f>
        <v>10.050000000000001</v>
      </c>
      <c r="P276" s="23">
        <v>6.05</v>
      </c>
      <c r="Q276" s="23">
        <v>-0.18</v>
      </c>
      <c r="R276" s="23">
        <v>-0.4</v>
      </c>
      <c r="S276" s="15">
        <v>4.55</v>
      </c>
      <c r="T276" s="23">
        <v>0.03</v>
      </c>
      <c r="U276" s="23">
        <v>0.01</v>
      </c>
      <c r="V276" s="9">
        <f>SUM(P276:U276)</f>
        <v>10.059999999999999</v>
      </c>
      <c r="W276" s="9">
        <f>O276-V276</f>
        <v>-9.9999999999980105E-3</v>
      </c>
    </row>
    <row r="277" spans="1:23" ht="15.6">
      <c r="A277" s="9">
        <v>8</v>
      </c>
      <c r="B277" s="23">
        <v>40</v>
      </c>
      <c r="C277" s="23" t="s">
        <v>94</v>
      </c>
      <c r="D277" s="23">
        <v>5.85</v>
      </c>
      <c r="E277" s="23">
        <v>0.06</v>
      </c>
      <c r="F277" s="23">
        <v>-0.28999999999999998</v>
      </c>
      <c r="G277" s="23">
        <v>5.62</v>
      </c>
      <c r="H277" s="23">
        <v>10.17</v>
      </c>
      <c r="I277" s="15">
        <v>4.55</v>
      </c>
      <c r="J277" s="23">
        <v>10.11</v>
      </c>
      <c r="K277" s="23">
        <v>-7.0000000000000007E-2</v>
      </c>
      <c r="L277" s="23">
        <v>0.01</v>
      </c>
      <c r="O277" s="15">
        <f>J277</f>
        <v>10.11</v>
      </c>
      <c r="P277" s="23">
        <v>5.85</v>
      </c>
      <c r="Q277" s="23">
        <v>0.06</v>
      </c>
      <c r="R277" s="23">
        <v>-0.28999999999999998</v>
      </c>
      <c r="S277" s="15">
        <v>4.55</v>
      </c>
      <c r="T277" s="23">
        <v>-7.0000000000000007E-2</v>
      </c>
      <c r="U277" s="23">
        <v>0.01</v>
      </c>
      <c r="V277" s="9">
        <f>SUM(P277:U277)</f>
        <v>10.109999999999998</v>
      </c>
      <c r="W277" s="9">
        <f>O277-V277</f>
        <v>0</v>
      </c>
    </row>
    <row r="278" spans="1:23" ht="15.6">
      <c r="A278" s="9">
        <v>8</v>
      </c>
      <c r="B278" s="23">
        <v>41</v>
      </c>
      <c r="C278" s="23" t="s">
        <v>95</v>
      </c>
      <c r="D278" s="23">
        <v>6.91</v>
      </c>
      <c r="E278" s="23">
        <v>-0.18</v>
      </c>
      <c r="F278" s="23">
        <v>-0.67</v>
      </c>
      <c r="G278" s="23">
        <v>6.06</v>
      </c>
      <c r="H278" s="23">
        <v>10.61</v>
      </c>
      <c r="I278" s="15">
        <v>4.55</v>
      </c>
      <c r="J278" s="23">
        <v>10.55</v>
      </c>
      <c r="K278" s="23">
        <v>-0.05</v>
      </c>
      <c r="L278" s="23">
        <v>0</v>
      </c>
      <c r="O278" s="15">
        <f>J278</f>
        <v>10.55</v>
      </c>
      <c r="P278" s="23">
        <v>6.91</v>
      </c>
      <c r="Q278" s="23">
        <v>-0.18</v>
      </c>
      <c r="R278" s="23">
        <v>-0.67</v>
      </c>
      <c r="S278" s="15">
        <v>4.55</v>
      </c>
      <c r="T278" s="23">
        <v>-0.05</v>
      </c>
      <c r="U278" s="23">
        <v>0</v>
      </c>
      <c r="V278" s="9">
        <f>SUM(P278:U278)</f>
        <v>10.559999999999999</v>
      </c>
      <c r="W278" s="9">
        <f>O278-V278</f>
        <v>-9.9999999999980105E-3</v>
      </c>
    </row>
    <row r="279" spans="1:23" ht="15.6">
      <c r="A279" s="9">
        <v>8</v>
      </c>
      <c r="B279" s="23">
        <v>42</v>
      </c>
      <c r="C279" s="23" t="s">
        <v>96</v>
      </c>
      <c r="D279" s="23">
        <v>6.56</v>
      </c>
      <c r="E279" s="23">
        <v>-0.27</v>
      </c>
      <c r="F279" s="23">
        <v>-0.73</v>
      </c>
      <c r="G279" s="23">
        <v>5.56</v>
      </c>
      <c r="H279" s="23">
        <v>10.11</v>
      </c>
      <c r="I279" s="15">
        <v>4.55</v>
      </c>
      <c r="J279" s="23">
        <v>10.06</v>
      </c>
      <c r="K279" s="23">
        <v>-0.06</v>
      </c>
      <c r="L279" s="23">
        <v>0.01</v>
      </c>
      <c r="O279" s="15">
        <f>J279</f>
        <v>10.06</v>
      </c>
      <c r="P279" s="23">
        <v>6.56</v>
      </c>
      <c r="Q279" s="23">
        <v>-0.27</v>
      </c>
      <c r="R279" s="23">
        <v>-0.73</v>
      </c>
      <c r="S279" s="15">
        <v>4.55</v>
      </c>
      <c r="T279" s="23">
        <v>-0.06</v>
      </c>
      <c r="U279" s="23">
        <v>0.01</v>
      </c>
      <c r="V279" s="9">
        <f>SUM(P279:U279)</f>
        <v>10.059999999999999</v>
      </c>
      <c r="W279" s="9">
        <f>O279-V279</f>
        <v>0</v>
      </c>
    </row>
    <row r="280" spans="1:23" ht="15.6">
      <c r="A280" s="9">
        <v>8</v>
      </c>
      <c r="B280" s="23">
        <v>43</v>
      </c>
      <c r="C280" s="23" t="s">
        <v>97</v>
      </c>
      <c r="D280" s="23">
        <v>6.3</v>
      </c>
      <c r="E280" s="23">
        <v>-0.1</v>
      </c>
      <c r="F280" s="23">
        <v>-0.59</v>
      </c>
      <c r="G280" s="23">
        <v>5.61</v>
      </c>
      <c r="H280" s="23">
        <v>10.16</v>
      </c>
      <c r="I280" s="15">
        <v>4.55</v>
      </c>
      <c r="J280" s="23">
        <v>10.08</v>
      </c>
      <c r="K280" s="23">
        <v>-0.09</v>
      </c>
      <c r="L280" s="23">
        <v>0.01</v>
      </c>
      <c r="O280" s="15">
        <f>J280</f>
        <v>10.08</v>
      </c>
      <c r="P280" s="23">
        <v>6.3</v>
      </c>
      <c r="Q280" s="23">
        <v>-0.1</v>
      </c>
      <c r="R280" s="23">
        <v>-0.59</v>
      </c>
      <c r="S280" s="15">
        <v>4.55</v>
      </c>
      <c r="T280" s="23">
        <v>-0.09</v>
      </c>
      <c r="U280" s="23">
        <v>0.01</v>
      </c>
      <c r="V280" s="9">
        <f>SUM(P280:U280)</f>
        <v>10.08</v>
      </c>
      <c r="W280" s="9">
        <f>O280-V280</f>
        <v>0</v>
      </c>
    </row>
    <row r="281" spans="1:23" ht="15.6">
      <c r="A281" s="9">
        <v>8</v>
      </c>
      <c r="B281" s="23">
        <v>44</v>
      </c>
      <c r="C281" s="23" t="s">
        <v>98</v>
      </c>
      <c r="D281" s="23">
        <v>6.35</v>
      </c>
      <c r="E281" s="23">
        <v>-0.21</v>
      </c>
      <c r="F281" s="23">
        <v>-0.55000000000000004</v>
      </c>
      <c r="G281" s="23">
        <v>5.59</v>
      </c>
      <c r="H281" s="23">
        <v>10.14</v>
      </c>
      <c r="I281" s="15">
        <v>4.55</v>
      </c>
      <c r="J281" s="23">
        <v>10.08</v>
      </c>
      <c r="K281" s="23">
        <v>-7.0000000000000007E-2</v>
      </c>
      <c r="L281" s="23">
        <v>0.01</v>
      </c>
      <c r="O281" s="15">
        <f>J281</f>
        <v>10.08</v>
      </c>
      <c r="P281" s="23">
        <v>6.35</v>
      </c>
      <c r="Q281" s="23">
        <v>-0.21</v>
      </c>
      <c r="R281" s="23">
        <v>-0.55000000000000004</v>
      </c>
      <c r="S281" s="15">
        <v>4.55</v>
      </c>
      <c r="T281" s="23">
        <v>-7.0000000000000007E-2</v>
      </c>
      <c r="U281" s="23">
        <v>0.01</v>
      </c>
      <c r="V281" s="9">
        <f>SUM(P281:U281)</f>
        <v>10.08</v>
      </c>
      <c r="W281" s="9">
        <f>O281-V281</f>
        <v>0</v>
      </c>
    </row>
    <row r="282" spans="1:23" ht="15.6">
      <c r="A282" s="9">
        <v>8</v>
      </c>
      <c r="B282" s="23">
        <v>45</v>
      </c>
      <c r="C282" s="23" t="s">
        <v>99</v>
      </c>
      <c r="D282" s="23">
        <v>6.14</v>
      </c>
      <c r="E282" s="23">
        <v>-0.13</v>
      </c>
      <c r="F282" s="23">
        <v>-0.75</v>
      </c>
      <c r="G282" s="23">
        <v>5.26</v>
      </c>
      <c r="H282" s="23">
        <v>9.81</v>
      </c>
      <c r="I282" s="15">
        <v>4.55</v>
      </c>
      <c r="J282" s="23">
        <v>9.77</v>
      </c>
      <c r="K282" s="23">
        <v>-0.04</v>
      </c>
      <c r="L282" s="23">
        <v>0.01</v>
      </c>
      <c r="O282" s="15">
        <f>J282</f>
        <v>9.77</v>
      </c>
      <c r="P282" s="23">
        <v>6.14</v>
      </c>
      <c r="Q282" s="23">
        <v>-0.13</v>
      </c>
      <c r="R282" s="23">
        <v>-0.75</v>
      </c>
      <c r="S282" s="15">
        <v>4.55</v>
      </c>
      <c r="T282" s="23">
        <v>-0.04</v>
      </c>
      <c r="U282" s="23">
        <v>0.01</v>
      </c>
      <c r="V282" s="9">
        <f>SUM(P282:U282)</f>
        <v>9.7799999999999994</v>
      </c>
      <c r="W282" s="9">
        <f>O282-V282</f>
        <v>-9.9999999999997868E-3</v>
      </c>
    </row>
    <row r="283" spans="1:23" ht="15.6">
      <c r="A283" s="9">
        <v>8</v>
      </c>
      <c r="B283" s="23">
        <v>46</v>
      </c>
      <c r="C283" s="23" t="s">
        <v>100</v>
      </c>
      <c r="D283" s="23">
        <v>6.64</v>
      </c>
      <c r="E283" s="23">
        <v>-0.11</v>
      </c>
      <c r="F283" s="23">
        <v>-0.91</v>
      </c>
      <c r="G283" s="23">
        <v>5.62</v>
      </c>
      <c r="H283" s="23">
        <v>10.16</v>
      </c>
      <c r="I283" s="15">
        <v>4.55</v>
      </c>
      <c r="J283" s="23">
        <v>10.130000000000001</v>
      </c>
      <c r="K283" s="23">
        <v>-0.04</v>
      </c>
      <c r="L283" s="23">
        <v>0.01</v>
      </c>
      <c r="O283" s="15">
        <f>J283</f>
        <v>10.130000000000001</v>
      </c>
      <c r="P283" s="23">
        <v>6.64</v>
      </c>
      <c r="Q283" s="23">
        <v>-0.11</v>
      </c>
      <c r="R283" s="23">
        <v>-0.91</v>
      </c>
      <c r="S283" s="15">
        <v>4.55</v>
      </c>
      <c r="T283" s="23">
        <v>-0.04</v>
      </c>
      <c r="U283" s="23">
        <v>0.01</v>
      </c>
      <c r="V283" s="9">
        <f>SUM(P283:U283)</f>
        <v>10.139999999999999</v>
      </c>
      <c r="W283" s="9">
        <f>O283-V283</f>
        <v>-9.9999999999980105E-3</v>
      </c>
    </row>
    <row r="284" spans="1:23" ht="15.6">
      <c r="A284" s="9">
        <v>8</v>
      </c>
      <c r="B284" s="23">
        <v>47</v>
      </c>
      <c r="C284" s="23" t="s">
        <v>101</v>
      </c>
      <c r="D284" s="23">
        <v>6.4</v>
      </c>
      <c r="E284" s="23">
        <v>0.11</v>
      </c>
      <c r="F284" s="23">
        <v>-1.41</v>
      </c>
      <c r="G284" s="23">
        <v>5.1100000000000003</v>
      </c>
      <c r="H284" s="23">
        <v>9.66</v>
      </c>
      <c r="I284" s="15">
        <v>4.55</v>
      </c>
      <c r="J284" s="23">
        <v>9.61</v>
      </c>
      <c r="K284" s="23">
        <v>-0.01</v>
      </c>
      <c r="L284" s="23">
        <v>-0.03</v>
      </c>
      <c r="O284" s="15">
        <f>J284</f>
        <v>9.61</v>
      </c>
      <c r="P284" s="23">
        <v>6.4</v>
      </c>
      <c r="Q284" s="23">
        <v>0.11</v>
      </c>
      <c r="R284" s="23">
        <v>-1.41</v>
      </c>
      <c r="S284" s="15">
        <v>4.55</v>
      </c>
      <c r="T284" s="23">
        <v>-0.01</v>
      </c>
      <c r="U284" s="23">
        <v>-0.03</v>
      </c>
      <c r="V284" s="9">
        <f>SUM(P284:U284)</f>
        <v>9.6100000000000012</v>
      </c>
      <c r="W284" s="9">
        <f>O284-V284</f>
        <v>0</v>
      </c>
    </row>
    <row r="285" spans="1:23">
      <c r="V285" s="20" t="s">
        <v>136</v>
      </c>
      <c r="W285">
        <f>SUM(W3:W284)</f>
        <v>7.9000000000037929E-2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69D9CD-53E1-400C-8B3C-C0B9E7A4C2F3}"/>
</file>

<file path=customXml/itemProps2.xml><?xml version="1.0" encoding="utf-8"?>
<ds:datastoreItem xmlns:ds="http://schemas.openxmlformats.org/officeDocument/2006/customXml" ds:itemID="{25840973-E0E7-4F40-BD73-F4A9A17E8D14}"/>
</file>

<file path=customXml/itemProps3.xml><?xml version="1.0" encoding="utf-8"?>
<ds:datastoreItem xmlns:ds="http://schemas.openxmlformats.org/officeDocument/2006/customXml" ds:itemID="{AF62FF2B-A22E-43E7-9058-3F91C6DD8D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小場　康剛</cp:lastModifiedBy>
  <cp:revision>8</cp:revision>
  <dcterms:created xsi:type="dcterms:W3CDTF">2026-07-20T10:11:50Z</dcterms:created>
  <dcterms:modified xsi:type="dcterms:W3CDTF">2026-08-02T09:39:15Z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