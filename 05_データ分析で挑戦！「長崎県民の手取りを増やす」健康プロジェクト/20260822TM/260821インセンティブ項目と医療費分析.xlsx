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tadak\OneDrive\デスクトップ\分析データ\"/>
    </mc:Choice>
  </mc:AlternateContent>
  <xr:revisionPtr revIDLastSave="0" documentId="8_{BD17FF6E-C6C6-4A89-BA44-B612EE3D2B0D}" xr6:coauthVersionLast="47" xr6:coauthVersionMax="47" xr10:uidLastSave="{00000000-0000-0000-0000-000000000000}"/>
  <bookViews>
    <workbookView xWindow="21850" yWindow="-110" windowWidth="38620" windowHeight="21100" firstSheet="2" activeTab="2" xr2:uid="{C22ED91F-2E7D-40B5-9627-441B67FD0724}"/>
  </bookViews>
  <sheets>
    <sheet name="Sheet2" sheetId="1" r:id="rId1"/>
    <sheet name="インセンティブ評価" sheetId="2" r:id="rId2"/>
    <sheet name="インセンティブ実施率" sheetId="3" r:id="rId3"/>
    <sheet name="都道府県別医療費の状況" sheetId="4" r:id="rId4"/>
  </sheets>
  <definedNames>
    <definedName name="_xlnm._FilterDatabase" localSheetId="2" hidden="1">インセンティブ実施率!$A$1:$M$330</definedName>
    <definedName name="_xlnm._FilterDatabase" localSheetId="1" hidden="1">インセンティブ評価!$A$1:$O$1</definedName>
    <definedName name="_xlnm._FilterDatabase" localSheetId="3" hidden="1">都道府県別医療費の状況!$A$1:$O$481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30" i="3" l="1"/>
  <c r="Q330" i="3"/>
  <c r="P330" i="3"/>
  <c r="O330" i="3"/>
  <c r="N330" i="3"/>
  <c r="R329" i="3"/>
  <c r="Q329" i="3"/>
  <c r="P329" i="3"/>
  <c r="O329" i="3"/>
  <c r="N329" i="3"/>
  <c r="R328" i="3"/>
  <c r="Q328" i="3"/>
  <c r="P328" i="3"/>
  <c r="O328" i="3"/>
  <c r="N328" i="3"/>
  <c r="R327" i="3"/>
  <c r="Q327" i="3"/>
  <c r="P327" i="3"/>
  <c r="O327" i="3"/>
  <c r="N327" i="3"/>
  <c r="R326" i="3"/>
  <c r="Q326" i="3"/>
  <c r="P326" i="3"/>
  <c r="O326" i="3"/>
  <c r="N326" i="3"/>
  <c r="R325" i="3"/>
  <c r="Q325" i="3"/>
  <c r="P325" i="3"/>
  <c r="O325" i="3"/>
  <c r="N325" i="3"/>
  <c r="R324" i="3"/>
  <c r="Q324" i="3"/>
  <c r="P324" i="3"/>
  <c r="O324" i="3"/>
  <c r="N324" i="3"/>
  <c r="R323" i="3"/>
  <c r="Q323" i="3"/>
  <c r="P323" i="3"/>
  <c r="O323" i="3"/>
  <c r="N323" i="3"/>
  <c r="R322" i="3"/>
  <c r="Q322" i="3"/>
  <c r="P322" i="3"/>
  <c r="O322" i="3"/>
  <c r="N322" i="3"/>
  <c r="R321" i="3"/>
  <c r="Q321" i="3"/>
  <c r="P321" i="3"/>
  <c r="O321" i="3"/>
  <c r="N321" i="3"/>
  <c r="R320" i="3"/>
  <c r="Q320" i="3"/>
  <c r="P320" i="3"/>
  <c r="O320" i="3"/>
  <c r="N320" i="3"/>
  <c r="R319" i="3"/>
  <c r="Q319" i="3"/>
  <c r="P319" i="3"/>
  <c r="O319" i="3"/>
  <c r="N319" i="3"/>
  <c r="R318" i="3"/>
  <c r="Q318" i="3"/>
  <c r="P318" i="3"/>
  <c r="O318" i="3"/>
  <c r="N318" i="3"/>
  <c r="R317" i="3"/>
  <c r="Q317" i="3"/>
  <c r="P317" i="3"/>
  <c r="O317" i="3"/>
  <c r="N317" i="3"/>
  <c r="R316" i="3"/>
  <c r="Q316" i="3"/>
  <c r="P316" i="3"/>
  <c r="O316" i="3"/>
  <c r="N316" i="3"/>
  <c r="R315" i="3"/>
  <c r="Q315" i="3"/>
  <c r="P315" i="3"/>
  <c r="O315" i="3"/>
  <c r="N315" i="3"/>
  <c r="R314" i="3"/>
  <c r="Q314" i="3"/>
  <c r="P314" i="3"/>
  <c r="O314" i="3"/>
  <c r="N314" i="3"/>
  <c r="R313" i="3"/>
  <c r="Q313" i="3"/>
  <c r="P313" i="3"/>
  <c r="O313" i="3"/>
  <c r="N313" i="3"/>
  <c r="R312" i="3"/>
  <c r="Q312" i="3"/>
  <c r="P312" i="3"/>
  <c r="O312" i="3"/>
  <c r="N312" i="3"/>
  <c r="R311" i="3"/>
  <c r="Q311" i="3"/>
  <c r="P311" i="3"/>
  <c r="O311" i="3"/>
  <c r="N311" i="3"/>
  <c r="R310" i="3"/>
  <c r="Q310" i="3"/>
  <c r="P310" i="3"/>
  <c r="O310" i="3"/>
  <c r="N310" i="3"/>
  <c r="R309" i="3"/>
  <c r="Q309" i="3"/>
  <c r="P309" i="3"/>
  <c r="O309" i="3"/>
  <c r="N309" i="3"/>
  <c r="R308" i="3"/>
  <c r="Q308" i="3"/>
  <c r="P308" i="3"/>
  <c r="O308" i="3"/>
  <c r="N308" i="3"/>
  <c r="R307" i="3"/>
  <c r="Q307" i="3"/>
  <c r="P307" i="3"/>
  <c r="O307" i="3"/>
  <c r="N307" i="3"/>
  <c r="R306" i="3"/>
  <c r="Q306" i="3"/>
  <c r="P306" i="3"/>
  <c r="O306" i="3"/>
  <c r="N306" i="3"/>
  <c r="R305" i="3"/>
  <c r="Q305" i="3"/>
  <c r="P305" i="3"/>
  <c r="O305" i="3"/>
  <c r="N305" i="3"/>
  <c r="R304" i="3"/>
  <c r="Q304" i="3"/>
  <c r="P304" i="3"/>
  <c r="O304" i="3"/>
  <c r="N304" i="3"/>
  <c r="R303" i="3"/>
  <c r="Q303" i="3"/>
  <c r="P303" i="3"/>
  <c r="O303" i="3"/>
  <c r="N303" i="3"/>
  <c r="R302" i="3"/>
  <c r="Q302" i="3"/>
  <c r="P302" i="3"/>
  <c r="O302" i="3"/>
  <c r="N302" i="3"/>
  <c r="R301" i="3"/>
  <c r="Q301" i="3"/>
  <c r="P301" i="3"/>
  <c r="O301" i="3"/>
  <c r="N301" i="3"/>
  <c r="R300" i="3"/>
  <c r="Q300" i="3"/>
  <c r="P300" i="3"/>
  <c r="O300" i="3"/>
  <c r="N300" i="3"/>
  <c r="R299" i="3"/>
  <c r="Q299" i="3"/>
  <c r="P299" i="3"/>
  <c r="O299" i="3"/>
  <c r="N299" i="3"/>
  <c r="R298" i="3"/>
  <c r="Q298" i="3"/>
  <c r="P298" i="3"/>
  <c r="O298" i="3"/>
  <c r="N298" i="3"/>
  <c r="R297" i="3"/>
  <c r="Q297" i="3"/>
  <c r="P297" i="3"/>
  <c r="O297" i="3"/>
  <c r="N297" i="3"/>
  <c r="R296" i="3"/>
  <c r="Q296" i="3"/>
  <c r="P296" i="3"/>
  <c r="O296" i="3"/>
  <c r="N296" i="3"/>
  <c r="R295" i="3"/>
  <c r="Q295" i="3"/>
  <c r="P295" i="3"/>
  <c r="O295" i="3"/>
  <c r="N295" i="3"/>
  <c r="R294" i="3"/>
  <c r="Q294" i="3"/>
  <c r="P294" i="3"/>
  <c r="O294" i="3"/>
  <c r="N294" i="3"/>
  <c r="R293" i="3"/>
  <c r="Q293" i="3"/>
  <c r="P293" i="3"/>
  <c r="O293" i="3"/>
  <c r="N293" i="3"/>
  <c r="R292" i="3"/>
  <c r="Q292" i="3"/>
  <c r="P292" i="3"/>
  <c r="O292" i="3"/>
  <c r="N292" i="3"/>
  <c r="R291" i="3"/>
  <c r="Q291" i="3"/>
  <c r="P291" i="3"/>
  <c r="O291" i="3"/>
  <c r="N291" i="3"/>
  <c r="R290" i="3"/>
  <c r="Q290" i="3"/>
  <c r="P290" i="3"/>
  <c r="O290" i="3"/>
  <c r="N290" i="3"/>
  <c r="R289" i="3"/>
  <c r="Q289" i="3"/>
  <c r="P289" i="3"/>
  <c r="O289" i="3"/>
  <c r="N289" i="3"/>
  <c r="R288" i="3"/>
  <c r="Q288" i="3"/>
  <c r="P288" i="3"/>
  <c r="O288" i="3"/>
  <c r="N288" i="3"/>
  <c r="R287" i="3"/>
  <c r="Q287" i="3"/>
  <c r="P287" i="3"/>
  <c r="O287" i="3"/>
  <c r="N287" i="3"/>
  <c r="R286" i="3"/>
  <c r="Q286" i="3"/>
  <c r="P286" i="3"/>
  <c r="O286" i="3"/>
  <c r="N286" i="3"/>
  <c r="R285" i="3"/>
  <c r="Q285" i="3"/>
  <c r="P285" i="3"/>
  <c r="O285" i="3"/>
  <c r="N285" i="3"/>
  <c r="R284" i="3"/>
  <c r="Q284" i="3"/>
  <c r="P284" i="3"/>
  <c r="O284" i="3"/>
  <c r="N284" i="3"/>
  <c r="R283" i="3"/>
  <c r="Q283" i="3"/>
  <c r="P283" i="3"/>
  <c r="O283" i="3"/>
  <c r="N283" i="3"/>
  <c r="R282" i="3"/>
  <c r="Q282" i="3"/>
  <c r="P282" i="3"/>
  <c r="O282" i="3"/>
  <c r="N282" i="3"/>
  <c r="R281" i="3"/>
  <c r="Q281" i="3"/>
  <c r="P281" i="3"/>
  <c r="O281" i="3"/>
  <c r="N281" i="3"/>
  <c r="R280" i="3"/>
  <c r="Q280" i="3"/>
  <c r="P280" i="3"/>
  <c r="O280" i="3"/>
  <c r="N280" i="3"/>
  <c r="R279" i="3"/>
  <c r="Q279" i="3"/>
  <c r="P279" i="3"/>
  <c r="O279" i="3"/>
  <c r="N279" i="3"/>
  <c r="R278" i="3"/>
  <c r="Q278" i="3"/>
  <c r="P278" i="3"/>
  <c r="O278" i="3"/>
  <c r="N278" i="3"/>
  <c r="R277" i="3"/>
  <c r="Q277" i="3"/>
  <c r="P277" i="3"/>
  <c r="O277" i="3"/>
  <c r="N277" i="3"/>
  <c r="R276" i="3"/>
  <c r="Q276" i="3"/>
  <c r="P276" i="3"/>
  <c r="O276" i="3"/>
  <c r="N276" i="3"/>
  <c r="R275" i="3"/>
  <c r="Q275" i="3"/>
  <c r="P275" i="3"/>
  <c r="O275" i="3"/>
  <c r="N275" i="3"/>
  <c r="R274" i="3"/>
  <c r="Q274" i="3"/>
  <c r="P274" i="3"/>
  <c r="O274" i="3"/>
  <c r="N274" i="3"/>
  <c r="R273" i="3"/>
  <c r="Q273" i="3"/>
  <c r="P273" i="3"/>
  <c r="O273" i="3"/>
  <c r="N273" i="3"/>
  <c r="R272" i="3"/>
  <c r="Q272" i="3"/>
  <c r="P272" i="3"/>
  <c r="O272" i="3"/>
  <c r="N272" i="3"/>
  <c r="R271" i="3"/>
  <c r="Q271" i="3"/>
  <c r="P271" i="3"/>
  <c r="O271" i="3"/>
  <c r="N271" i="3"/>
  <c r="R270" i="3"/>
  <c r="Q270" i="3"/>
  <c r="P270" i="3"/>
  <c r="O270" i="3"/>
  <c r="N270" i="3"/>
  <c r="R269" i="3"/>
  <c r="Q269" i="3"/>
  <c r="P269" i="3"/>
  <c r="O269" i="3"/>
  <c r="N269" i="3"/>
  <c r="R268" i="3"/>
  <c r="Q268" i="3"/>
  <c r="P268" i="3"/>
  <c r="O268" i="3"/>
  <c r="N268" i="3"/>
  <c r="R267" i="3"/>
  <c r="Q267" i="3"/>
  <c r="P267" i="3"/>
  <c r="O267" i="3"/>
  <c r="N267" i="3"/>
  <c r="R266" i="3"/>
  <c r="Q266" i="3"/>
  <c r="P266" i="3"/>
  <c r="O266" i="3"/>
  <c r="N266" i="3"/>
  <c r="R265" i="3"/>
  <c r="Q265" i="3"/>
  <c r="P265" i="3"/>
  <c r="O265" i="3"/>
  <c r="N265" i="3"/>
  <c r="R264" i="3"/>
  <c r="Q264" i="3"/>
  <c r="P264" i="3"/>
  <c r="O264" i="3"/>
  <c r="N264" i="3"/>
  <c r="R263" i="3"/>
  <c r="Q263" i="3"/>
  <c r="P263" i="3"/>
  <c r="O263" i="3"/>
  <c r="N263" i="3"/>
  <c r="R262" i="3"/>
  <c r="Q262" i="3"/>
  <c r="P262" i="3"/>
  <c r="O262" i="3"/>
  <c r="N262" i="3"/>
  <c r="R261" i="3"/>
  <c r="Q261" i="3"/>
  <c r="P261" i="3"/>
  <c r="O261" i="3"/>
  <c r="N261" i="3"/>
  <c r="R260" i="3"/>
  <c r="Q260" i="3"/>
  <c r="P260" i="3"/>
  <c r="O260" i="3"/>
  <c r="N260" i="3"/>
  <c r="R259" i="3"/>
  <c r="Q259" i="3"/>
  <c r="P259" i="3"/>
  <c r="O259" i="3"/>
  <c r="N259" i="3"/>
  <c r="R258" i="3"/>
  <c r="Q258" i="3"/>
  <c r="P258" i="3"/>
  <c r="O258" i="3"/>
  <c r="N258" i="3"/>
  <c r="R257" i="3"/>
  <c r="Q257" i="3"/>
  <c r="P257" i="3"/>
  <c r="O257" i="3"/>
  <c r="N257" i="3"/>
  <c r="R256" i="3"/>
  <c r="Q256" i="3"/>
  <c r="P256" i="3"/>
  <c r="O256" i="3"/>
  <c r="N256" i="3"/>
  <c r="R255" i="3"/>
  <c r="Q255" i="3"/>
  <c r="P255" i="3"/>
  <c r="O255" i="3"/>
  <c r="N255" i="3"/>
  <c r="R254" i="3"/>
  <c r="Q254" i="3"/>
  <c r="P254" i="3"/>
  <c r="O254" i="3"/>
  <c r="N254" i="3"/>
  <c r="R253" i="3"/>
  <c r="Q253" i="3"/>
  <c r="P253" i="3"/>
  <c r="O253" i="3"/>
  <c r="N253" i="3"/>
  <c r="R252" i="3"/>
  <c r="Q252" i="3"/>
  <c r="P252" i="3"/>
  <c r="O252" i="3"/>
  <c r="N252" i="3"/>
  <c r="R251" i="3"/>
  <c r="Q251" i="3"/>
  <c r="P251" i="3"/>
  <c r="O251" i="3"/>
  <c r="N251" i="3"/>
  <c r="R250" i="3"/>
  <c r="Q250" i="3"/>
  <c r="P250" i="3"/>
  <c r="O250" i="3"/>
  <c r="N250" i="3"/>
  <c r="R249" i="3"/>
  <c r="Q249" i="3"/>
  <c r="P249" i="3"/>
  <c r="O249" i="3"/>
  <c r="N249" i="3"/>
  <c r="R248" i="3"/>
  <c r="Q248" i="3"/>
  <c r="P248" i="3"/>
  <c r="O248" i="3"/>
  <c r="N248" i="3"/>
  <c r="R247" i="3"/>
  <c r="Q247" i="3"/>
  <c r="P247" i="3"/>
  <c r="O247" i="3"/>
  <c r="N247" i="3"/>
  <c r="R246" i="3"/>
  <c r="Q246" i="3"/>
  <c r="P246" i="3"/>
  <c r="O246" i="3"/>
  <c r="N246" i="3"/>
  <c r="R245" i="3"/>
  <c r="Q245" i="3"/>
  <c r="P245" i="3"/>
  <c r="O245" i="3"/>
  <c r="N245" i="3"/>
  <c r="R244" i="3"/>
  <c r="Q244" i="3"/>
  <c r="P244" i="3"/>
  <c r="O244" i="3"/>
  <c r="N244" i="3"/>
  <c r="R243" i="3"/>
  <c r="Q243" i="3"/>
  <c r="P243" i="3"/>
  <c r="O243" i="3"/>
  <c r="N243" i="3"/>
  <c r="R242" i="3"/>
  <c r="Q242" i="3"/>
  <c r="P242" i="3"/>
  <c r="O242" i="3"/>
  <c r="N242" i="3"/>
  <c r="R241" i="3"/>
  <c r="Q241" i="3"/>
  <c r="P241" i="3"/>
  <c r="O241" i="3"/>
  <c r="N241" i="3"/>
  <c r="R240" i="3"/>
  <c r="Q240" i="3"/>
  <c r="P240" i="3"/>
  <c r="O240" i="3"/>
  <c r="N240" i="3"/>
  <c r="R239" i="3"/>
  <c r="Q239" i="3"/>
  <c r="P239" i="3"/>
  <c r="O239" i="3"/>
  <c r="N239" i="3"/>
  <c r="R238" i="3"/>
  <c r="Q238" i="3"/>
  <c r="P238" i="3"/>
  <c r="O238" i="3"/>
  <c r="N238" i="3"/>
  <c r="R237" i="3"/>
  <c r="Q237" i="3"/>
  <c r="P237" i="3"/>
  <c r="O237" i="3"/>
  <c r="N237" i="3"/>
  <c r="R236" i="3"/>
  <c r="Q236" i="3"/>
  <c r="P236" i="3"/>
  <c r="O236" i="3"/>
  <c r="N236" i="3"/>
  <c r="R235" i="3"/>
  <c r="Q235" i="3"/>
  <c r="P235" i="3"/>
  <c r="O235" i="3"/>
  <c r="N235" i="3"/>
  <c r="R234" i="3"/>
  <c r="Q234" i="3"/>
  <c r="P234" i="3"/>
  <c r="O234" i="3"/>
  <c r="N234" i="3"/>
  <c r="R233" i="3"/>
  <c r="Q233" i="3"/>
  <c r="P233" i="3"/>
  <c r="O233" i="3"/>
  <c r="N233" i="3"/>
  <c r="R232" i="3"/>
  <c r="Q232" i="3"/>
  <c r="P232" i="3"/>
  <c r="O232" i="3"/>
  <c r="N232" i="3"/>
  <c r="R231" i="3"/>
  <c r="Q231" i="3"/>
  <c r="P231" i="3"/>
  <c r="O231" i="3"/>
  <c r="N231" i="3"/>
  <c r="R230" i="3"/>
  <c r="Q230" i="3"/>
  <c r="P230" i="3"/>
  <c r="O230" i="3"/>
  <c r="N230" i="3"/>
  <c r="R229" i="3"/>
  <c r="Q229" i="3"/>
  <c r="P229" i="3"/>
  <c r="O229" i="3"/>
  <c r="N229" i="3"/>
  <c r="R228" i="3"/>
  <c r="Q228" i="3"/>
  <c r="P228" i="3"/>
  <c r="O228" i="3"/>
  <c r="N228" i="3"/>
  <c r="R227" i="3"/>
  <c r="Q227" i="3"/>
  <c r="P227" i="3"/>
  <c r="O227" i="3"/>
  <c r="N227" i="3"/>
  <c r="R226" i="3"/>
  <c r="Q226" i="3"/>
  <c r="P226" i="3"/>
  <c r="O226" i="3"/>
  <c r="N226" i="3"/>
  <c r="R225" i="3"/>
  <c r="Q225" i="3"/>
  <c r="P225" i="3"/>
  <c r="O225" i="3"/>
  <c r="N225" i="3"/>
  <c r="R224" i="3"/>
  <c r="Q224" i="3"/>
  <c r="P224" i="3"/>
  <c r="O224" i="3"/>
  <c r="N224" i="3"/>
  <c r="R223" i="3"/>
  <c r="Q223" i="3"/>
  <c r="P223" i="3"/>
  <c r="O223" i="3"/>
  <c r="N223" i="3"/>
  <c r="R222" i="3"/>
  <c r="Q222" i="3"/>
  <c r="P222" i="3"/>
  <c r="O222" i="3"/>
  <c r="N222" i="3"/>
  <c r="R221" i="3"/>
  <c r="Q221" i="3"/>
  <c r="P221" i="3"/>
  <c r="O221" i="3"/>
  <c r="N221" i="3"/>
  <c r="R220" i="3"/>
  <c r="Q220" i="3"/>
  <c r="P220" i="3"/>
  <c r="O220" i="3"/>
  <c r="N220" i="3"/>
  <c r="R219" i="3"/>
  <c r="Q219" i="3"/>
  <c r="P219" i="3"/>
  <c r="O219" i="3"/>
  <c r="N219" i="3"/>
  <c r="R218" i="3"/>
  <c r="Q218" i="3"/>
  <c r="P218" i="3"/>
  <c r="O218" i="3"/>
  <c r="N218" i="3"/>
  <c r="R217" i="3"/>
  <c r="Q217" i="3"/>
  <c r="P217" i="3"/>
  <c r="O217" i="3"/>
  <c r="N217" i="3"/>
  <c r="R216" i="3"/>
  <c r="Q216" i="3"/>
  <c r="P216" i="3"/>
  <c r="O216" i="3"/>
  <c r="N216" i="3"/>
  <c r="R215" i="3"/>
  <c r="Q215" i="3"/>
  <c r="P215" i="3"/>
  <c r="O215" i="3"/>
  <c r="N215" i="3"/>
  <c r="R214" i="3"/>
  <c r="Q214" i="3"/>
  <c r="P214" i="3"/>
  <c r="O214" i="3"/>
  <c r="N214" i="3"/>
  <c r="R213" i="3"/>
  <c r="Q213" i="3"/>
  <c r="P213" i="3"/>
  <c r="O213" i="3"/>
  <c r="N213" i="3"/>
  <c r="R212" i="3"/>
  <c r="Q212" i="3"/>
  <c r="P212" i="3"/>
  <c r="O212" i="3"/>
  <c r="N212" i="3"/>
  <c r="R211" i="3"/>
  <c r="Q211" i="3"/>
  <c r="P211" i="3"/>
  <c r="O211" i="3"/>
  <c r="N211" i="3"/>
  <c r="R210" i="3"/>
  <c r="Q210" i="3"/>
  <c r="P210" i="3"/>
  <c r="O210" i="3"/>
  <c r="N210" i="3"/>
  <c r="R209" i="3"/>
  <c r="Q209" i="3"/>
  <c r="P209" i="3"/>
  <c r="O209" i="3"/>
  <c r="N209" i="3"/>
  <c r="R208" i="3"/>
  <c r="Q208" i="3"/>
  <c r="P208" i="3"/>
  <c r="O208" i="3"/>
  <c r="N208" i="3"/>
  <c r="R207" i="3"/>
  <c r="Q207" i="3"/>
  <c r="P207" i="3"/>
  <c r="O207" i="3"/>
  <c r="N207" i="3"/>
  <c r="R206" i="3"/>
  <c r="Q206" i="3"/>
  <c r="P206" i="3"/>
  <c r="O206" i="3"/>
  <c r="N206" i="3"/>
  <c r="R205" i="3"/>
  <c r="Q205" i="3"/>
  <c r="P205" i="3"/>
  <c r="O205" i="3"/>
  <c r="N205" i="3"/>
  <c r="R204" i="3"/>
  <c r="Q204" i="3"/>
  <c r="P204" i="3"/>
  <c r="O204" i="3"/>
  <c r="N204" i="3"/>
  <c r="R203" i="3"/>
  <c r="Q203" i="3"/>
  <c r="P203" i="3"/>
  <c r="O203" i="3"/>
  <c r="N203" i="3"/>
  <c r="R202" i="3"/>
  <c r="Q202" i="3"/>
  <c r="P202" i="3"/>
  <c r="O202" i="3"/>
  <c r="N202" i="3"/>
  <c r="R201" i="3"/>
  <c r="Q201" i="3"/>
  <c r="P201" i="3"/>
  <c r="O201" i="3"/>
  <c r="N201" i="3"/>
  <c r="R200" i="3"/>
  <c r="Q200" i="3"/>
  <c r="P200" i="3"/>
  <c r="O200" i="3"/>
  <c r="N200" i="3"/>
  <c r="R199" i="3"/>
  <c r="Q199" i="3"/>
  <c r="P199" i="3"/>
  <c r="O199" i="3"/>
  <c r="N199" i="3"/>
  <c r="R198" i="3"/>
  <c r="Q198" i="3"/>
  <c r="P198" i="3"/>
  <c r="O198" i="3"/>
  <c r="N198" i="3"/>
  <c r="R197" i="3"/>
  <c r="Q197" i="3"/>
  <c r="P197" i="3"/>
  <c r="O197" i="3"/>
  <c r="N197" i="3"/>
  <c r="R196" i="3"/>
  <c r="Q196" i="3"/>
  <c r="P196" i="3"/>
  <c r="O196" i="3"/>
  <c r="N196" i="3"/>
  <c r="R195" i="3"/>
  <c r="Q195" i="3"/>
  <c r="P195" i="3"/>
  <c r="O195" i="3"/>
  <c r="N195" i="3"/>
  <c r="R194" i="3"/>
  <c r="Q194" i="3"/>
  <c r="P194" i="3"/>
  <c r="O194" i="3"/>
  <c r="N194" i="3"/>
  <c r="R193" i="3"/>
  <c r="Q193" i="3"/>
  <c r="P193" i="3"/>
  <c r="O193" i="3"/>
  <c r="N193" i="3"/>
  <c r="R192" i="3"/>
  <c r="Q192" i="3"/>
  <c r="P192" i="3"/>
  <c r="O192" i="3"/>
  <c r="N192" i="3"/>
  <c r="R191" i="3"/>
  <c r="Q191" i="3"/>
  <c r="P191" i="3"/>
  <c r="O191" i="3"/>
  <c r="N191" i="3"/>
  <c r="R190" i="3"/>
  <c r="Q190" i="3"/>
  <c r="P190" i="3"/>
  <c r="O190" i="3"/>
  <c r="N190" i="3"/>
  <c r="R189" i="3"/>
  <c r="Q189" i="3"/>
  <c r="P189" i="3"/>
  <c r="O189" i="3"/>
  <c r="N189" i="3"/>
  <c r="R188" i="3"/>
  <c r="Q188" i="3"/>
  <c r="P188" i="3"/>
  <c r="O188" i="3"/>
  <c r="N188" i="3"/>
  <c r="R187" i="3"/>
  <c r="Q187" i="3"/>
  <c r="P187" i="3"/>
  <c r="O187" i="3"/>
  <c r="N187" i="3"/>
  <c r="R186" i="3"/>
  <c r="Q186" i="3"/>
  <c r="P186" i="3"/>
  <c r="O186" i="3"/>
  <c r="N186" i="3"/>
  <c r="R185" i="3"/>
  <c r="Q185" i="3"/>
  <c r="P185" i="3"/>
  <c r="O185" i="3"/>
  <c r="N185" i="3"/>
  <c r="R184" i="3"/>
  <c r="Q184" i="3"/>
  <c r="P184" i="3"/>
  <c r="O184" i="3"/>
  <c r="N184" i="3"/>
  <c r="R183" i="3"/>
  <c r="Q183" i="3"/>
  <c r="P183" i="3"/>
  <c r="O183" i="3"/>
  <c r="N183" i="3"/>
  <c r="R182" i="3"/>
  <c r="Q182" i="3"/>
  <c r="P182" i="3"/>
  <c r="O182" i="3"/>
  <c r="N182" i="3"/>
  <c r="R181" i="3"/>
  <c r="Q181" i="3"/>
  <c r="P181" i="3"/>
  <c r="O181" i="3"/>
  <c r="N181" i="3"/>
  <c r="R180" i="3"/>
  <c r="Q180" i="3"/>
  <c r="P180" i="3"/>
  <c r="O180" i="3"/>
  <c r="N180" i="3"/>
  <c r="R179" i="3"/>
  <c r="Q179" i="3"/>
  <c r="P179" i="3"/>
  <c r="O179" i="3"/>
  <c r="N179" i="3"/>
  <c r="R178" i="3"/>
  <c r="Q178" i="3"/>
  <c r="P178" i="3"/>
  <c r="O178" i="3"/>
  <c r="N178" i="3"/>
  <c r="R177" i="3"/>
  <c r="Q177" i="3"/>
  <c r="P177" i="3"/>
  <c r="O177" i="3"/>
  <c r="N177" i="3"/>
  <c r="R176" i="3"/>
  <c r="Q176" i="3"/>
  <c r="P176" i="3"/>
  <c r="O176" i="3"/>
  <c r="N176" i="3"/>
  <c r="R175" i="3"/>
  <c r="Q175" i="3"/>
  <c r="P175" i="3"/>
  <c r="O175" i="3"/>
  <c r="N175" i="3"/>
  <c r="R174" i="3"/>
  <c r="Q174" i="3"/>
  <c r="P174" i="3"/>
  <c r="O174" i="3"/>
  <c r="N174" i="3"/>
  <c r="R173" i="3"/>
  <c r="Q173" i="3"/>
  <c r="P173" i="3"/>
  <c r="O173" i="3"/>
  <c r="N173" i="3"/>
  <c r="R172" i="3"/>
  <c r="Q172" i="3"/>
  <c r="P172" i="3"/>
  <c r="O172" i="3"/>
  <c r="N172" i="3"/>
  <c r="R171" i="3"/>
  <c r="Q171" i="3"/>
  <c r="P171" i="3"/>
  <c r="O171" i="3"/>
  <c r="N171" i="3"/>
  <c r="R170" i="3"/>
  <c r="Q170" i="3"/>
  <c r="P170" i="3"/>
  <c r="O170" i="3"/>
  <c r="N170" i="3"/>
  <c r="R169" i="3"/>
  <c r="Q169" i="3"/>
  <c r="P169" i="3"/>
  <c r="O169" i="3"/>
  <c r="N169" i="3"/>
  <c r="R168" i="3"/>
  <c r="Q168" i="3"/>
  <c r="P168" i="3"/>
  <c r="O168" i="3"/>
  <c r="N168" i="3"/>
  <c r="R167" i="3"/>
  <c r="Q167" i="3"/>
  <c r="P167" i="3"/>
  <c r="O167" i="3"/>
  <c r="N167" i="3"/>
  <c r="R166" i="3"/>
  <c r="Q166" i="3"/>
  <c r="P166" i="3"/>
  <c r="O166" i="3"/>
  <c r="N166" i="3"/>
  <c r="R165" i="3"/>
  <c r="Q165" i="3"/>
  <c r="P165" i="3"/>
  <c r="O165" i="3"/>
  <c r="N165" i="3"/>
  <c r="R164" i="3"/>
  <c r="Q164" i="3"/>
  <c r="P164" i="3"/>
  <c r="O164" i="3"/>
  <c r="N164" i="3"/>
  <c r="R163" i="3"/>
  <c r="Q163" i="3"/>
  <c r="P163" i="3"/>
  <c r="O163" i="3"/>
  <c r="N163" i="3"/>
  <c r="R162" i="3"/>
  <c r="Q162" i="3"/>
  <c r="P162" i="3"/>
  <c r="O162" i="3"/>
  <c r="N162" i="3"/>
  <c r="R161" i="3"/>
  <c r="Q161" i="3"/>
  <c r="P161" i="3"/>
  <c r="O161" i="3"/>
  <c r="N161" i="3"/>
  <c r="R160" i="3"/>
  <c r="Q160" i="3"/>
  <c r="P160" i="3"/>
  <c r="O160" i="3"/>
  <c r="N160" i="3"/>
  <c r="R159" i="3"/>
  <c r="Q159" i="3"/>
  <c r="P159" i="3"/>
  <c r="O159" i="3"/>
  <c r="N159" i="3"/>
  <c r="R158" i="3"/>
  <c r="Q158" i="3"/>
  <c r="P158" i="3"/>
  <c r="O158" i="3"/>
  <c r="N158" i="3"/>
  <c r="R157" i="3"/>
  <c r="Q157" i="3"/>
  <c r="P157" i="3"/>
  <c r="O157" i="3"/>
  <c r="N157" i="3"/>
  <c r="R156" i="3"/>
  <c r="Q156" i="3"/>
  <c r="P156" i="3"/>
  <c r="O156" i="3"/>
  <c r="N156" i="3"/>
  <c r="R155" i="3"/>
  <c r="Q155" i="3"/>
  <c r="P155" i="3"/>
  <c r="O155" i="3"/>
  <c r="N155" i="3"/>
  <c r="R154" i="3"/>
  <c r="Q154" i="3"/>
  <c r="P154" i="3"/>
  <c r="O154" i="3"/>
  <c r="N154" i="3"/>
  <c r="R153" i="3"/>
  <c r="Q153" i="3"/>
  <c r="P153" i="3"/>
  <c r="O153" i="3"/>
  <c r="N153" i="3"/>
  <c r="R152" i="3"/>
  <c r="Q152" i="3"/>
  <c r="P152" i="3"/>
  <c r="O152" i="3"/>
  <c r="N152" i="3"/>
  <c r="R151" i="3"/>
  <c r="Q151" i="3"/>
  <c r="P151" i="3"/>
  <c r="O151" i="3"/>
  <c r="N151" i="3"/>
  <c r="R150" i="3"/>
  <c r="Q150" i="3"/>
  <c r="P150" i="3"/>
  <c r="O150" i="3"/>
  <c r="N150" i="3"/>
  <c r="R149" i="3"/>
  <c r="Q149" i="3"/>
  <c r="P149" i="3"/>
  <c r="O149" i="3"/>
  <c r="N149" i="3"/>
  <c r="R148" i="3"/>
  <c r="Q148" i="3"/>
  <c r="P148" i="3"/>
  <c r="O148" i="3"/>
  <c r="N148" i="3"/>
  <c r="R147" i="3"/>
  <c r="Q147" i="3"/>
  <c r="P147" i="3"/>
  <c r="O147" i="3"/>
  <c r="N147" i="3"/>
  <c r="R146" i="3"/>
  <c r="Q146" i="3"/>
  <c r="P146" i="3"/>
  <c r="O146" i="3"/>
  <c r="N146" i="3"/>
  <c r="R145" i="3"/>
  <c r="Q145" i="3"/>
  <c r="P145" i="3"/>
  <c r="O145" i="3"/>
  <c r="N145" i="3"/>
  <c r="R144" i="3"/>
  <c r="Q144" i="3"/>
  <c r="P144" i="3"/>
  <c r="O144" i="3"/>
  <c r="N144" i="3"/>
  <c r="R143" i="3"/>
  <c r="Q143" i="3"/>
  <c r="P143" i="3"/>
  <c r="O143" i="3"/>
  <c r="N143" i="3"/>
  <c r="R142" i="3"/>
  <c r="Q142" i="3"/>
  <c r="P142" i="3"/>
  <c r="O142" i="3"/>
  <c r="N142" i="3"/>
  <c r="R141" i="3"/>
  <c r="Q141" i="3"/>
  <c r="P141" i="3"/>
  <c r="O141" i="3"/>
  <c r="N141" i="3"/>
  <c r="R140" i="3"/>
  <c r="Q140" i="3"/>
  <c r="P140" i="3"/>
  <c r="O140" i="3"/>
  <c r="N140" i="3"/>
  <c r="R139" i="3"/>
  <c r="Q139" i="3"/>
  <c r="P139" i="3"/>
  <c r="O139" i="3"/>
  <c r="N139" i="3"/>
  <c r="R138" i="3"/>
  <c r="Q138" i="3"/>
  <c r="P138" i="3"/>
  <c r="O138" i="3"/>
  <c r="N138" i="3"/>
  <c r="R137" i="3"/>
  <c r="Q137" i="3"/>
  <c r="P137" i="3"/>
  <c r="O137" i="3"/>
  <c r="N137" i="3"/>
  <c r="R136" i="3"/>
  <c r="Q136" i="3"/>
  <c r="P136" i="3"/>
  <c r="O136" i="3"/>
  <c r="N136" i="3"/>
  <c r="R135" i="3"/>
  <c r="Q135" i="3"/>
  <c r="P135" i="3"/>
  <c r="O135" i="3"/>
  <c r="N135" i="3"/>
  <c r="R134" i="3"/>
  <c r="Q134" i="3"/>
  <c r="P134" i="3"/>
  <c r="O134" i="3"/>
  <c r="N134" i="3"/>
  <c r="R133" i="3"/>
  <c r="Q133" i="3"/>
  <c r="P133" i="3"/>
  <c r="O133" i="3"/>
  <c r="N133" i="3"/>
  <c r="R132" i="3"/>
  <c r="Q132" i="3"/>
  <c r="P132" i="3"/>
  <c r="O132" i="3"/>
  <c r="N132" i="3"/>
  <c r="R131" i="3"/>
  <c r="Q131" i="3"/>
  <c r="P131" i="3"/>
  <c r="O131" i="3"/>
  <c r="N131" i="3"/>
  <c r="R130" i="3"/>
  <c r="Q130" i="3"/>
  <c r="P130" i="3"/>
  <c r="O130" i="3"/>
  <c r="N130" i="3"/>
  <c r="R129" i="3"/>
  <c r="Q129" i="3"/>
  <c r="P129" i="3"/>
  <c r="O129" i="3"/>
  <c r="N129" i="3"/>
  <c r="R128" i="3"/>
  <c r="Q128" i="3"/>
  <c r="P128" i="3"/>
  <c r="O128" i="3"/>
  <c r="N128" i="3"/>
  <c r="R127" i="3"/>
  <c r="Q127" i="3"/>
  <c r="P127" i="3"/>
  <c r="O127" i="3"/>
  <c r="N127" i="3"/>
  <c r="R126" i="3"/>
  <c r="Q126" i="3"/>
  <c r="P126" i="3"/>
  <c r="O126" i="3"/>
  <c r="N126" i="3"/>
  <c r="R125" i="3"/>
  <c r="Q125" i="3"/>
  <c r="P125" i="3"/>
  <c r="O125" i="3"/>
  <c r="N125" i="3"/>
  <c r="R124" i="3"/>
  <c r="Q124" i="3"/>
  <c r="P124" i="3"/>
  <c r="O124" i="3"/>
  <c r="N124" i="3"/>
  <c r="R123" i="3"/>
  <c r="Q123" i="3"/>
  <c r="P123" i="3"/>
  <c r="O123" i="3"/>
  <c r="N123" i="3"/>
  <c r="R122" i="3"/>
  <c r="Q122" i="3"/>
  <c r="P122" i="3"/>
  <c r="O122" i="3"/>
  <c r="N122" i="3"/>
  <c r="R121" i="3"/>
  <c r="Q121" i="3"/>
  <c r="P121" i="3"/>
  <c r="O121" i="3"/>
  <c r="N121" i="3"/>
  <c r="R120" i="3"/>
  <c r="Q120" i="3"/>
  <c r="P120" i="3"/>
  <c r="O120" i="3"/>
  <c r="N120" i="3"/>
  <c r="R119" i="3"/>
  <c r="Q119" i="3"/>
  <c r="P119" i="3"/>
  <c r="O119" i="3"/>
  <c r="N119" i="3"/>
  <c r="R118" i="3"/>
  <c r="Q118" i="3"/>
  <c r="P118" i="3"/>
  <c r="O118" i="3"/>
  <c r="N118" i="3"/>
  <c r="R117" i="3"/>
  <c r="Q117" i="3"/>
  <c r="P117" i="3"/>
  <c r="O117" i="3"/>
  <c r="N117" i="3"/>
  <c r="R116" i="3"/>
  <c r="Q116" i="3"/>
  <c r="P116" i="3"/>
  <c r="O116" i="3"/>
  <c r="N116" i="3"/>
  <c r="R115" i="3"/>
  <c r="Q115" i="3"/>
  <c r="P115" i="3"/>
  <c r="O115" i="3"/>
  <c r="N115" i="3"/>
  <c r="R114" i="3"/>
  <c r="Q114" i="3"/>
  <c r="P114" i="3"/>
  <c r="O114" i="3"/>
  <c r="N114" i="3"/>
  <c r="R113" i="3"/>
  <c r="Q113" i="3"/>
  <c r="P113" i="3"/>
  <c r="O113" i="3"/>
  <c r="N113" i="3"/>
  <c r="R112" i="3"/>
  <c r="Q112" i="3"/>
  <c r="P112" i="3"/>
  <c r="O112" i="3"/>
  <c r="N112" i="3"/>
  <c r="R111" i="3"/>
  <c r="Q111" i="3"/>
  <c r="P111" i="3"/>
  <c r="O111" i="3"/>
  <c r="N111" i="3"/>
  <c r="R110" i="3"/>
  <c r="Q110" i="3"/>
  <c r="P110" i="3"/>
  <c r="O110" i="3"/>
  <c r="N110" i="3"/>
  <c r="R109" i="3"/>
  <c r="Q109" i="3"/>
  <c r="P109" i="3"/>
  <c r="O109" i="3"/>
  <c r="N109" i="3"/>
  <c r="R108" i="3"/>
  <c r="Q108" i="3"/>
  <c r="P108" i="3"/>
  <c r="O108" i="3"/>
  <c r="N108" i="3"/>
  <c r="R107" i="3"/>
  <c r="Q107" i="3"/>
  <c r="P107" i="3"/>
  <c r="O107" i="3"/>
  <c r="N107" i="3"/>
  <c r="R106" i="3"/>
  <c r="Q106" i="3"/>
  <c r="P106" i="3"/>
  <c r="O106" i="3"/>
  <c r="N106" i="3"/>
  <c r="R105" i="3"/>
  <c r="Q105" i="3"/>
  <c r="P105" i="3"/>
  <c r="O105" i="3"/>
  <c r="N105" i="3"/>
  <c r="R104" i="3"/>
  <c r="Q104" i="3"/>
  <c r="P104" i="3"/>
  <c r="O104" i="3"/>
  <c r="N104" i="3"/>
  <c r="R103" i="3"/>
  <c r="Q103" i="3"/>
  <c r="P103" i="3"/>
  <c r="O103" i="3"/>
  <c r="N103" i="3"/>
  <c r="R102" i="3"/>
  <c r="Q102" i="3"/>
  <c r="P102" i="3"/>
  <c r="O102" i="3"/>
  <c r="N102" i="3"/>
  <c r="R101" i="3"/>
  <c r="Q101" i="3"/>
  <c r="P101" i="3"/>
  <c r="O101" i="3"/>
  <c r="N101" i="3"/>
  <c r="R100" i="3"/>
  <c r="Q100" i="3"/>
  <c r="P100" i="3"/>
  <c r="O100" i="3"/>
  <c r="N100" i="3"/>
  <c r="R99" i="3"/>
  <c r="Q99" i="3"/>
  <c r="P99" i="3"/>
  <c r="O99" i="3"/>
  <c r="N99" i="3"/>
  <c r="R98" i="3"/>
  <c r="Q98" i="3"/>
  <c r="P98" i="3"/>
  <c r="O98" i="3"/>
  <c r="N98" i="3"/>
  <c r="R97" i="3"/>
  <c r="Q97" i="3"/>
  <c r="P97" i="3"/>
  <c r="O97" i="3"/>
  <c r="N97" i="3"/>
  <c r="R96" i="3"/>
  <c r="Q96" i="3"/>
  <c r="P96" i="3"/>
  <c r="O96" i="3"/>
  <c r="N96" i="3"/>
  <c r="R95" i="3"/>
  <c r="Q95" i="3"/>
  <c r="P95" i="3"/>
  <c r="O95" i="3"/>
  <c r="N95" i="3"/>
  <c r="R94" i="3"/>
  <c r="Q94" i="3"/>
  <c r="P94" i="3"/>
  <c r="O94" i="3"/>
  <c r="N94" i="3"/>
  <c r="R93" i="3"/>
  <c r="Q93" i="3"/>
  <c r="P93" i="3"/>
  <c r="O93" i="3"/>
  <c r="N93" i="3"/>
  <c r="R92" i="3"/>
  <c r="Q92" i="3"/>
  <c r="P92" i="3"/>
  <c r="O92" i="3"/>
  <c r="N92" i="3"/>
  <c r="R91" i="3"/>
  <c r="Q91" i="3"/>
  <c r="P91" i="3"/>
  <c r="O91" i="3"/>
  <c r="N91" i="3"/>
  <c r="R90" i="3"/>
  <c r="Q90" i="3"/>
  <c r="P90" i="3"/>
  <c r="O90" i="3"/>
  <c r="N90" i="3"/>
  <c r="R89" i="3"/>
  <c r="Q89" i="3"/>
  <c r="P89" i="3"/>
  <c r="O89" i="3"/>
  <c r="N89" i="3"/>
  <c r="R88" i="3"/>
  <c r="Q88" i="3"/>
  <c r="P88" i="3"/>
  <c r="O88" i="3"/>
  <c r="N88" i="3"/>
  <c r="R87" i="3"/>
  <c r="Q87" i="3"/>
  <c r="P87" i="3"/>
  <c r="O87" i="3"/>
  <c r="N87" i="3"/>
  <c r="R86" i="3"/>
  <c r="Q86" i="3"/>
  <c r="P86" i="3"/>
  <c r="O86" i="3"/>
  <c r="N86" i="3"/>
  <c r="R85" i="3"/>
  <c r="Q85" i="3"/>
  <c r="P85" i="3"/>
  <c r="O85" i="3"/>
  <c r="N85" i="3"/>
  <c r="R84" i="3"/>
  <c r="Q84" i="3"/>
  <c r="P84" i="3"/>
  <c r="O84" i="3"/>
  <c r="N84" i="3"/>
  <c r="R83" i="3"/>
  <c r="Q83" i="3"/>
  <c r="P83" i="3"/>
  <c r="O83" i="3"/>
  <c r="N83" i="3"/>
  <c r="R82" i="3"/>
  <c r="Q82" i="3"/>
  <c r="P82" i="3"/>
  <c r="O82" i="3"/>
  <c r="N82" i="3"/>
  <c r="R81" i="3"/>
  <c r="Q81" i="3"/>
  <c r="P81" i="3"/>
  <c r="O81" i="3"/>
  <c r="N81" i="3"/>
  <c r="R80" i="3"/>
  <c r="Q80" i="3"/>
  <c r="P80" i="3"/>
  <c r="O80" i="3"/>
  <c r="N80" i="3"/>
  <c r="R79" i="3"/>
  <c r="Q79" i="3"/>
  <c r="P79" i="3"/>
  <c r="O79" i="3"/>
  <c r="N79" i="3"/>
  <c r="R78" i="3"/>
  <c r="Q78" i="3"/>
  <c r="P78" i="3"/>
  <c r="O78" i="3"/>
  <c r="N78" i="3"/>
  <c r="R77" i="3"/>
  <c r="Q77" i="3"/>
  <c r="P77" i="3"/>
  <c r="O77" i="3"/>
  <c r="N77" i="3"/>
  <c r="R76" i="3"/>
  <c r="Q76" i="3"/>
  <c r="P76" i="3"/>
  <c r="O76" i="3"/>
  <c r="N76" i="3"/>
  <c r="R75" i="3"/>
  <c r="Q75" i="3"/>
  <c r="P75" i="3"/>
  <c r="O75" i="3"/>
  <c r="N75" i="3"/>
  <c r="R74" i="3"/>
  <c r="Q74" i="3"/>
  <c r="P74" i="3"/>
  <c r="O74" i="3"/>
  <c r="N74" i="3"/>
  <c r="R73" i="3"/>
  <c r="Q73" i="3"/>
  <c r="P73" i="3"/>
  <c r="O73" i="3"/>
  <c r="N73" i="3"/>
  <c r="R72" i="3"/>
  <c r="Q72" i="3"/>
  <c r="P72" i="3"/>
  <c r="O72" i="3"/>
  <c r="N72" i="3"/>
  <c r="R71" i="3"/>
  <c r="Q71" i="3"/>
  <c r="P71" i="3"/>
  <c r="O71" i="3"/>
  <c r="N71" i="3"/>
  <c r="R70" i="3"/>
  <c r="Q70" i="3"/>
  <c r="P70" i="3"/>
  <c r="O70" i="3"/>
  <c r="N70" i="3"/>
  <c r="R69" i="3"/>
  <c r="Q69" i="3"/>
  <c r="P69" i="3"/>
  <c r="O69" i="3"/>
  <c r="N69" i="3"/>
  <c r="R68" i="3"/>
  <c r="Q68" i="3"/>
  <c r="P68" i="3"/>
  <c r="O68" i="3"/>
  <c r="N68" i="3"/>
  <c r="R67" i="3"/>
  <c r="Q67" i="3"/>
  <c r="P67" i="3"/>
  <c r="O67" i="3"/>
  <c r="N67" i="3"/>
  <c r="R66" i="3"/>
  <c r="Q66" i="3"/>
  <c r="P66" i="3"/>
  <c r="O66" i="3"/>
  <c r="N66" i="3"/>
  <c r="R65" i="3"/>
  <c r="Q65" i="3"/>
  <c r="P65" i="3"/>
  <c r="O65" i="3"/>
  <c r="N65" i="3"/>
  <c r="R64" i="3"/>
  <c r="Q64" i="3"/>
  <c r="P64" i="3"/>
  <c r="O64" i="3"/>
  <c r="N64" i="3"/>
  <c r="R63" i="3"/>
  <c r="Q63" i="3"/>
  <c r="P63" i="3"/>
  <c r="O63" i="3"/>
  <c r="N63" i="3"/>
  <c r="R62" i="3"/>
  <c r="Q62" i="3"/>
  <c r="P62" i="3"/>
  <c r="O62" i="3"/>
  <c r="N62" i="3"/>
  <c r="R61" i="3"/>
  <c r="Q61" i="3"/>
  <c r="P61" i="3"/>
  <c r="O61" i="3"/>
  <c r="N61" i="3"/>
  <c r="R60" i="3"/>
  <c r="Q60" i="3"/>
  <c r="P60" i="3"/>
  <c r="O60" i="3"/>
  <c r="N60" i="3"/>
  <c r="R59" i="3"/>
  <c r="Q59" i="3"/>
  <c r="P59" i="3"/>
  <c r="O59" i="3"/>
  <c r="N59" i="3"/>
  <c r="R58" i="3"/>
  <c r="Q58" i="3"/>
  <c r="P58" i="3"/>
  <c r="O58" i="3"/>
  <c r="N58" i="3"/>
  <c r="R57" i="3"/>
  <c r="Q57" i="3"/>
  <c r="P57" i="3"/>
  <c r="O57" i="3"/>
  <c r="N57" i="3"/>
  <c r="R56" i="3"/>
  <c r="Q56" i="3"/>
  <c r="P56" i="3"/>
  <c r="O56" i="3"/>
  <c r="N56" i="3"/>
  <c r="R55" i="3"/>
  <c r="Q55" i="3"/>
  <c r="P55" i="3"/>
  <c r="O55" i="3"/>
  <c r="N55" i="3"/>
  <c r="R54" i="3"/>
  <c r="Q54" i="3"/>
  <c r="P54" i="3"/>
  <c r="O54" i="3"/>
  <c r="N54" i="3"/>
  <c r="R53" i="3"/>
  <c r="Q53" i="3"/>
  <c r="P53" i="3"/>
  <c r="O53" i="3"/>
  <c r="N53" i="3"/>
  <c r="R52" i="3"/>
  <c r="Q52" i="3"/>
  <c r="P52" i="3"/>
  <c r="O52" i="3"/>
  <c r="N52" i="3"/>
  <c r="R51" i="3"/>
  <c r="Q51" i="3"/>
  <c r="P51" i="3"/>
  <c r="O51" i="3"/>
  <c r="N51" i="3"/>
  <c r="R50" i="3"/>
  <c r="Q50" i="3"/>
  <c r="P50" i="3"/>
  <c r="O50" i="3"/>
  <c r="N50" i="3"/>
  <c r="R49" i="3"/>
  <c r="Q49" i="3"/>
  <c r="P49" i="3"/>
  <c r="O49" i="3"/>
  <c r="N49" i="3"/>
  <c r="T2" i="1"/>
  <c r="U2" i="1"/>
  <c r="V2" i="1"/>
  <c r="W2" i="1"/>
  <c r="T3" i="1"/>
  <c r="U3" i="1"/>
  <c r="V3" i="1"/>
  <c r="W3" i="1"/>
  <c r="T4" i="1"/>
  <c r="U4" i="1"/>
  <c r="V4" i="1"/>
  <c r="W4" i="1"/>
  <c r="T5" i="1"/>
  <c r="U5" i="1"/>
  <c r="V5" i="1"/>
  <c r="W5" i="1"/>
  <c r="T6" i="1"/>
  <c r="U6" i="1"/>
  <c r="V6" i="1"/>
  <c r="W6" i="1"/>
  <c r="T7" i="1"/>
  <c r="U7" i="1"/>
  <c r="V7" i="1"/>
  <c r="W7" i="1"/>
  <c r="T8" i="1"/>
  <c r="U8" i="1"/>
  <c r="V8" i="1"/>
  <c r="W8" i="1"/>
  <c r="T9" i="1"/>
  <c r="U9" i="1"/>
  <c r="V9" i="1"/>
  <c r="W9" i="1"/>
  <c r="T10" i="1"/>
  <c r="U10" i="1"/>
  <c r="V10" i="1"/>
  <c r="W10" i="1"/>
  <c r="T11" i="1"/>
  <c r="U11" i="1"/>
  <c r="V11" i="1"/>
  <c r="W11" i="1"/>
  <c r="T12" i="1"/>
  <c r="U12" i="1"/>
  <c r="V12" i="1"/>
  <c r="W12" i="1"/>
  <c r="T13" i="1"/>
  <c r="U13" i="1"/>
  <c r="V13" i="1"/>
  <c r="W13" i="1"/>
  <c r="T14" i="1"/>
  <c r="U14" i="1"/>
  <c r="V14" i="1"/>
  <c r="W14" i="1"/>
  <c r="T15" i="1"/>
  <c r="U15" i="1"/>
  <c r="V15" i="1"/>
  <c r="W15" i="1"/>
  <c r="T16" i="1"/>
  <c r="U16" i="1"/>
  <c r="V16" i="1"/>
  <c r="W16" i="1"/>
  <c r="T17" i="1"/>
  <c r="U17" i="1"/>
  <c r="V17" i="1"/>
  <c r="W17" i="1"/>
  <c r="T18" i="1"/>
  <c r="U18" i="1"/>
  <c r="V18" i="1"/>
  <c r="W18" i="1"/>
  <c r="T19" i="1"/>
  <c r="U19" i="1"/>
  <c r="V19" i="1"/>
  <c r="W19" i="1"/>
  <c r="T20" i="1"/>
  <c r="U20" i="1"/>
  <c r="V20" i="1"/>
  <c r="W20" i="1"/>
  <c r="T21" i="1"/>
  <c r="U21" i="1"/>
  <c r="V21" i="1"/>
  <c r="W21" i="1"/>
  <c r="T22" i="1"/>
  <c r="U22" i="1"/>
  <c r="V22" i="1"/>
  <c r="W22" i="1"/>
  <c r="T23" i="1"/>
  <c r="U23" i="1"/>
  <c r="V23" i="1"/>
  <c r="W23" i="1"/>
  <c r="T24" i="1"/>
  <c r="U24" i="1"/>
  <c r="V24" i="1"/>
  <c r="W24" i="1"/>
  <c r="T25" i="1"/>
  <c r="U25" i="1"/>
  <c r="V25" i="1"/>
  <c r="W25" i="1"/>
  <c r="T26" i="1"/>
  <c r="U26" i="1"/>
  <c r="V26" i="1"/>
  <c r="W26" i="1"/>
  <c r="T27" i="1"/>
  <c r="U27" i="1"/>
  <c r="V27" i="1"/>
  <c r="W27" i="1"/>
  <c r="T28" i="1"/>
  <c r="U28" i="1"/>
  <c r="V28" i="1"/>
  <c r="W28" i="1"/>
  <c r="T29" i="1"/>
  <c r="U29" i="1"/>
  <c r="V29" i="1"/>
  <c r="W29" i="1"/>
  <c r="T30" i="1"/>
  <c r="U30" i="1"/>
  <c r="V30" i="1"/>
  <c r="W30" i="1"/>
  <c r="T31" i="1"/>
  <c r="U31" i="1"/>
  <c r="V31" i="1"/>
  <c r="W31" i="1"/>
  <c r="T32" i="1"/>
  <c r="U32" i="1"/>
  <c r="V32" i="1"/>
  <c r="W32" i="1"/>
  <c r="T33" i="1"/>
  <c r="U33" i="1"/>
  <c r="V33" i="1"/>
  <c r="W33" i="1"/>
  <c r="T34" i="1"/>
  <c r="U34" i="1"/>
  <c r="V34" i="1"/>
  <c r="W34" i="1"/>
  <c r="T35" i="1"/>
  <c r="U35" i="1"/>
  <c r="V35" i="1"/>
  <c r="W35" i="1"/>
  <c r="T36" i="1"/>
  <c r="U36" i="1"/>
  <c r="V36" i="1"/>
  <c r="W36" i="1"/>
  <c r="T37" i="1"/>
  <c r="U37" i="1"/>
  <c r="V37" i="1"/>
  <c r="W37" i="1"/>
  <c r="T38" i="1"/>
  <c r="U38" i="1"/>
  <c r="V38" i="1"/>
  <c r="W38" i="1"/>
  <c r="T39" i="1"/>
  <c r="U39" i="1"/>
  <c r="V39" i="1"/>
  <c r="W39" i="1"/>
  <c r="T40" i="1"/>
  <c r="U40" i="1"/>
  <c r="V40" i="1"/>
  <c r="W40" i="1"/>
  <c r="T41" i="1"/>
  <c r="U41" i="1"/>
  <c r="V41" i="1"/>
  <c r="W41" i="1"/>
  <c r="T42" i="1"/>
  <c r="U42" i="1"/>
  <c r="V42" i="1"/>
  <c r="W42" i="1"/>
  <c r="T43" i="1"/>
  <c r="U43" i="1"/>
  <c r="V43" i="1"/>
  <c r="W43" i="1"/>
  <c r="T44" i="1"/>
  <c r="U44" i="1"/>
  <c r="V44" i="1"/>
  <c r="W44" i="1"/>
  <c r="T45" i="1"/>
  <c r="U45" i="1"/>
  <c r="V45" i="1"/>
  <c r="W45" i="1"/>
  <c r="T46" i="1"/>
  <c r="U46" i="1"/>
  <c r="V46" i="1"/>
  <c r="W46" i="1"/>
  <c r="T47" i="1"/>
  <c r="U47" i="1"/>
  <c r="V47" i="1"/>
  <c r="W47" i="1"/>
  <c r="T48" i="1"/>
  <c r="U48" i="1"/>
  <c r="V48" i="1"/>
  <c r="W48" i="1"/>
  <c r="T49" i="1"/>
  <c r="U49" i="1"/>
  <c r="V49" i="1"/>
  <c r="W49" i="1"/>
  <c r="T50" i="1"/>
  <c r="U50" i="1"/>
  <c r="V50" i="1"/>
  <c r="W50" i="1"/>
  <c r="T51" i="1"/>
  <c r="U51" i="1"/>
  <c r="V51" i="1"/>
  <c r="W51" i="1"/>
  <c r="T52" i="1"/>
  <c r="U52" i="1"/>
  <c r="V52" i="1"/>
  <c r="W52" i="1"/>
  <c r="T53" i="1"/>
  <c r="U53" i="1"/>
  <c r="V53" i="1"/>
  <c r="W53" i="1"/>
  <c r="T54" i="1"/>
  <c r="U54" i="1"/>
  <c r="V54" i="1"/>
  <c r="W54" i="1"/>
  <c r="T55" i="1"/>
  <c r="U55" i="1"/>
  <c r="V55" i="1"/>
  <c r="W55" i="1"/>
  <c r="T56" i="1"/>
  <c r="U56" i="1"/>
  <c r="V56" i="1"/>
  <c r="W56" i="1"/>
  <c r="T57" i="1"/>
  <c r="U57" i="1"/>
  <c r="V57" i="1"/>
  <c r="W57" i="1"/>
  <c r="T58" i="1"/>
  <c r="U58" i="1"/>
  <c r="V58" i="1"/>
  <c r="W58" i="1"/>
  <c r="T59" i="1"/>
  <c r="U59" i="1"/>
  <c r="V59" i="1"/>
  <c r="W59" i="1"/>
  <c r="T60" i="1"/>
  <c r="U60" i="1"/>
  <c r="V60" i="1"/>
  <c r="W60" i="1"/>
  <c r="T61" i="1"/>
  <c r="U61" i="1"/>
  <c r="V61" i="1"/>
  <c r="W61" i="1"/>
  <c r="T62" i="1"/>
  <c r="U62" i="1"/>
  <c r="V62" i="1"/>
  <c r="W62" i="1"/>
  <c r="T63" i="1"/>
  <c r="U63" i="1"/>
  <c r="V63" i="1"/>
  <c r="W63" i="1"/>
  <c r="T64" i="1"/>
  <c r="U64" i="1"/>
  <c r="V64" i="1"/>
  <c r="W64" i="1"/>
  <c r="T65" i="1"/>
  <c r="U65" i="1"/>
  <c r="V65" i="1"/>
  <c r="W65" i="1"/>
  <c r="T66" i="1"/>
  <c r="U66" i="1"/>
  <c r="V66" i="1"/>
  <c r="W66" i="1"/>
  <c r="T67" i="1"/>
  <c r="U67" i="1"/>
  <c r="V67" i="1"/>
  <c r="W67" i="1"/>
  <c r="T68" i="1"/>
  <c r="U68" i="1"/>
  <c r="V68" i="1"/>
  <c r="W68" i="1"/>
  <c r="T69" i="1"/>
  <c r="U69" i="1"/>
  <c r="V69" i="1"/>
  <c r="W69" i="1"/>
  <c r="T70" i="1"/>
  <c r="U70" i="1"/>
  <c r="V70" i="1"/>
  <c r="W70" i="1"/>
  <c r="T71" i="1"/>
  <c r="U71" i="1"/>
  <c r="V71" i="1"/>
  <c r="W71" i="1"/>
  <c r="T72" i="1"/>
  <c r="U72" i="1"/>
  <c r="V72" i="1"/>
  <c r="W72" i="1"/>
  <c r="T73" i="1"/>
  <c r="U73" i="1"/>
  <c r="V73" i="1"/>
  <c r="W73" i="1"/>
  <c r="T74" i="1"/>
  <c r="U74" i="1"/>
  <c r="V74" i="1"/>
  <c r="W74" i="1"/>
  <c r="T75" i="1"/>
  <c r="U75" i="1"/>
  <c r="V75" i="1"/>
  <c r="W75" i="1"/>
  <c r="T76" i="1"/>
  <c r="U76" i="1"/>
  <c r="V76" i="1"/>
  <c r="W76" i="1"/>
  <c r="T77" i="1"/>
  <c r="U77" i="1"/>
  <c r="V77" i="1"/>
  <c r="W77" i="1"/>
  <c r="T78" i="1"/>
  <c r="U78" i="1"/>
  <c r="V78" i="1"/>
  <c r="W78" i="1"/>
  <c r="T79" i="1"/>
  <c r="U79" i="1"/>
  <c r="V79" i="1"/>
  <c r="W79" i="1"/>
  <c r="T80" i="1"/>
  <c r="U80" i="1"/>
  <c r="V80" i="1"/>
  <c r="W80" i="1"/>
  <c r="T81" i="1"/>
  <c r="U81" i="1"/>
  <c r="V81" i="1"/>
  <c r="W81" i="1"/>
  <c r="T82" i="1"/>
  <c r="U82" i="1"/>
  <c r="V82" i="1"/>
  <c r="W82" i="1"/>
  <c r="T83" i="1"/>
  <c r="U83" i="1"/>
  <c r="V83" i="1"/>
  <c r="W83" i="1"/>
  <c r="T84" i="1"/>
  <c r="U84" i="1"/>
  <c r="V84" i="1"/>
  <c r="W84" i="1"/>
  <c r="T85" i="1"/>
  <c r="U85" i="1"/>
  <c r="V85" i="1"/>
  <c r="W85" i="1"/>
  <c r="T86" i="1"/>
  <c r="U86" i="1"/>
  <c r="V86" i="1"/>
  <c r="W86" i="1"/>
  <c r="T87" i="1"/>
  <c r="U87" i="1"/>
  <c r="V87" i="1"/>
  <c r="W87" i="1"/>
  <c r="T88" i="1"/>
  <c r="U88" i="1"/>
  <c r="V88" i="1"/>
  <c r="W88" i="1"/>
  <c r="T89" i="1"/>
  <c r="U89" i="1"/>
  <c r="V89" i="1"/>
  <c r="W89" i="1"/>
  <c r="T90" i="1"/>
  <c r="U90" i="1"/>
  <c r="V90" i="1"/>
  <c r="W90" i="1"/>
  <c r="T91" i="1"/>
  <c r="U91" i="1"/>
  <c r="V91" i="1"/>
  <c r="W91" i="1"/>
  <c r="T92" i="1"/>
  <c r="U92" i="1"/>
  <c r="V92" i="1"/>
  <c r="W92" i="1"/>
  <c r="T93" i="1"/>
  <c r="U93" i="1"/>
  <c r="V93" i="1"/>
  <c r="W93" i="1"/>
  <c r="T94" i="1"/>
  <c r="U94" i="1"/>
  <c r="V94" i="1"/>
  <c r="W94" i="1"/>
  <c r="T95" i="1"/>
  <c r="U95" i="1"/>
  <c r="V95" i="1"/>
  <c r="W95" i="1"/>
  <c r="T96" i="1"/>
  <c r="U96" i="1"/>
  <c r="V96" i="1"/>
  <c r="W96" i="1"/>
  <c r="T97" i="1"/>
  <c r="U97" i="1"/>
  <c r="V97" i="1"/>
  <c r="W97" i="1"/>
  <c r="T98" i="1"/>
  <c r="U98" i="1"/>
  <c r="V98" i="1"/>
  <c r="W98" i="1"/>
  <c r="T99" i="1"/>
  <c r="U99" i="1"/>
  <c r="V99" i="1"/>
  <c r="W99" i="1"/>
  <c r="T100" i="1"/>
  <c r="U100" i="1"/>
  <c r="V100" i="1"/>
  <c r="W100" i="1"/>
  <c r="T101" i="1"/>
  <c r="U101" i="1"/>
  <c r="V101" i="1"/>
  <c r="W101" i="1"/>
  <c r="T102" i="1"/>
  <c r="U102" i="1"/>
  <c r="V102" i="1"/>
  <c r="W102" i="1"/>
  <c r="T103" i="1"/>
  <c r="U103" i="1"/>
  <c r="V103" i="1"/>
  <c r="W103" i="1"/>
  <c r="T104" i="1"/>
  <c r="U104" i="1"/>
  <c r="V104" i="1"/>
  <c r="W104" i="1"/>
  <c r="T105" i="1"/>
  <c r="U105" i="1"/>
  <c r="V105" i="1"/>
  <c r="W105" i="1"/>
  <c r="T106" i="1"/>
  <c r="U106" i="1"/>
  <c r="V106" i="1"/>
  <c r="W106" i="1"/>
  <c r="T107" i="1"/>
  <c r="U107" i="1"/>
  <c r="V107" i="1"/>
  <c r="W107" i="1"/>
  <c r="T108" i="1"/>
  <c r="U108" i="1"/>
  <c r="V108" i="1"/>
  <c r="W108" i="1"/>
  <c r="T109" i="1"/>
  <c r="U109" i="1"/>
  <c r="V109" i="1"/>
  <c r="W109" i="1"/>
  <c r="T110" i="1"/>
  <c r="U110" i="1"/>
  <c r="V110" i="1"/>
  <c r="W110" i="1"/>
  <c r="T111" i="1"/>
  <c r="U111" i="1"/>
  <c r="V111" i="1"/>
  <c r="W111" i="1"/>
  <c r="T112" i="1"/>
  <c r="U112" i="1"/>
  <c r="V112" i="1"/>
  <c r="W112" i="1"/>
  <c r="T113" i="1"/>
  <c r="U113" i="1"/>
  <c r="V113" i="1"/>
  <c r="W113" i="1"/>
  <c r="T114" i="1"/>
  <c r="U114" i="1"/>
  <c r="V114" i="1"/>
  <c r="W114" i="1"/>
  <c r="T115" i="1"/>
  <c r="U115" i="1"/>
  <c r="V115" i="1"/>
  <c r="W115" i="1"/>
  <c r="T116" i="1"/>
  <c r="U116" i="1"/>
  <c r="V116" i="1"/>
  <c r="W116" i="1"/>
  <c r="T117" i="1"/>
  <c r="U117" i="1"/>
  <c r="V117" i="1"/>
  <c r="W117" i="1"/>
  <c r="T118" i="1"/>
  <c r="U118" i="1"/>
  <c r="V118" i="1"/>
  <c r="W118" i="1"/>
  <c r="T119" i="1"/>
  <c r="U119" i="1"/>
  <c r="V119" i="1"/>
  <c r="W119" i="1"/>
  <c r="T120" i="1"/>
  <c r="U120" i="1"/>
  <c r="V120" i="1"/>
  <c r="W120" i="1"/>
  <c r="T121" i="1"/>
  <c r="U121" i="1"/>
  <c r="V121" i="1"/>
  <c r="W121" i="1"/>
  <c r="T122" i="1"/>
  <c r="U122" i="1"/>
  <c r="V122" i="1"/>
  <c r="W122" i="1"/>
  <c r="T123" i="1"/>
  <c r="U123" i="1"/>
  <c r="V123" i="1"/>
  <c r="W123" i="1"/>
  <c r="T124" i="1"/>
  <c r="U124" i="1"/>
  <c r="V124" i="1"/>
  <c r="W124" i="1"/>
  <c r="T125" i="1"/>
  <c r="U125" i="1"/>
  <c r="V125" i="1"/>
  <c r="W125" i="1"/>
  <c r="T126" i="1"/>
  <c r="U126" i="1"/>
  <c r="V126" i="1"/>
  <c r="W126" i="1"/>
  <c r="T127" i="1"/>
  <c r="U127" i="1"/>
  <c r="V127" i="1"/>
  <c r="W127" i="1"/>
  <c r="T128" i="1"/>
  <c r="U128" i="1"/>
  <c r="V128" i="1"/>
  <c r="W128" i="1"/>
  <c r="T129" i="1"/>
  <c r="U129" i="1"/>
  <c r="V129" i="1"/>
  <c r="W129" i="1"/>
  <c r="T130" i="1"/>
  <c r="U130" i="1"/>
  <c r="V130" i="1"/>
  <c r="W130" i="1"/>
  <c r="T131" i="1"/>
  <c r="U131" i="1"/>
  <c r="V131" i="1"/>
  <c r="W131" i="1"/>
  <c r="T132" i="1"/>
  <c r="U132" i="1"/>
  <c r="V132" i="1"/>
  <c r="W132" i="1"/>
  <c r="T133" i="1"/>
  <c r="U133" i="1"/>
  <c r="V133" i="1"/>
  <c r="W133" i="1"/>
  <c r="T134" i="1"/>
  <c r="U134" i="1"/>
  <c r="V134" i="1"/>
  <c r="W134" i="1"/>
  <c r="T135" i="1"/>
  <c r="U135" i="1"/>
  <c r="V135" i="1"/>
  <c r="W135" i="1"/>
  <c r="T136" i="1"/>
  <c r="U136" i="1"/>
  <c r="V136" i="1"/>
  <c r="W136" i="1"/>
  <c r="T137" i="1"/>
  <c r="U137" i="1"/>
  <c r="V137" i="1"/>
  <c r="W137" i="1"/>
  <c r="T138" i="1"/>
  <c r="U138" i="1"/>
  <c r="V138" i="1"/>
  <c r="W138" i="1"/>
  <c r="T139" i="1"/>
  <c r="U139" i="1"/>
  <c r="V139" i="1"/>
  <c r="W139" i="1"/>
  <c r="T140" i="1"/>
  <c r="U140" i="1"/>
  <c r="V140" i="1"/>
  <c r="W140" i="1"/>
  <c r="T141" i="1"/>
  <c r="U141" i="1"/>
  <c r="V141" i="1"/>
  <c r="W141" i="1"/>
  <c r="T142" i="1"/>
  <c r="U142" i="1"/>
  <c r="V142" i="1"/>
  <c r="W142" i="1"/>
  <c r="T143" i="1"/>
  <c r="U143" i="1"/>
  <c r="V143" i="1"/>
  <c r="W143" i="1"/>
  <c r="T144" i="1"/>
  <c r="U144" i="1"/>
  <c r="V144" i="1"/>
  <c r="W144" i="1"/>
  <c r="T145" i="1"/>
  <c r="U145" i="1"/>
  <c r="V145" i="1"/>
  <c r="W145" i="1"/>
  <c r="T146" i="1"/>
  <c r="U146" i="1"/>
  <c r="V146" i="1"/>
  <c r="W146" i="1"/>
  <c r="T147" i="1"/>
  <c r="U147" i="1"/>
  <c r="V147" i="1"/>
  <c r="W147" i="1"/>
  <c r="T148" i="1"/>
  <c r="U148" i="1"/>
  <c r="V148" i="1"/>
  <c r="W148" i="1"/>
  <c r="T149" i="1"/>
  <c r="U149" i="1"/>
  <c r="V149" i="1"/>
  <c r="W149" i="1"/>
  <c r="T150" i="1"/>
  <c r="U150" i="1"/>
  <c r="V150" i="1"/>
  <c r="W150" i="1"/>
  <c r="T151" i="1"/>
  <c r="U151" i="1"/>
  <c r="V151" i="1"/>
  <c r="W151" i="1"/>
  <c r="T152" i="1"/>
  <c r="U152" i="1"/>
  <c r="V152" i="1"/>
  <c r="W152" i="1"/>
  <c r="T153" i="1"/>
  <c r="U153" i="1"/>
  <c r="V153" i="1"/>
  <c r="W153" i="1"/>
  <c r="T154" i="1"/>
  <c r="U154" i="1"/>
  <c r="V154" i="1"/>
  <c r="W154" i="1"/>
  <c r="T155" i="1"/>
  <c r="U155" i="1"/>
  <c r="V155" i="1"/>
  <c r="W155" i="1"/>
  <c r="T156" i="1"/>
  <c r="U156" i="1"/>
  <c r="V156" i="1"/>
  <c r="W156" i="1"/>
  <c r="T157" i="1"/>
  <c r="U157" i="1"/>
  <c r="V157" i="1"/>
  <c r="W157" i="1"/>
  <c r="T158" i="1"/>
  <c r="U158" i="1"/>
  <c r="V158" i="1"/>
  <c r="W158" i="1"/>
  <c r="T159" i="1"/>
  <c r="U159" i="1"/>
  <c r="V159" i="1"/>
  <c r="W159" i="1"/>
  <c r="T160" i="1"/>
  <c r="U160" i="1"/>
  <c r="V160" i="1"/>
  <c r="W160" i="1"/>
  <c r="T161" i="1"/>
  <c r="U161" i="1"/>
  <c r="V161" i="1"/>
  <c r="W161" i="1"/>
  <c r="T162" i="1"/>
  <c r="U162" i="1"/>
  <c r="V162" i="1"/>
  <c r="W162" i="1"/>
  <c r="T163" i="1"/>
  <c r="U163" i="1"/>
  <c r="V163" i="1"/>
  <c r="W163" i="1"/>
  <c r="T164" i="1"/>
  <c r="U164" i="1"/>
  <c r="V164" i="1"/>
  <c r="W164" i="1"/>
  <c r="T165" i="1"/>
  <c r="U165" i="1"/>
  <c r="V165" i="1"/>
  <c r="W165" i="1"/>
  <c r="T166" i="1"/>
  <c r="U166" i="1"/>
  <c r="V166" i="1"/>
  <c r="W166" i="1"/>
  <c r="T167" i="1"/>
  <c r="U167" i="1"/>
  <c r="V167" i="1"/>
  <c r="W167" i="1"/>
  <c r="T168" i="1"/>
  <c r="U168" i="1"/>
  <c r="V168" i="1"/>
  <c r="W168" i="1"/>
  <c r="T169" i="1"/>
  <c r="U169" i="1"/>
  <c r="V169" i="1"/>
  <c r="W169" i="1"/>
  <c r="T170" i="1"/>
  <c r="U170" i="1"/>
  <c r="V170" i="1"/>
  <c r="W170" i="1"/>
  <c r="T171" i="1"/>
  <c r="U171" i="1"/>
  <c r="V171" i="1"/>
  <c r="W171" i="1"/>
  <c r="T172" i="1"/>
  <c r="U172" i="1"/>
  <c r="V172" i="1"/>
  <c r="W172" i="1"/>
  <c r="T173" i="1"/>
  <c r="U173" i="1"/>
  <c r="V173" i="1"/>
  <c r="W173" i="1"/>
  <c r="T174" i="1"/>
  <c r="U174" i="1"/>
  <c r="V174" i="1"/>
  <c r="W174" i="1"/>
  <c r="T175" i="1"/>
  <c r="U175" i="1"/>
  <c r="V175" i="1"/>
  <c r="W175" i="1"/>
  <c r="T176" i="1"/>
  <c r="U176" i="1"/>
  <c r="V176" i="1"/>
  <c r="W176" i="1"/>
  <c r="T177" i="1"/>
  <c r="U177" i="1"/>
  <c r="V177" i="1"/>
  <c r="W177" i="1"/>
  <c r="T178" i="1"/>
  <c r="U178" i="1"/>
  <c r="V178" i="1"/>
  <c r="W178" i="1"/>
  <c r="T179" i="1"/>
  <c r="U179" i="1"/>
  <c r="V179" i="1"/>
  <c r="W179" i="1"/>
  <c r="T180" i="1"/>
  <c r="U180" i="1"/>
  <c r="V180" i="1"/>
  <c r="W180" i="1"/>
  <c r="T181" i="1"/>
  <c r="U181" i="1"/>
  <c r="V181" i="1"/>
  <c r="W181" i="1"/>
  <c r="T182" i="1"/>
  <c r="U182" i="1"/>
  <c r="V182" i="1"/>
  <c r="W182" i="1"/>
  <c r="T183" i="1"/>
  <c r="U183" i="1"/>
  <c r="V183" i="1"/>
  <c r="W183" i="1"/>
  <c r="T184" i="1"/>
  <c r="U184" i="1"/>
  <c r="V184" i="1"/>
  <c r="W184" i="1"/>
  <c r="T185" i="1"/>
  <c r="U185" i="1"/>
  <c r="V185" i="1"/>
  <c r="W185" i="1"/>
  <c r="T186" i="1"/>
  <c r="U186" i="1"/>
  <c r="V186" i="1"/>
  <c r="W186" i="1"/>
  <c r="T187" i="1"/>
  <c r="U187" i="1"/>
  <c r="V187" i="1"/>
  <c r="W187" i="1"/>
  <c r="T188" i="1"/>
  <c r="U188" i="1"/>
  <c r="V188" i="1"/>
  <c r="W188" i="1"/>
  <c r="T189" i="1"/>
  <c r="U189" i="1"/>
  <c r="V189" i="1"/>
  <c r="W189" i="1"/>
  <c r="T190" i="1"/>
  <c r="U190" i="1"/>
  <c r="V190" i="1"/>
  <c r="W190" i="1"/>
  <c r="T191" i="1"/>
  <c r="U191" i="1"/>
  <c r="V191" i="1"/>
  <c r="W191" i="1"/>
  <c r="T192" i="1"/>
  <c r="U192" i="1"/>
  <c r="V192" i="1"/>
  <c r="W192" i="1"/>
  <c r="T193" i="1"/>
  <c r="U193" i="1"/>
  <c r="V193" i="1"/>
  <c r="W193" i="1"/>
  <c r="T194" i="1"/>
  <c r="U194" i="1"/>
  <c r="V194" i="1"/>
  <c r="W194" i="1"/>
  <c r="T195" i="1"/>
  <c r="U195" i="1"/>
  <c r="V195" i="1"/>
  <c r="W195" i="1"/>
  <c r="T196" i="1"/>
  <c r="U196" i="1"/>
  <c r="V196" i="1"/>
  <c r="W196" i="1"/>
  <c r="T197" i="1"/>
  <c r="U197" i="1"/>
  <c r="V197" i="1"/>
  <c r="W197" i="1"/>
  <c r="T198" i="1"/>
  <c r="U198" i="1"/>
  <c r="V198" i="1"/>
  <c r="W198" i="1"/>
  <c r="T199" i="1"/>
  <c r="U199" i="1"/>
  <c r="V199" i="1"/>
  <c r="W199" i="1"/>
  <c r="T200" i="1"/>
  <c r="U200" i="1"/>
  <c r="V200" i="1"/>
  <c r="W200" i="1"/>
  <c r="T201" i="1"/>
  <c r="U201" i="1"/>
  <c r="V201" i="1"/>
  <c r="W201" i="1"/>
  <c r="T202" i="1"/>
  <c r="U202" i="1"/>
  <c r="V202" i="1"/>
  <c r="W202" i="1"/>
  <c r="T203" i="1"/>
  <c r="U203" i="1"/>
  <c r="V203" i="1"/>
  <c r="W203" i="1"/>
  <c r="T204" i="1"/>
  <c r="U204" i="1"/>
  <c r="V204" i="1"/>
  <c r="W204" i="1"/>
  <c r="T205" i="1"/>
  <c r="U205" i="1"/>
  <c r="V205" i="1"/>
  <c r="W205" i="1"/>
  <c r="T206" i="1"/>
  <c r="U206" i="1"/>
  <c r="V206" i="1"/>
  <c r="W206" i="1"/>
  <c r="T207" i="1"/>
  <c r="U207" i="1"/>
  <c r="V207" i="1"/>
  <c r="W207" i="1"/>
  <c r="T208" i="1"/>
  <c r="U208" i="1"/>
  <c r="V208" i="1"/>
  <c r="W208" i="1"/>
  <c r="T209" i="1"/>
  <c r="U209" i="1"/>
  <c r="V209" i="1"/>
  <c r="W209" i="1"/>
  <c r="T210" i="1"/>
  <c r="U210" i="1"/>
  <c r="V210" i="1"/>
  <c r="W210" i="1"/>
  <c r="T211" i="1"/>
  <c r="U211" i="1"/>
  <c r="V211" i="1"/>
  <c r="W211" i="1"/>
  <c r="T212" i="1"/>
  <c r="U212" i="1"/>
  <c r="V212" i="1"/>
  <c r="W212" i="1"/>
  <c r="T213" i="1"/>
  <c r="U213" i="1"/>
  <c r="V213" i="1"/>
  <c r="W213" i="1"/>
  <c r="T214" i="1"/>
  <c r="U214" i="1"/>
  <c r="V214" i="1"/>
  <c r="W214" i="1"/>
  <c r="T215" i="1"/>
  <c r="U215" i="1"/>
  <c r="V215" i="1"/>
  <c r="W215" i="1"/>
  <c r="T216" i="1"/>
  <c r="U216" i="1"/>
  <c r="V216" i="1"/>
  <c r="W216" i="1"/>
  <c r="T217" i="1"/>
  <c r="U217" i="1"/>
  <c r="V217" i="1"/>
  <c r="W217" i="1"/>
  <c r="T218" i="1"/>
  <c r="U218" i="1"/>
  <c r="V218" i="1"/>
  <c r="W218" i="1"/>
  <c r="T219" i="1"/>
  <c r="U219" i="1"/>
  <c r="V219" i="1"/>
  <c r="W219" i="1"/>
  <c r="T220" i="1"/>
  <c r="U220" i="1"/>
  <c r="V220" i="1"/>
  <c r="W220" i="1"/>
  <c r="T221" i="1"/>
  <c r="U221" i="1"/>
  <c r="V221" i="1"/>
  <c r="W221" i="1"/>
  <c r="T222" i="1"/>
  <c r="U222" i="1"/>
  <c r="V222" i="1"/>
  <c r="W222" i="1"/>
  <c r="T223" i="1"/>
  <c r="U223" i="1"/>
  <c r="V223" i="1"/>
  <c r="W223" i="1"/>
  <c r="T224" i="1"/>
  <c r="U224" i="1"/>
  <c r="V224" i="1"/>
  <c r="W224" i="1"/>
  <c r="T225" i="1"/>
  <c r="U225" i="1"/>
  <c r="V225" i="1"/>
  <c r="W225" i="1"/>
  <c r="T226" i="1"/>
  <c r="U226" i="1"/>
  <c r="V226" i="1"/>
  <c r="W226" i="1"/>
  <c r="T227" i="1"/>
  <c r="U227" i="1"/>
  <c r="V227" i="1"/>
  <c r="W227" i="1"/>
  <c r="T228" i="1"/>
  <c r="U228" i="1"/>
  <c r="V228" i="1"/>
  <c r="W228" i="1"/>
  <c r="T229" i="1"/>
  <c r="U229" i="1"/>
  <c r="V229" i="1"/>
  <c r="W229" i="1"/>
  <c r="T230" i="1"/>
  <c r="U230" i="1"/>
  <c r="V230" i="1"/>
  <c r="W230" i="1"/>
  <c r="T231" i="1"/>
  <c r="U231" i="1"/>
  <c r="V231" i="1"/>
  <c r="W231" i="1"/>
  <c r="T232" i="1"/>
  <c r="U232" i="1"/>
  <c r="V232" i="1"/>
  <c r="W232" i="1"/>
  <c r="T233" i="1"/>
  <c r="U233" i="1"/>
  <c r="V233" i="1"/>
  <c r="W233" i="1"/>
  <c r="T234" i="1"/>
  <c r="U234" i="1"/>
  <c r="V234" i="1"/>
  <c r="W234" i="1"/>
  <c r="T235" i="1"/>
  <c r="U235" i="1"/>
  <c r="V235" i="1"/>
  <c r="W235" i="1"/>
  <c r="T236" i="1"/>
  <c r="U236" i="1"/>
  <c r="V236" i="1"/>
  <c r="W236" i="1"/>
  <c r="T237" i="1"/>
  <c r="U237" i="1"/>
  <c r="V237" i="1"/>
  <c r="W237" i="1"/>
  <c r="T238" i="1"/>
  <c r="U238" i="1"/>
  <c r="V238" i="1"/>
  <c r="W238" i="1"/>
  <c r="T239" i="1"/>
  <c r="U239" i="1"/>
  <c r="V239" i="1"/>
  <c r="W239" i="1"/>
  <c r="T240" i="1"/>
  <c r="U240" i="1"/>
  <c r="V240" i="1"/>
  <c r="W240" i="1"/>
  <c r="T241" i="1"/>
  <c r="U241" i="1"/>
  <c r="V241" i="1"/>
  <c r="W241" i="1"/>
  <c r="T242" i="1"/>
  <c r="U242" i="1"/>
  <c r="V242" i="1"/>
  <c r="W242" i="1"/>
  <c r="T243" i="1"/>
  <c r="U243" i="1"/>
  <c r="V243" i="1"/>
  <c r="W243" i="1"/>
  <c r="T244" i="1"/>
  <c r="U244" i="1"/>
  <c r="V244" i="1"/>
  <c r="W244" i="1"/>
  <c r="T245" i="1"/>
  <c r="U245" i="1"/>
  <c r="V245" i="1"/>
  <c r="W245" i="1"/>
  <c r="T246" i="1"/>
  <c r="U246" i="1"/>
  <c r="V246" i="1"/>
  <c r="W246" i="1"/>
  <c r="T247" i="1"/>
  <c r="U247" i="1"/>
  <c r="V247" i="1"/>
  <c r="W247" i="1"/>
  <c r="T248" i="1"/>
  <c r="U248" i="1"/>
  <c r="V248" i="1"/>
  <c r="W248" i="1"/>
  <c r="T249" i="1"/>
  <c r="U249" i="1"/>
  <c r="V249" i="1"/>
  <c r="W249" i="1"/>
  <c r="T250" i="1"/>
  <c r="U250" i="1"/>
  <c r="V250" i="1"/>
  <c r="W250" i="1"/>
  <c r="T251" i="1"/>
  <c r="U251" i="1"/>
  <c r="V251" i="1"/>
  <c r="W251" i="1"/>
  <c r="T252" i="1"/>
  <c r="U252" i="1"/>
  <c r="V252" i="1"/>
  <c r="W252" i="1"/>
  <c r="T253" i="1"/>
  <c r="U253" i="1"/>
  <c r="V253" i="1"/>
  <c r="W253" i="1"/>
  <c r="T254" i="1"/>
  <c r="U254" i="1"/>
  <c r="V254" i="1"/>
  <c r="W254" i="1"/>
  <c r="T255" i="1"/>
  <c r="U255" i="1"/>
  <c r="V255" i="1"/>
  <c r="W255" i="1"/>
  <c r="T256" i="1"/>
  <c r="U256" i="1"/>
  <c r="V256" i="1"/>
  <c r="W256" i="1"/>
  <c r="T257" i="1"/>
  <c r="U257" i="1"/>
  <c r="V257" i="1"/>
  <c r="W257" i="1"/>
  <c r="T258" i="1"/>
  <c r="U258" i="1"/>
  <c r="V258" i="1"/>
  <c r="W258" i="1"/>
  <c r="T259" i="1"/>
  <c r="U259" i="1"/>
  <c r="V259" i="1"/>
  <c r="W259" i="1"/>
  <c r="T260" i="1"/>
  <c r="U260" i="1"/>
  <c r="V260" i="1"/>
  <c r="W260" i="1"/>
  <c r="T261" i="1"/>
  <c r="U261" i="1"/>
  <c r="V261" i="1"/>
  <c r="W261" i="1"/>
  <c r="T262" i="1"/>
  <c r="U262" i="1"/>
  <c r="V262" i="1"/>
  <c r="W262" i="1"/>
  <c r="T263" i="1"/>
  <c r="U263" i="1"/>
  <c r="V263" i="1"/>
  <c r="W263" i="1"/>
  <c r="T264" i="1"/>
  <c r="U264" i="1"/>
  <c r="V264" i="1"/>
  <c r="W264" i="1"/>
  <c r="T265" i="1"/>
  <c r="U265" i="1"/>
  <c r="V265" i="1"/>
  <c r="W265" i="1"/>
  <c r="T266" i="1"/>
  <c r="U266" i="1"/>
  <c r="V266" i="1"/>
  <c r="W266" i="1"/>
  <c r="T267" i="1"/>
  <c r="U267" i="1"/>
  <c r="V267" i="1"/>
  <c r="W267" i="1"/>
  <c r="T268" i="1"/>
  <c r="U268" i="1"/>
  <c r="V268" i="1"/>
  <c r="W268" i="1"/>
  <c r="T269" i="1"/>
  <c r="U269" i="1"/>
  <c r="V269" i="1"/>
  <c r="W269" i="1"/>
  <c r="T270" i="1"/>
  <c r="U270" i="1"/>
  <c r="V270" i="1"/>
  <c r="W270" i="1"/>
  <c r="T271" i="1"/>
  <c r="U271" i="1"/>
  <c r="V271" i="1"/>
  <c r="W271" i="1"/>
  <c r="T272" i="1"/>
  <c r="U272" i="1"/>
  <c r="V272" i="1"/>
  <c r="W272" i="1"/>
  <c r="T273" i="1"/>
  <c r="U273" i="1"/>
  <c r="V273" i="1"/>
  <c r="W273" i="1"/>
  <c r="T274" i="1"/>
  <c r="U274" i="1"/>
  <c r="V274" i="1"/>
  <c r="W274" i="1"/>
  <c r="T275" i="1"/>
  <c r="U275" i="1"/>
  <c r="V275" i="1"/>
  <c r="W275" i="1"/>
  <c r="T276" i="1"/>
  <c r="U276" i="1"/>
  <c r="V276" i="1"/>
  <c r="W276" i="1"/>
  <c r="T277" i="1"/>
  <c r="U277" i="1"/>
  <c r="V277" i="1"/>
  <c r="W277" i="1"/>
  <c r="T278" i="1"/>
  <c r="U278" i="1"/>
  <c r="V278" i="1"/>
  <c r="W278" i="1"/>
  <c r="T279" i="1"/>
  <c r="U279" i="1"/>
  <c r="V279" i="1"/>
  <c r="W279" i="1"/>
  <c r="T280" i="1"/>
  <c r="U280" i="1"/>
  <c r="V280" i="1"/>
  <c r="W280" i="1"/>
  <c r="T281" i="1"/>
  <c r="U281" i="1"/>
  <c r="V281" i="1"/>
  <c r="W281" i="1"/>
  <c r="T282" i="1"/>
  <c r="U282" i="1"/>
  <c r="V282" i="1"/>
  <c r="W282" i="1"/>
  <c r="T283" i="1"/>
  <c r="U283" i="1"/>
  <c r="V283" i="1"/>
  <c r="W283" i="1"/>
  <c r="T284" i="1"/>
  <c r="U284" i="1"/>
  <c r="V284" i="1"/>
  <c r="W284" i="1"/>
  <c r="T285" i="1"/>
  <c r="U285" i="1"/>
  <c r="V285" i="1"/>
  <c r="W285" i="1"/>
  <c r="T286" i="1"/>
  <c r="U286" i="1"/>
  <c r="V286" i="1"/>
  <c r="W286" i="1"/>
  <c r="T287" i="1"/>
  <c r="U287" i="1"/>
  <c r="V287" i="1"/>
  <c r="W287" i="1"/>
  <c r="T288" i="1"/>
  <c r="U288" i="1"/>
  <c r="V288" i="1"/>
  <c r="W288" i="1"/>
  <c r="T289" i="1"/>
  <c r="U289" i="1"/>
  <c r="V289" i="1"/>
  <c r="W289" i="1"/>
  <c r="T290" i="1"/>
  <c r="U290" i="1"/>
  <c r="V290" i="1"/>
  <c r="W290" i="1"/>
  <c r="T291" i="1"/>
  <c r="U291" i="1"/>
  <c r="V291" i="1"/>
  <c r="W291" i="1"/>
  <c r="T292" i="1"/>
  <c r="U292" i="1"/>
  <c r="V292" i="1"/>
  <c r="W292" i="1"/>
  <c r="T293" i="1"/>
  <c r="U293" i="1"/>
  <c r="V293" i="1"/>
  <c r="W293" i="1"/>
  <c r="T294" i="1"/>
  <c r="U294" i="1"/>
  <c r="V294" i="1"/>
  <c r="W294" i="1"/>
  <c r="T295" i="1"/>
  <c r="U295" i="1"/>
  <c r="V295" i="1"/>
  <c r="W295" i="1"/>
  <c r="T296" i="1"/>
  <c r="U296" i="1"/>
  <c r="V296" i="1"/>
  <c r="W296" i="1"/>
  <c r="T297" i="1"/>
  <c r="U297" i="1"/>
  <c r="V297" i="1"/>
  <c r="W297" i="1"/>
  <c r="T298" i="1"/>
  <c r="U298" i="1"/>
  <c r="V298" i="1"/>
  <c r="W298" i="1"/>
  <c r="T299" i="1"/>
  <c r="U299" i="1"/>
  <c r="V299" i="1"/>
  <c r="W299" i="1"/>
  <c r="T300" i="1"/>
  <c r="U300" i="1"/>
  <c r="V300" i="1"/>
  <c r="W300" i="1"/>
  <c r="T301" i="1"/>
  <c r="U301" i="1"/>
  <c r="V301" i="1"/>
  <c r="W301" i="1"/>
  <c r="T302" i="1"/>
  <c r="U302" i="1"/>
  <c r="V302" i="1"/>
  <c r="W302" i="1"/>
  <c r="T303" i="1"/>
  <c r="U303" i="1"/>
  <c r="V303" i="1"/>
  <c r="W303" i="1"/>
  <c r="T304" i="1"/>
  <c r="U304" i="1"/>
  <c r="V304" i="1"/>
  <c r="W304" i="1"/>
  <c r="T305" i="1"/>
  <c r="U305" i="1"/>
  <c r="V305" i="1"/>
  <c r="W305" i="1"/>
  <c r="T306" i="1"/>
  <c r="U306" i="1"/>
  <c r="V306" i="1"/>
  <c r="W306" i="1"/>
  <c r="T307" i="1"/>
  <c r="U307" i="1"/>
  <c r="V307" i="1"/>
  <c r="W307" i="1"/>
  <c r="T308" i="1"/>
  <c r="U308" i="1"/>
  <c r="V308" i="1"/>
  <c r="W308" i="1"/>
  <c r="T309" i="1"/>
  <c r="U309" i="1"/>
  <c r="V309" i="1"/>
  <c r="W309" i="1"/>
  <c r="T310" i="1"/>
  <c r="U310" i="1"/>
  <c r="V310" i="1"/>
  <c r="W310" i="1"/>
  <c r="T311" i="1"/>
  <c r="U311" i="1"/>
  <c r="V311" i="1"/>
  <c r="W311" i="1"/>
  <c r="T312" i="1"/>
  <c r="U312" i="1"/>
  <c r="V312" i="1"/>
  <c r="W312" i="1"/>
  <c r="T313" i="1"/>
  <c r="U313" i="1"/>
  <c r="V313" i="1"/>
  <c r="W313" i="1"/>
  <c r="T314" i="1"/>
  <c r="U314" i="1"/>
  <c r="V314" i="1"/>
  <c r="W314" i="1"/>
  <c r="T315" i="1"/>
  <c r="U315" i="1"/>
  <c r="V315" i="1"/>
  <c r="W315" i="1"/>
  <c r="T316" i="1"/>
  <c r="U316" i="1"/>
  <c r="V316" i="1"/>
  <c r="W316" i="1"/>
  <c r="T317" i="1"/>
  <c r="U317" i="1"/>
  <c r="V317" i="1"/>
  <c r="W317" i="1"/>
  <c r="T318" i="1"/>
  <c r="U318" i="1"/>
  <c r="V318" i="1"/>
  <c r="W318" i="1"/>
  <c r="T319" i="1"/>
  <c r="U319" i="1"/>
  <c r="V319" i="1"/>
  <c r="W319" i="1"/>
  <c r="T320" i="1"/>
  <c r="U320" i="1"/>
  <c r="V320" i="1"/>
  <c r="W320" i="1"/>
  <c r="T321" i="1"/>
  <c r="U321" i="1"/>
  <c r="V321" i="1"/>
  <c r="W321" i="1"/>
  <c r="T322" i="1"/>
  <c r="U322" i="1"/>
  <c r="V322" i="1"/>
  <c r="W322" i="1"/>
  <c r="T323" i="1"/>
  <c r="U323" i="1"/>
  <c r="V323" i="1"/>
  <c r="W323" i="1"/>
  <c r="T324" i="1"/>
  <c r="U324" i="1"/>
  <c r="V324" i="1"/>
  <c r="W324" i="1"/>
  <c r="T325" i="1"/>
  <c r="U325" i="1"/>
  <c r="V325" i="1"/>
  <c r="W325" i="1"/>
  <c r="T326" i="1"/>
  <c r="U326" i="1"/>
  <c r="V326" i="1"/>
  <c r="W326" i="1"/>
  <c r="T327" i="1"/>
  <c r="U327" i="1"/>
  <c r="V327" i="1"/>
  <c r="W327" i="1"/>
  <c r="T328" i="1"/>
  <c r="U328" i="1"/>
  <c r="V328" i="1"/>
  <c r="W328" i="1"/>
  <c r="T329" i="1"/>
  <c r="U329" i="1"/>
  <c r="V329" i="1"/>
  <c r="W329" i="1"/>
  <c r="T330" i="1"/>
  <c r="U330" i="1"/>
  <c r="V330" i="1"/>
  <c r="W330" i="1"/>
  <c r="T331" i="1"/>
  <c r="U331" i="1"/>
  <c r="V331" i="1"/>
  <c r="W331" i="1"/>
  <c r="T332" i="1"/>
  <c r="U332" i="1"/>
  <c r="V332" i="1"/>
  <c r="W332" i="1"/>
  <c r="T333" i="1"/>
  <c r="U333" i="1"/>
  <c r="V333" i="1"/>
  <c r="W333" i="1"/>
  <c r="T334" i="1"/>
  <c r="U334" i="1"/>
  <c r="V334" i="1"/>
  <c r="W334" i="1"/>
  <c r="T335" i="1"/>
  <c r="U335" i="1"/>
  <c r="V335" i="1"/>
  <c r="W335" i="1"/>
  <c r="T336" i="1"/>
  <c r="U336" i="1"/>
  <c r="V336" i="1"/>
  <c r="W336" i="1"/>
  <c r="T337" i="1"/>
  <c r="U337" i="1"/>
  <c r="V337" i="1"/>
  <c r="W337" i="1"/>
  <c r="T338" i="1"/>
  <c r="U338" i="1"/>
  <c r="V338" i="1"/>
  <c r="W338" i="1"/>
  <c r="T339" i="1"/>
  <c r="U339" i="1"/>
  <c r="V339" i="1"/>
  <c r="W339" i="1"/>
  <c r="T340" i="1"/>
  <c r="U340" i="1"/>
  <c r="V340" i="1"/>
  <c r="W340" i="1"/>
  <c r="T341" i="1"/>
  <c r="U341" i="1"/>
  <c r="V341" i="1"/>
  <c r="W341" i="1"/>
  <c r="T342" i="1"/>
  <c r="U342" i="1"/>
  <c r="V342" i="1"/>
  <c r="W342" i="1"/>
  <c r="T343" i="1"/>
  <c r="U343" i="1"/>
  <c r="V343" i="1"/>
  <c r="W343" i="1"/>
  <c r="T344" i="1"/>
  <c r="U344" i="1"/>
  <c r="V344" i="1"/>
  <c r="W344" i="1"/>
  <c r="T345" i="1"/>
  <c r="U345" i="1"/>
  <c r="V345" i="1"/>
  <c r="W345" i="1"/>
  <c r="T346" i="1"/>
  <c r="U346" i="1"/>
  <c r="V346" i="1"/>
  <c r="W346" i="1"/>
  <c r="T347" i="1"/>
  <c r="U347" i="1"/>
  <c r="V347" i="1"/>
  <c r="W347" i="1"/>
  <c r="T348" i="1"/>
  <c r="U348" i="1"/>
  <c r="V348" i="1"/>
  <c r="W348" i="1"/>
  <c r="T349" i="1"/>
  <c r="U349" i="1"/>
  <c r="V349" i="1"/>
  <c r="W349" i="1"/>
  <c r="T350" i="1"/>
  <c r="U350" i="1"/>
  <c r="V350" i="1"/>
  <c r="W350" i="1"/>
  <c r="T351" i="1"/>
  <c r="U351" i="1"/>
  <c r="V351" i="1"/>
  <c r="W351" i="1"/>
  <c r="T352" i="1"/>
  <c r="U352" i="1"/>
  <c r="V352" i="1"/>
  <c r="W352" i="1"/>
  <c r="T353" i="1"/>
  <c r="U353" i="1"/>
  <c r="V353" i="1"/>
  <c r="W353" i="1"/>
  <c r="T354" i="1"/>
  <c r="U354" i="1"/>
  <c r="V354" i="1"/>
  <c r="W354" i="1"/>
  <c r="T355" i="1"/>
  <c r="U355" i="1"/>
  <c r="V355" i="1"/>
  <c r="W355" i="1"/>
  <c r="T356" i="1"/>
  <c r="U356" i="1"/>
  <c r="V356" i="1"/>
  <c r="W356" i="1"/>
  <c r="T357" i="1"/>
  <c r="U357" i="1"/>
  <c r="V357" i="1"/>
  <c r="W357" i="1"/>
  <c r="T358" i="1"/>
  <c r="U358" i="1"/>
  <c r="V358" i="1"/>
  <c r="W358" i="1"/>
  <c r="T359" i="1"/>
  <c r="U359" i="1"/>
  <c r="V359" i="1"/>
  <c r="W359" i="1"/>
  <c r="T360" i="1"/>
  <c r="U360" i="1"/>
  <c r="V360" i="1"/>
  <c r="W360" i="1"/>
  <c r="T361" i="1"/>
  <c r="U361" i="1"/>
  <c r="V361" i="1"/>
  <c r="W361" i="1"/>
  <c r="T362" i="1"/>
  <c r="U362" i="1"/>
  <c r="V362" i="1"/>
  <c r="W362" i="1"/>
  <c r="T363" i="1"/>
  <c r="U363" i="1"/>
  <c r="V363" i="1"/>
  <c r="W363" i="1"/>
  <c r="T364" i="1"/>
  <c r="U364" i="1"/>
  <c r="V364" i="1"/>
  <c r="W364" i="1"/>
  <c r="T365" i="1"/>
  <c r="U365" i="1"/>
  <c r="V365" i="1"/>
  <c r="W365" i="1"/>
  <c r="T366" i="1"/>
  <c r="U366" i="1"/>
  <c r="V366" i="1"/>
  <c r="W366" i="1"/>
  <c r="T367" i="1"/>
  <c r="U367" i="1"/>
  <c r="V367" i="1"/>
  <c r="W367" i="1"/>
  <c r="T368" i="1"/>
  <c r="U368" i="1"/>
  <c r="V368" i="1"/>
  <c r="W368" i="1"/>
  <c r="T369" i="1"/>
  <c r="U369" i="1"/>
  <c r="V369" i="1"/>
  <c r="W369" i="1"/>
  <c r="T370" i="1"/>
  <c r="U370" i="1"/>
  <c r="V370" i="1"/>
  <c r="W370" i="1"/>
  <c r="T371" i="1"/>
  <c r="U371" i="1"/>
  <c r="V371" i="1"/>
  <c r="W371" i="1"/>
  <c r="T372" i="1"/>
  <c r="U372" i="1"/>
  <c r="V372" i="1"/>
  <c r="W372" i="1"/>
  <c r="T373" i="1"/>
  <c r="U373" i="1"/>
  <c r="V373" i="1"/>
  <c r="W373" i="1"/>
  <c r="T374" i="1"/>
  <c r="U374" i="1"/>
  <c r="V374" i="1"/>
  <c r="W374" i="1"/>
  <c r="T375" i="1"/>
  <c r="U375" i="1"/>
  <c r="V375" i="1"/>
  <c r="W375" i="1"/>
  <c r="T376" i="1"/>
  <c r="U376" i="1"/>
  <c r="V376" i="1"/>
  <c r="W376" i="1"/>
  <c r="T377" i="1"/>
  <c r="U377" i="1"/>
  <c r="V377" i="1"/>
  <c r="W377" i="1"/>
  <c r="T378" i="1"/>
  <c r="U378" i="1"/>
  <c r="V378" i="1"/>
  <c r="W378" i="1"/>
  <c r="T379" i="1"/>
  <c r="U379" i="1"/>
  <c r="V379" i="1"/>
  <c r="W379" i="1"/>
  <c r="T380" i="1"/>
  <c r="U380" i="1"/>
  <c r="V380" i="1"/>
  <c r="W380" i="1"/>
  <c r="T381" i="1"/>
  <c r="U381" i="1"/>
  <c r="V381" i="1"/>
  <c r="W381" i="1"/>
  <c r="T382" i="1"/>
  <c r="U382" i="1"/>
  <c r="V382" i="1"/>
  <c r="W382" i="1"/>
  <c r="T383" i="1"/>
  <c r="U383" i="1"/>
  <c r="V383" i="1"/>
  <c r="W383" i="1"/>
  <c r="T384" i="1"/>
  <c r="U384" i="1"/>
  <c r="V384" i="1"/>
  <c r="W384" i="1"/>
  <c r="T385" i="1"/>
  <c r="U385" i="1"/>
  <c r="V385" i="1"/>
  <c r="W385" i="1"/>
  <c r="T386" i="1"/>
  <c r="U386" i="1"/>
  <c r="V386" i="1"/>
  <c r="W386" i="1"/>
  <c r="T387" i="1"/>
  <c r="U387" i="1"/>
  <c r="V387" i="1"/>
  <c r="W387" i="1"/>
  <c r="T388" i="1"/>
  <c r="U388" i="1"/>
  <c r="V388" i="1"/>
  <c r="W388" i="1"/>
  <c r="T389" i="1"/>
  <c r="U389" i="1"/>
  <c r="V389" i="1"/>
  <c r="W389" i="1"/>
  <c r="T390" i="1"/>
  <c r="U390" i="1"/>
  <c r="V390" i="1"/>
  <c r="W390" i="1"/>
  <c r="T391" i="1"/>
  <c r="U391" i="1"/>
  <c r="V391" i="1"/>
  <c r="W391" i="1"/>
  <c r="T392" i="1"/>
  <c r="U392" i="1"/>
  <c r="V392" i="1"/>
  <c r="W392" i="1"/>
  <c r="T393" i="1"/>
  <c r="U393" i="1"/>
  <c r="V393" i="1"/>
  <c r="W393" i="1"/>
  <c r="T394" i="1"/>
  <c r="U394" i="1"/>
  <c r="V394" i="1"/>
  <c r="W394" i="1"/>
  <c r="T395" i="1"/>
  <c r="U395" i="1"/>
  <c r="V395" i="1"/>
  <c r="W395" i="1"/>
  <c r="T396" i="1"/>
  <c r="U396" i="1"/>
  <c r="V396" i="1"/>
  <c r="W396" i="1"/>
  <c r="T397" i="1"/>
  <c r="U397" i="1"/>
  <c r="V397" i="1"/>
  <c r="W397" i="1"/>
  <c r="T398" i="1"/>
  <c r="U398" i="1"/>
  <c r="V398" i="1"/>
  <c r="W398" i="1"/>
  <c r="T399" i="1"/>
  <c r="U399" i="1"/>
  <c r="V399" i="1"/>
  <c r="W399" i="1"/>
  <c r="T400" i="1"/>
  <c r="U400" i="1"/>
  <c r="V400" i="1"/>
  <c r="W400" i="1"/>
  <c r="T401" i="1"/>
  <c r="U401" i="1"/>
  <c r="V401" i="1"/>
  <c r="W401" i="1"/>
  <c r="T402" i="1"/>
  <c r="U402" i="1"/>
  <c r="V402" i="1"/>
  <c r="W402" i="1"/>
  <c r="T403" i="1"/>
  <c r="U403" i="1"/>
  <c r="V403" i="1"/>
  <c r="W403" i="1"/>
  <c r="T404" i="1"/>
  <c r="U404" i="1"/>
  <c r="V404" i="1"/>
  <c r="W404" i="1"/>
  <c r="T405" i="1"/>
  <c r="U405" i="1"/>
  <c r="V405" i="1"/>
  <c r="W405" i="1"/>
  <c r="T406" i="1"/>
  <c r="U406" i="1"/>
  <c r="V406" i="1"/>
  <c r="W406" i="1"/>
  <c r="T407" i="1"/>
  <c r="U407" i="1"/>
  <c r="V407" i="1"/>
  <c r="W407" i="1"/>
  <c r="T408" i="1"/>
  <c r="U408" i="1"/>
  <c r="V408" i="1"/>
  <c r="W408" i="1"/>
  <c r="T409" i="1"/>
  <c r="U409" i="1"/>
  <c r="V409" i="1"/>
  <c r="W409" i="1"/>
  <c r="T410" i="1"/>
  <c r="U410" i="1"/>
  <c r="V410" i="1"/>
  <c r="W410" i="1"/>
  <c r="T411" i="1"/>
  <c r="U411" i="1"/>
  <c r="V411" i="1"/>
  <c r="W411" i="1"/>
  <c r="T412" i="1"/>
  <c r="U412" i="1"/>
  <c r="V412" i="1"/>
  <c r="W412" i="1"/>
  <c r="T413" i="1"/>
  <c r="U413" i="1"/>
  <c r="V413" i="1"/>
  <c r="W413" i="1"/>
  <c r="T414" i="1"/>
  <c r="U414" i="1"/>
  <c r="V414" i="1"/>
  <c r="W414" i="1"/>
  <c r="T415" i="1"/>
  <c r="U415" i="1"/>
  <c r="V415" i="1"/>
  <c r="W415" i="1"/>
  <c r="T416" i="1"/>
  <c r="U416" i="1"/>
  <c r="V416" i="1"/>
  <c r="W416" i="1"/>
  <c r="T417" i="1"/>
  <c r="U417" i="1"/>
  <c r="V417" i="1"/>
  <c r="W417" i="1"/>
  <c r="T418" i="1"/>
  <c r="U418" i="1"/>
  <c r="V418" i="1"/>
  <c r="W418" i="1"/>
  <c r="T419" i="1"/>
  <c r="U419" i="1"/>
  <c r="V419" i="1"/>
  <c r="W419" i="1"/>
  <c r="T420" i="1"/>
  <c r="U420" i="1"/>
  <c r="V420" i="1"/>
  <c r="W420" i="1"/>
  <c r="T421" i="1"/>
  <c r="U421" i="1"/>
  <c r="V421" i="1"/>
  <c r="W421" i="1"/>
  <c r="T422" i="1"/>
  <c r="U422" i="1"/>
  <c r="V422" i="1"/>
  <c r="W422" i="1"/>
  <c r="T423" i="1"/>
  <c r="U423" i="1"/>
  <c r="V423" i="1"/>
  <c r="W423" i="1"/>
  <c r="T424" i="1"/>
  <c r="U424" i="1"/>
  <c r="V424" i="1"/>
  <c r="W424" i="1"/>
</calcChain>
</file>

<file path=xl/sharedStrings.xml><?xml version="1.0" encoding="utf-8"?>
<sst xmlns="http://schemas.openxmlformats.org/spreadsheetml/2006/main" count="3771" uniqueCount="208">
  <si>
    <t>年度</t>
    <rPh sb="0" eb="2">
      <t>ネンド</t>
    </rPh>
    <phoneticPr fontId="5"/>
  </si>
  <si>
    <t>都道府県No</t>
  </si>
  <si>
    <t>都道府県名</t>
    <rPh sb="0" eb="5">
      <t>トドウフケンメイ</t>
    </rPh>
    <phoneticPr fontId="5"/>
  </si>
  <si>
    <t>調整後保険料_a+b_インセンティブ反映前</t>
    <rPh sb="0" eb="3">
      <t>チョウセイゴ</t>
    </rPh>
    <rPh sb="3" eb="6">
      <t>ホケンリョウ</t>
    </rPh>
    <rPh sb="18" eb="20">
      <t>ハンエイ</t>
    </rPh>
    <rPh sb="20" eb="21">
      <t>マエ</t>
    </rPh>
    <phoneticPr fontId="5"/>
  </si>
  <si>
    <t>調整前所要保険料_a</t>
    <rPh sb="0" eb="3">
      <t>チョウセイマエ</t>
    </rPh>
    <rPh sb="3" eb="5">
      <t>ショヨウ</t>
    </rPh>
    <rPh sb="5" eb="8">
      <t>ホケンリョウ</t>
    </rPh>
    <phoneticPr fontId="5"/>
  </si>
  <si>
    <t>年齢調整_b</t>
  </si>
  <si>
    <t>所得調整</t>
  </si>
  <si>
    <t>共通料率</t>
  </si>
  <si>
    <t>所要保険料率</t>
  </si>
  <si>
    <t>所要保険料率_激変緩和措置後</t>
  </si>
  <si>
    <t>★保険料率_精算含む_インセンティブ反映後</t>
    <rPh sb="1" eb="4">
      <t>ホケンリョウ</t>
    </rPh>
    <rPh sb="4" eb="5">
      <t>リツ</t>
    </rPh>
    <rPh sb="6" eb="8">
      <t>セイサン</t>
    </rPh>
    <rPh sb="8" eb="9">
      <t>フク</t>
    </rPh>
    <rPh sb="18" eb="20">
      <t>ハンエイ</t>
    </rPh>
    <rPh sb="20" eb="21">
      <t>ゴ</t>
    </rPh>
    <phoneticPr fontId="5"/>
  </si>
  <si>
    <t>精算分</t>
    <rPh sb="0" eb="3">
      <t>セイサンブン</t>
    </rPh>
    <phoneticPr fontId="4"/>
  </si>
  <si>
    <t>インセンティブ分</t>
    <rPh sb="7" eb="8">
      <t>ブン</t>
    </rPh>
    <phoneticPr fontId="5"/>
  </si>
  <si>
    <t>医療給付費</t>
    <phoneticPr fontId="4"/>
  </si>
  <si>
    <t>総報酬額</t>
    <phoneticPr fontId="4"/>
  </si>
  <si>
    <t>加入者_合計</t>
    <phoneticPr fontId="4"/>
  </si>
  <si>
    <t>加入者_40歳以上</t>
    <rPh sb="7" eb="9">
      <t>イジョウ</t>
    </rPh>
    <phoneticPr fontId="4"/>
  </si>
  <si>
    <t>加入者1人当たり医療給付費</t>
    <rPh sb="0" eb="3">
      <t>カニュウシャ</t>
    </rPh>
    <rPh sb="4" eb="6">
      <t>ヒトア</t>
    </rPh>
    <phoneticPr fontId="4"/>
  </si>
  <si>
    <t>加入者1人当たり総報酬額</t>
    <phoneticPr fontId="4"/>
  </si>
  <si>
    <t>再現_調整前所要保険料_a</t>
    <rPh sb="0" eb="2">
      <t>サイゲン</t>
    </rPh>
    <rPh sb="3" eb="6">
      <t>チョウセイマエ</t>
    </rPh>
    <rPh sb="6" eb="8">
      <t>ショヨウ</t>
    </rPh>
    <rPh sb="8" eb="11">
      <t>ホケンリョウ</t>
    </rPh>
    <phoneticPr fontId="5"/>
  </si>
  <si>
    <t>再現_誤差</t>
    <rPh sb="0" eb="2">
      <t>サイゲン</t>
    </rPh>
    <rPh sb="3" eb="5">
      <t>ゴサ</t>
    </rPh>
    <phoneticPr fontId="5"/>
  </si>
  <si>
    <t>01</t>
  </si>
  <si>
    <t>北海道</t>
  </si>
  <si>
    <t>02</t>
  </si>
  <si>
    <t>青森県</t>
    <rPh sb="2" eb="3">
      <t>ケン</t>
    </rPh>
    <phoneticPr fontId="1"/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</si>
  <si>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</si>
  <si>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</si>
  <si>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</si>
  <si>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</si>
  <si>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</si>
  <si>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</si>
  <si>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</si>
  <si>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</si>
  <si>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</si>
  <si>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</si>
  <si>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</si>
  <si>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</si>
  <si>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</si>
  <si>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</si>
  <si>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</si>
  <si>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</si>
  <si>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</si>
  <si>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</si>
  <si>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</si>
  <si>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</si>
  <si>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</si>
  <si>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  <rPh sb="2" eb="3">
      <t>ト</t>
    </rPh>
    <phoneticPr fontId="1"/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</si>
  <si>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</si>
  <si>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</si>
  <si>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</si>
  <si>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</si>
  <si>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</si>
  <si>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</si>
  <si>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</si>
  <si>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</si>
  <si>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</si>
  <si>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</si>
  <si>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</si>
  <si>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</si>
  <si>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</si>
  <si>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</si>
  <si>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</si>
  <si>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</si>
  <si>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</si>
  <si>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</si>
  <si>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</si>
  <si>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</si>
  <si>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</si>
  <si>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</si>
  <si>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</si>
  <si>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</si>
  <si>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</si>
  <si>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  <rPh sb="2" eb="3">
      <t>フ</t>
    </rPh>
    <phoneticPr fontId="1"/>
  </si>
  <si>
    <t>27</t>
  </si>
  <si>
    <t>大阪府</t>
    <rPh sb="2" eb="3">
      <t>フ</t>
    </rPh>
    <phoneticPr fontId="1"/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</si>
  <si>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</si>
  <si>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</si>
  <si>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</si>
  <si>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</si>
  <si>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</si>
  <si>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</si>
  <si>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</si>
  <si>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</si>
  <si>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</si>
  <si>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</si>
  <si>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</si>
  <si>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</si>
  <si>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</si>
  <si>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</si>
  <si>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</si>
  <si>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</si>
  <si>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</si>
  <si>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</si>
  <si>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</si>
  <si>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</si>
  <si>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</si>
  <si>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</si>
  <si>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</si>
  <si>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</si>
  <si>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</si>
  <si>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</si>
  <si>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</si>
  <si>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</si>
  <si>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</si>
  <si>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</si>
  <si>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</si>
  <si>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</si>
  <si>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</si>
  <si>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</si>
  <si>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</si>
  <si>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</si>
  <si>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</si>
  <si>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</si>
  <si>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</si>
  <si>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</t>
  </si>
  <si>
    <t>青森県</t>
  </si>
  <si>
    <t>東京都</t>
  </si>
  <si>
    <t>京都府</t>
  </si>
  <si>
    <t>大阪府</t>
  </si>
  <si>
    <t>青森県</t>
    <rPh sb="2" eb="3">
      <t>ケン</t>
    </rPh>
    <phoneticPr fontId="4"/>
  </si>
  <si>
    <t>東京都</t>
    <rPh sb="2" eb="3">
      <t>ト</t>
    </rPh>
    <phoneticPr fontId="4"/>
  </si>
  <si>
    <t>京都府</t>
    <rPh sb="2" eb="3">
      <t>フ</t>
    </rPh>
    <phoneticPr fontId="4"/>
  </si>
  <si>
    <t>大阪府</t>
    <rPh sb="2" eb="3">
      <t>フ</t>
    </rPh>
    <phoneticPr fontId="4"/>
  </si>
  <si>
    <t>年度</t>
    <rPh sb="0" eb="2">
      <t>ネンド</t>
    </rPh>
    <phoneticPr fontId="4"/>
  </si>
  <si>
    <t>都道府県NO</t>
    <rPh sb="0" eb="4">
      <t>トドウフケン</t>
    </rPh>
    <phoneticPr fontId="4"/>
  </si>
  <si>
    <t>都道府県名</t>
    <rPh sb="0" eb="5">
      <t>トドウフケンメイ</t>
    </rPh>
    <phoneticPr fontId="4"/>
  </si>
  <si>
    <t>①特定健診等_実施率</t>
    <phoneticPr fontId="4"/>
  </si>
  <si>
    <t>①特定健診等_順位</t>
    <phoneticPr fontId="4"/>
  </si>
  <si>
    <t>②特定保健指導_実施率</t>
    <phoneticPr fontId="4"/>
  </si>
  <si>
    <t>②特定保健指導_順位</t>
    <phoneticPr fontId="4"/>
  </si>
  <si>
    <t>③特定保健指導対象者減少率</t>
    <phoneticPr fontId="4"/>
  </si>
  <si>
    <t>③特定保健指導対象者減少率_順位</t>
    <rPh sb="14" eb="16">
      <t>ジュンイ</t>
    </rPh>
    <phoneticPr fontId="4"/>
  </si>
  <si>
    <t>④医療機関受診率</t>
    <phoneticPr fontId="4"/>
  </si>
  <si>
    <t>④医療機関受診率_順位</t>
    <rPh sb="9" eb="11">
      <t>ジュンイ</t>
    </rPh>
    <phoneticPr fontId="4"/>
  </si>
  <si>
    <t>⑤後発医薬品の使用割合</t>
  </si>
  <si>
    <t>⑤後発医薬品の使用割合_順位</t>
    <rPh sb="12" eb="14">
      <t>ジュンイ</t>
    </rPh>
    <phoneticPr fontId="4"/>
  </si>
  <si>
    <t>総合得点</t>
    <rPh sb="0" eb="4">
      <t>ソウゴウトクテン</t>
    </rPh>
    <phoneticPr fontId="4"/>
  </si>
  <si>
    <t>総合順位</t>
    <rPh sb="0" eb="2">
      <t>ソウゴウ</t>
    </rPh>
    <rPh sb="2" eb="4">
      <t>ジュンイ</t>
    </rPh>
    <phoneticPr fontId="4"/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</si>
  <si>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</si>
  <si>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</si>
  <si>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</si>
  <si>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</si>
  <si>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</si>
  <si>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</si>
  <si>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</si>
  <si>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</si>
  <si>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</si>
  <si>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</si>
  <si>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</si>
  <si>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</si>
  <si>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</si>
  <si>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</si>
  <si>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</si>
  <si>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</si>
  <si>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</si>
  <si>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</si>
  <si>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</si>
  <si>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</si>
  <si>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</si>
  <si>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</si>
  <si>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</si>
  <si>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</si>
  <si>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</si>
  <si>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</si>
  <si>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</si>
  <si>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</si>
  <si>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</si>
  <si>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</si>
  <si>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</si>
  <si>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</si>
  <si>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</si>
  <si>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</si>
  <si>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</si>
  <si>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</si>
  <si>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</si>
  <si>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</si>
  <si>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</si>
  <si>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</si>
  <si>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</si>
  <si>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</si>
  <si>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</si>
  <si>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</si>
  <si>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</si>
  <si>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</si>
  <si>
    <t>①特定健診等_伸び率</t>
  </si>
  <si>
    <t>②特定保健指導_伸び率</t>
  </si>
  <si>
    <t>１人当たり医療費_合計</t>
    <rPh sb="9" eb="11">
      <t>ゴウケイ</t>
    </rPh>
    <phoneticPr fontId="4"/>
  </si>
  <si>
    <t>１人当たり医療費_入院</t>
    <rPh sb="9" eb="11">
      <t>ニュウイン</t>
    </rPh>
    <phoneticPr fontId="6"/>
  </si>
  <si>
    <t>１人当たり医療費_入院外（調剤を含む）</t>
    <rPh sb="9" eb="11">
      <t>ニュウイン</t>
    </rPh>
    <rPh sb="11" eb="12">
      <t>ガイ</t>
    </rPh>
    <rPh sb="13" eb="15">
      <t>チョウザイ</t>
    </rPh>
    <rPh sb="16" eb="17">
      <t>フク</t>
    </rPh>
    <phoneticPr fontId="0"/>
  </si>
  <si>
    <t>１人当たり医療費_歯科</t>
    <rPh sb="9" eb="11">
      <t>シカ</t>
    </rPh>
    <phoneticPr fontId="6"/>
  </si>
  <si>
    <t>１人当たり医療費_その他</t>
    <rPh sb="11" eb="12">
      <t>タ</t>
    </rPh>
    <phoneticPr fontId="6"/>
  </si>
  <si>
    <t>（再掲）生活習慣病_入院</t>
    <rPh sb="1" eb="3">
      <t>サイケイ</t>
    </rPh>
    <rPh sb="4" eb="6">
      <t>セイカツ</t>
    </rPh>
    <rPh sb="6" eb="8">
      <t>シュウカン</t>
    </rPh>
    <rPh sb="8" eb="9">
      <t>ビョウ</t>
    </rPh>
    <rPh sb="10" eb="12">
      <t>ニュウイン</t>
    </rPh>
    <phoneticPr fontId="2"/>
  </si>
  <si>
    <t>（再掲）生活習慣病_入院外</t>
    <rPh sb="1" eb="3">
      <t>サイケイ</t>
    </rPh>
    <rPh sb="4" eb="6">
      <t>セイカツ</t>
    </rPh>
    <rPh sb="6" eb="8">
      <t>シュウカン</t>
    </rPh>
    <rPh sb="8" eb="9">
      <t>ビョウ</t>
    </rPh>
    <rPh sb="10" eb="12">
      <t>ニュウイン</t>
    </rPh>
    <rPh sb="12" eb="13">
      <t>ソト</t>
    </rPh>
    <phoneticPr fontId="2"/>
  </si>
  <si>
    <t>１人当たり医療費_入院外_高血圧症</t>
    <rPh sb="9" eb="11">
      <t>ニュウイン</t>
    </rPh>
    <rPh sb="11" eb="12">
      <t>ソト</t>
    </rPh>
    <rPh sb="16" eb="17">
      <t>ショウ</t>
    </rPh>
    <phoneticPr fontId="4"/>
  </si>
  <si>
    <t>１人当たり医療費_入院外_脂質異常症</t>
    <phoneticPr fontId="4"/>
  </si>
  <si>
    <t>１人当たり医療費_入院外_糖尿病</t>
    <phoneticPr fontId="4"/>
  </si>
  <si>
    <r>
      <t xml:space="preserve">平均在院日数
</t>
    </r>
    <r>
      <rPr>
        <sz val="11"/>
        <color rgb="FFFF0000"/>
        <rFont val="游ゴシック"/>
        <family val="3"/>
        <charset val="128"/>
        <scheme val="minor"/>
      </rPr>
      <t>※2020なし</t>
    </r>
    <rPh sb="0" eb="2">
      <t>ヘイキン</t>
    </rPh>
    <rPh sb="2" eb="4">
      <t>ザイイン</t>
    </rPh>
    <rPh sb="4" eb="6">
      <t>ニッスウ</t>
    </rPh>
    <phoneticPr fontId="0"/>
  </si>
  <si>
    <t>人口10万対病床数</t>
    <rPh sb="0" eb="2">
      <t>ジンコウ</t>
    </rPh>
    <rPh sb="4" eb="5">
      <t>マン</t>
    </rPh>
    <rPh sb="5" eb="6">
      <t>タイ</t>
    </rPh>
    <rPh sb="6" eb="9">
      <t>ビョウショウスウ</t>
    </rPh>
    <phoneticPr fontId="0"/>
  </si>
  <si>
    <t>〇特定検診実施率</t>
    <rPh sb="1" eb="5">
      <t>トクテイケンシン</t>
    </rPh>
    <rPh sb="5" eb="8">
      <t>ジッシリツ</t>
    </rPh>
    <phoneticPr fontId="4"/>
  </si>
  <si>
    <t>〇特定保健指導</t>
    <rPh sb="1" eb="7">
      <t>トクテイホケンシドウ</t>
    </rPh>
    <phoneticPr fontId="4"/>
  </si>
  <si>
    <t>〇特定保健指導対象者減少率</t>
    <rPh sb="1" eb="3">
      <t>トクテイ</t>
    </rPh>
    <rPh sb="3" eb="5">
      <t>ホケン</t>
    </rPh>
    <rPh sb="5" eb="7">
      <t>シドウ</t>
    </rPh>
    <rPh sb="7" eb="10">
      <t>タイショウシャ</t>
    </rPh>
    <rPh sb="10" eb="13">
      <t>ゲンショウリツ</t>
    </rPh>
    <phoneticPr fontId="4"/>
  </si>
  <si>
    <t>〇医療機関受診率</t>
    <rPh sb="1" eb="3">
      <t>イリョウ</t>
    </rPh>
    <rPh sb="3" eb="5">
      <t>キカン</t>
    </rPh>
    <rPh sb="5" eb="7">
      <t>ジュシン</t>
    </rPh>
    <rPh sb="7" eb="8">
      <t>リツ</t>
    </rPh>
    <phoneticPr fontId="4"/>
  </si>
  <si>
    <t>-</t>
    <phoneticPr fontId="4"/>
  </si>
  <si>
    <t>都道府県番号</t>
    <rPh sb="0" eb="6">
      <t>トドウフケンバンゴウ</t>
    </rPh>
    <phoneticPr fontId="4"/>
  </si>
  <si>
    <t>支部名</t>
    <rPh sb="0" eb="2">
      <t>シブ</t>
    </rPh>
    <rPh sb="2" eb="3">
      <t>メイ</t>
    </rPh>
    <phoneticPr fontId="4"/>
  </si>
  <si>
    <t>00</t>
    <phoneticPr fontId="4"/>
  </si>
  <si>
    <t>全国平均</t>
    <rPh sb="0" eb="2">
      <t>ゼンコク</t>
    </rPh>
    <rPh sb="2" eb="4">
      <t>ヘイキン</t>
    </rPh>
    <phoneticPr fontId="4"/>
  </si>
  <si>
    <t>01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</si>
</sst>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_ ;[Red]\-#,##0.00\ "/>
    <numFmt numFmtId="177" formatCode="#,##0.0;[Red]\-#,##0.0"/>
    <numFmt numFmtId="178" formatCode="#,##0.0_ ;[Red]\-#,##0.0\ "/>
  </numFmts>
  <fonts count="1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2"/>
      <charset val="128"/>
    </font>
    <font>
      <sz val="6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40" fontId="0" fillId="0" borderId="1" xfId="1" applyNumberFormat="1" applyFont="1" applyBorder="1">
      <alignment vertical="center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>
      <alignment vertical="center"/>
    </xf>
    <xf numFmtId="0" fontId="0" fillId="3" borderId="1" xfId="0" applyFill="1" applyBorder="1" applyAlignment="1">
      <alignment vertical="center" wrapText="1"/>
    </xf>
    <xf numFmtId="49" fontId="0" fillId="3" borderId="1" xfId="0" applyNumberFormat="1" applyFill="1" applyBorder="1" applyAlignment="1">
      <alignment vertical="center" wrapText="1"/>
    </xf>
    <xf numFmtId="177" fontId="0" fillId="3" borderId="1" xfId="1" applyNumberFormat="1" applyFont="1" applyFill="1" applyBorder="1" applyAlignment="1">
      <alignment vertical="center" wrapText="1"/>
    </xf>
    <xf numFmtId="49" fontId="0" fillId="0" borderId="1" xfId="0" applyNumberFormat="1" applyBorder="1">
      <alignment vertical="center"/>
    </xf>
    <xf numFmtId="177" fontId="0" fillId="0" borderId="1" xfId="1" applyNumberFormat="1" applyFont="1" applyBorder="1">
      <alignment vertical="center"/>
    </xf>
    <xf numFmtId="49" fontId="0" fillId="0" borderId="0" xfId="0" applyNumberFormat="1">
      <alignment vertical="center"/>
    </xf>
    <xf numFmtId="177" fontId="0" fillId="0" borderId="0" xfId="1" applyNumberFormat="1" applyFont="1">
      <alignment vertical="center"/>
    </xf>
    <xf numFmtId="0" fontId="0" fillId="0" borderId="0" xfId="0" applyAlignment="1">
      <alignment vertical="center" wrapText="1"/>
    </xf>
    <xf numFmtId="178" fontId="0" fillId="0" borderId="1" xfId="0" applyNumberFormat="1" applyBorder="1">
      <alignment vertical="center"/>
    </xf>
    <xf numFmtId="0" fontId="0" fillId="4" borderId="1" xfId="0" applyFill="1" applyBorder="1" applyAlignment="1">
      <alignment vertical="center" wrapText="1"/>
    </xf>
    <xf numFmtId="49" fontId="0" fillId="4" borderId="1" xfId="0" applyNumberForma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40" fontId="0" fillId="4" borderId="1" xfId="1" applyNumberFormat="1" applyFont="1" applyFill="1" applyBorder="1" applyAlignment="1">
      <alignment horizontal="center" vertical="center" wrapText="1"/>
    </xf>
    <xf numFmtId="40" fontId="7" fillId="4" borderId="1" xfId="1" applyNumberFormat="1" applyFont="1" applyFill="1" applyBorder="1" applyAlignment="1">
      <alignment vertical="center" wrapText="1"/>
    </xf>
    <xf numFmtId="40" fontId="0" fillId="4" borderId="1" xfId="1" applyNumberFormat="1" applyFont="1" applyFill="1" applyBorder="1" applyAlignment="1">
      <alignment vertical="center" wrapText="1"/>
    </xf>
    <xf numFmtId="40" fontId="7" fillId="5" borderId="1" xfId="1" applyNumberFormat="1" applyFont="1" applyFill="1" applyBorder="1" applyAlignment="1">
      <alignment vertical="center"/>
    </xf>
    <xf numFmtId="40" fontId="9" fillId="0" borderId="1" xfId="1" applyNumberFormat="1" applyFont="1" applyBorder="1">
      <alignment vertical="center"/>
    </xf>
    <xf numFmtId="40" fontId="0" fillId="0" borderId="0" xfId="1" applyNumberFormat="1" applyFont="1">
      <alignment vertical="center"/>
    </xf>
    <xf numFmtId="40" fontId="0" fillId="0" borderId="0" xfId="1" applyNumberFormat="1" applyFont="1" applyBorder="1">
      <alignment vertical="center"/>
    </xf>
    <xf numFmtId="40" fontId="9" fillId="0" borderId="0" xfId="1" applyNumberFormat="1" applyFont="1" applyBorder="1">
      <alignment vertical="center"/>
    </xf>
    <xf numFmtId="0" fontId="10" fillId="0" borderId="0" xfId="0" applyFont="1">
      <alignment vertical="center"/>
    </xf>
    <xf numFmtId="176" fontId="0" fillId="0" borderId="1" xfId="0" applyNumberFormat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インセンティブ実施率!$S$1</c:f>
              <c:strCache>
                <c:ptCount val="1"/>
                <c:pt idx="0">
                  <c:v>１人当たり医療費_合計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インセンティブ実施率!$D$2:$D$283</c:f>
              <c:numCache>
                <c:formatCode>#,##0.0;[Red]\-#,##0.0</c:formatCode>
                <c:ptCount val="282"/>
                <c:pt idx="0">
                  <c:v>45.6</c:v>
                </c:pt>
                <c:pt idx="1">
                  <c:v>53.1</c:v>
                </c:pt>
                <c:pt idx="2">
                  <c:v>53.7</c:v>
                </c:pt>
                <c:pt idx="3">
                  <c:v>58.2</c:v>
                </c:pt>
                <c:pt idx="4">
                  <c:v>51.7</c:v>
                </c:pt>
                <c:pt idx="5">
                  <c:v>71.900000000000006</c:v>
                </c:pt>
                <c:pt idx="6">
                  <c:v>54.3</c:v>
                </c:pt>
                <c:pt idx="7">
                  <c:v>52.7</c:v>
                </c:pt>
                <c:pt idx="8">
                  <c:v>52.2</c:v>
                </c:pt>
                <c:pt idx="9">
                  <c:v>49.4</c:v>
                </c:pt>
                <c:pt idx="10">
                  <c:v>43.1</c:v>
                </c:pt>
                <c:pt idx="11">
                  <c:v>43</c:v>
                </c:pt>
                <c:pt idx="12">
                  <c:v>47.5</c:v>
                </c:pt>
                <c:pt idx="13">
                  <c:v>42.3</c:v>
                </c:pt>
                <c:pt idx="14">
                  <c:v>64.8</c:v>
                </c:pt>
                <c:pt idx="15">
                  <c:v>64.099999999999994</c:v>
                </c:pt>
                <c:pt idx="16">
                  <c:v>61.8</c:v>
                </c:pt>
                <c:pt idx="17">
                  <c:v>60</c:v>
                </c:pt>
                <c:pt idx="18">
                  <c:v>63.3</c:v>
                </c:pt>
                <c:pt idx="19">
                  <c:v>55.8</c:v>
                </c:pt>
                <c:pt idx="20">
                  <c:v>57.1</c:v>
                </c:pt>
                <c:pt idx="21">
                  <c:v>52</c:v>
                </c:pt>
                <c:pt idx="22">
                  <c:v>47.4</c:v>
                </c:pt>
                <c:pt idx="23">
                  <c:v>53.8</c:v>
                </c:pt>
                <c:pt idx="24">
                  <c:v>54</c:v>
                </c:pt>
                <c:pt idx="25">
                  <c:v>54.3</c:v>
                </c:pt>
                <c:pt idx="26">
                  <c:v>43.3</c:v>
                </c:pt>
                <c:pt idx="27">
                  <c:v>47.7</c:v>
                </c:pt>
                <c:pt idx="28">
                  <c:v>48.1</c:v>
                </c:pt>
                <c:pt idx="29">
                  <c:v>46.9</c:v>
                </c:pt>
                <c:pt idx="30">
                  <c:v>51.1</c:v>
                </c:pt>
                <c:pt idx="31">
                  <c:v>63.9</c:v>
                </c:pt>
                <c:pt idx="32">
                  <c:v>57.3</c:v>
                </c:pt>
                <c:pt idx="33">
                  <c:v>53.7</c:v>
                </c:pt>
                <c:pt idx="34">
                  <c:v>48.5</c:v>
                </c:pt>
                <c:pt idx="35">
                  <c:v>53.5</c:v>
                </c:pt>
                <c:pt idx="36">
                  <c:v>52.1</c:v>
                </c:pt>
                <c:pt idx="37">
                  <c:v>54.4</c:v>
                </c:pt>
                <c:pt idx="38">
                  <c:v>59.2</c:v>
                </c:pt>
                <c:pt idx="39">
                  <c:v>51.3</c:v>
                </c:pt>
                <c:pt idx="40">
                  <c:v>51.8</c:v>
                </c:pt>
                <c:pt idx="41">
                  <c:v>51.4</c:v>
                </c:pt>
                <c:pt idx="42">
                  <c:v>55.7</c:v>
                </c:pt>
                <c:pt idx="43">
                  <c:v>58.5</c:v>
                </c:pt>
                <c:pt idx="44">
                  <c:v>51.3</c:v>
                </c:pt>
                <c:pt idx="45">
                  <c:v>46.7</c:v>
                </c:pt>
                <c:pt idx="46">
                  <c:v>55.7</c:v>
                </c:pt>
                <c:pt idx="47">
                  <c:v>48</c:v>
                </c:pt>
                <c:pt idx="48">
                  <c:v>55.1</c:v>
                </c:pt>
                <c:pt idx="49">
                  <c:v>57.9</c:v>
                </c:pt>
                <c:pt idx="50">
                  <c:v>60</c:v>
                </c:pt>
                <c:pt idx="51">
                  <c:v>53.8</c:v>
                </c:pt>
                <c:pt idx="52">
                  <c:v>73.8</c:v>
                </c:pt>
                <c:pt idx="53">
                  <c:v>55</c:v>
                </c:pt>
                <c:pt idx="54">
                  <c:v>52.8</c:v>
                </c:pt>
                <c:pt idx="55">
                  <c:v>53.3</c:v>
                </c:pt>
                <c:pt idx="56">
                  <c:v>51.2</c:v>
                </c:pt>
                <c:pt idx="57">
                  <c:v>47</c:v>
                </c:pt>
                <c:pt idx="58">
                  <c:v>43.8</c:v>
                </c:pt>
                <c:pt idx="59">
                  <c:v>50.5</c:v>
                </c:pt>
                <c:pt idx="60">
                  <c:v>46.1</c:v>
                </c:pt>
                <c:pt idx="61">
                  <c:v>66.400000000000006</c:v>
                </c:pt>
                <c:pt idx="62">
                  <c:v>66.3</c:v>
                </c:pt>
                <c:pt idx="63">
                  <c:v>63.7</c:v>
                </c:pt>
                <c:pt idx="64">
                  <c:v>61.2</c:v>
                </c:pt>
                <c:pt idx="65">
                  <c:v>65.099999999999994</c:v>
                </c:pt>
                <c:pt idx="66">
                  <c:v>58.7</c:v>
                </c:pt>
                <c:pt idx="67">
                  <c:v>57</c:v>
                </c:pt>
                <c:pt idx="68">
                  <c:v>55.1</c:v>
                </c:pt>
                <c:pt idx="69">
                  <c:v>50.3</c:v>
                </c:pt>
                <c:pt idx="70">
                  <c:v>58.1</c:v>
                </c:pt>
                <c:pt idx="71">
                  <c:v>57.8</c:v>
                </c:pt>
                <c:pt idx="72">
                  <c:v>55.6</c:v>
                </c:pt>
                <c:pt idx="73">
                  <c:v>45.2</c:v>
                </c:pt>
                <c:pt idx="74">
                  <c:v>50.9</c:v>
                </c:pt>
                <c:pt idx="75">
                  <c:v>49.6</c:v>
                </c:pt>
                <c:pt idx="76">
                  <c:v>49.4</c:v>
                </c:pt>
                <c:pt idx="77">
                  <c:v>53.1</c:v>
                </c:pt>
                <c:pt idx="78">
                  <c:v>65.3</c:v>
                </c:pt>
                <c:pt idx="79">
                  <c:v>56.8</c:v>
                </c:pt>
                <c:pt idx="80">
                  <c:v>54.7</c:v>
                </c:pt>
                <c:pt idx="81">
                  <c:v>51.2</c:v>
                </c:pt>
                <c:pt idx="82">
                  <c:v>54.7</c:v>
                </c:pt>
                <c:pt idx="83">
                  <c:v>52.3</c:v>
                </c:pt>
                <c:pt idx="84">
                  <c:v>58.3</c:v>
                </c:pt>
                <c:pt idx="85">
                  <c:v>61.2</c:v>
                </c:pt>
                <c:pt idx="86">
                  <c:v>51.5</c:v>
                </c:pt>
                <c:pt idx="87">
                  <c:v>53.4</c:v>
                </c:pt>
                <c:pt idx="88">
                  <c:v>55.3</c:v>
                </c:pt>
                <c:pt idx="89">
                  <c:v>58.5</c:v>
                </c:pt>
                <c:pt idx="90">
                  <c:v>63.8</c:v>
                </c:pt>
                <c:pt idx="91">
                  <c:v>51.9</c:v>
                </c:pt>
                <c:pt idx="92">
                  <c:v>50.5</c:v>
                </c:pt>
                <c:pt idx="93">
                  <c:v>55.8</c:v>
                </c:pt>
                <c:pt idx="94">
                  <c:v>45</c:v>
                </c:pt>
                <c:pt idx="95">
                  <c:v>55.8</c:v>
                </c:pt>
                <c:pt idx="96">
                  <c:v>55.7</c:v>
                </c:pt>
                <c:pt idx="97">
                  <c:v>58.5</c:v>
                </c:pt>
                <c:pt idx="98">
                  <c:v>55.9</c:v>
                </c:pt>
                <c:pt idx="99">
                  <c:v>73</c:v>
                </c:pt>
                <c:pt idx="100">
                  <c:v>53.1</c:v>
                </c:pt>
                <c:pt idx="101">
                  <c:v>52.3</c:v>
                </c:pt>
                <c:pt idx="102">
                  <c:v>53.4</c:v>
                </c:pt>
                <c:pt idx="103">
                  <c:v>51.2</c:v>
                </c:pt>
                <c:pt idx="104">
                  <c:v>43</c:v>
                </c:pt>
                <c:pt idx="105">
                  <c:v>40</c:v>
                </c:pt>
                <c:pt idx="106">
                  <c:v>47.2</c:v>
                </c:pt>
                <c:pt idx="107">
                  <c:v>41.7</c:v>
                </c:pt>
                <c:pt idx="108">
                  <c:v>65.2</c:v>
                </c:pt>
                <c:pt idx="109">
                  <c:v>67.2</c:v>
                </c:pt>
                <c:pt idx="110">
                  <c:v>61.1</c:v>
                </c:pt>
                <c:pt idx="111">
                  <c:v>58.3</c:v>
                </c:pt>
                <c:pt idx="112">
                  <c:v>62.9</c:v>
                </c:pt>
                <c:pt idx="113">
                  <c:v>58.8</c:v>
                </c:pt>
                <c:pt idx="114">
                  <c:v>56.6</c:v>
                </c:pt>
                <c:pt idx="115">
                  <c:v>54.6</c:v>
                </c:pt>
                <c:pt idx="116">
                  <c:v>49.7</c:v>
                </c:pt>
                <c:pt idx="117">
                  <c:v>57.7</c:v>
                </c:pt>
                <c:pt idx="118">
                  <c:v>57</c:v>
                </c:pt>
                <c:pt idx="119">
                  <c:v>55.9</c:v>
                </c:pt>
                <c:pt idx="120">
                  <c:v>42.8</c:v>
                </c:pt>
                <c:pt idx="121">
                  <c:v>49.1</c:v>
                </c:pt>
                <c:pt idx="122">
                  <c:v>50.1</c:v>
                </c:pt>
                <c:pt idx="123">
                  <c:v>49.8</c:v>
                </c:pt>
                <c:pt idx="124">
                  <c:v>50</c:v>
                </c:pt>
                <c:pt idx="125">
                  <c:v>64.8</c:v>
                </c:pt>
                <c:pt idx="126">
                  <c:v>56</c:v>
                </c:pt>
                <c:pt idx="127">
                  <c:v>53.3</c:v>
                </c:pt>
                <c:pt idx="128">
                  <c:v>53.4</c:v>
                </c:pt>
                <c:pt idx="129">
                  <c:v>55.2</c:v>
                </c:pt>
                <c:pt idx="130">
                  <c:v>51.3</c:v>
                </c:pt>
                <c:pt idx="131">
                  <c:v>56.7</c:v>
                </c:pt>
                <c:pt idx="132">
                  <c:v>60.8</c:v>
                </c:pt>
                <c:pt idx="133">
                  <c:v>50.1</c:v>
                </c:pt>
                <c:pt idx="134">
                  <c:v>49.3</c:v>
                </c:pt>
                <c:pt idx="135">
                  <c:v>54</c:v>
                </c:pt>
                <c:pt idx="136">
                  <c:v>57.9</c:v>
                </c:pt>
                <c:pt idx="137">
                  <c:v>61</c:v>
                </c:pt>
                <c:pt idx="138">
                  <c:v>52.2</c:v>
                </c:pt>
                <c:pt idx="139">
                  <c:v>49.2</c:v>
                </c:pt>
                <c:pt idx="140">
                  <c:v>55.8</c:v>
                </c:pt>
                <c:pt idx="141">
                  <c:v>47.3</c:v>
                </c:pt>
                <c:pt idx="142">
                  <c:v>58.1</c:v>
                </c:pt>
                <c:pt idx="143">
                  <c:v>61.1</c:v>
                </c:pt>
                <c:pt idx="144">
                  <c:v>60.6</c:v>
                </c:pt>
                <c:pt idx="145">
                  <c:v>59.2</c:v>
                </c:pt>
                <c:pt idx="146">
                  <c:v>75.099999999999994</c:v>
                </c:pt>
                <c:pt idx="147">
                  <c:v>57.4</c:v>
                </c:pt>
                <c:pt idx="148">
                  <c:v>55.9</c:v>
                </c:pt>
                <c:pt idx="149">
                  <c:v>58.3</c:v>
                </c:pt>
                <c:pt idx="150">
                  <c:v>54.2</c:v>
                </c:pt>
                <c:pt idx="151">
                  <c:v>48</c:v>
                </c:pt>
                <c:pt idx="152">
                  <c:v>44.8</c:v>
                </c:pt>
                <c:pt idx="153">
                  <c:v>51.5</c:v>
                </c:pt>
                <c:pt idx="154">
                  <c:v>46.5</c:v>
                </c:pt>
                <c:pt idx="155">
                  <c:v>67.5</c:v>
                </c:pt>
                <c:pt idx="156">
                  <c:v>69.099999999999994</c:v>
                </c:pt>
                <c:pt idx="157">
                  <c:v>65.400000000000006</c:v>
                </c:pt>
                <c:pt idx="158">
                  <c:v>64.2</c:v>
                </c:pt>
                <c:pt idx="159">
                  <c:v>64.5</c:v>
                </c:pt>
                <c:pt idx="160">
                  <c:v>61.4</c:v>
                </c:pt>
                <c:pt idx="161">
                  <c:v>63.4</c:v>
                </c:pt>
                <c:pt idx="162">
                  <c:v>56.5</c:v>
                </c:pt>
                <c:pt idx="163">
                  <c:v>53.1</c:v>
                </c:pt>
                <c:pt idx="164">
                  <c:v>60.4</c:v>
                </c:pt>
                <c:pt idx="165">
                  <c:v>62.2</c:v>
                </c:pt>
                <c:pt idx="166">
                  <c:v>58.6</c:v>
                </c:pt>
                <c:pt idx="167">
                  <c:v>46.8</c:v>
                </c:pt>
                <c:pt idx="168">
                  <c:v>54</c:v>
                </c:pt>
                <c:pt idx="169">
                  <c:v>54.7</c:v>
                </c:pt>
                <c:pt idx="170">
                  <c:v>53.8</c:v>
                </c:pt>
                <c:pt idx="171">
                  <c:v>55.5</c:v>
                </c:pt>
                <c:pt idx="172">
                  <c:v>66.8</c:v>
                </c:pt>
                <c:pt idx="173">
                  <c:v>57.9</c:v>
                </c:pt>
                <c:pt idx="174">
                  <c:v>56.2</c:v>
                </c:pt>
                <c:pt idx="175">
                  <c:v>55.2</c:v>
                </c:pt>
                <c:pt idx="176">
                  <c:v>54.4</c:v>
                </c:pt>
                <c:pt idx="177">
                  <c:v>54.7</c:v>
                </c:pt>
                <c:pt idx="178">
                  <c:v>59.2</c:v>
                </c:pt>
                <c:pt idx="179">
                  <c:v>61.5</c:v>
                </c:pt>
                <c:pt idx="180">
                  <c:v>52.3</c:v>
                </c:pt>
                <c:pt idx="181">
                  <c:v>55.6</c:v>
                </c:pt>
                <c:pt idx="182">
                  <c:v>55.8</c:v>
                </c:pt>
                <c:pt idx="183">
                  <c:v>62</c:v>
                </c:pt>
                <c:pt idx="184">
                  <c:v>64.900000000000006</c:v>
                </c:pt>
                <c:pt idx="185">
                  <c:v>55.9</c:v>
                </c:pt>
                <c:pt idx="186">
                  <c:v>49</c:v>
                </c:pt>
                <c:pt idx="187">
                  <c:v>57.8</c:v>
                </c:pt>
                <c:pt idx="188">
                  <c:v>49.1</c:v>
                </c:pt>
                <c:pt idx="189">
                  <c:v>61.1</c:v>
                </c:pt>
                <c:pt idx="190">
                  <c:v>62.5</c:v>
                </c:pt>
                <c:pt idx="191">
                  <c:v>64.400000000000006</c:v>
                </c:pt>
                <c:pt idx="192">
                  <c:v>61.2</c:v>
                </c:pt>
                <c:pt idx="193">
                  <c:v>77.3</c:v>
                </c:pt>
                <c:pt idx="194">
                  <c:v>58.2</c:v>
                </c:pt>
                <c:pt idx="195">
                  <c:v>55.5</c:v>
                </c:pt>
                <c:pt idx="196">
                  <c:v>61</c:v>
                </c:pt>
                <c:pt idx="197">
                  <c:v>55.2</c:v>
                </c:pt>
                <c:pt idx="198">
                  <c:v>49.8</c:v>
                </c:pt>
                <c:pt idx="199">
                  <c:v>46.9</c:v>
                </c:pt>
                <c:pt idx="200">
                  <c:v>53.1</c:v>
                </c:pt>
                <c:pt idx="201">
                  <c:v>48.2</c:v>
                </c:pt>
                <c:pt idx="202">
                  <c:v>69.900000000000006</c:v>
                </c:pt>
                <c:pt idx="203">
                  <c:v>71.8</c:v>
                </c:pt>
                <c:pt idx="204">
                  <c:v>66.599999999999994</c:v>
                </c:pt>
                <c:pt idx="205">
                  <c:v>65.400000000000006</c:v>
                </c:pt>
                <c:pt idx="206">
                  <c:v>67.8</c:v>
                </c:pt>
                <c:pt idx="207">
                  <c:v>64</c:v>
                </c:pt>
                <c:pt idx="208">
                  <c:v>64.8</c:v>
                </c:pt>
                <c:pt idx="209">
                  <c:v>59.4</c:v>
                </c:pt>
                <c:pt idx="210">
                  <c:v>55.8</c:v>
                </c:pt>
                <c:pt idx="211">
                  <c:v>64.400000000000006</c:v>
                </c:pt>
                <c:pt idx="212">
                  <c:v>61.9</c:v>
                </c:pt>
                <c:pt idx="213">
                  <c:v>60.9</c:v>
                </c:pt>
                <c:pt idx="214">
                  <c:v>49.8</c:v>
                </c:pt>
                <c:pt idx="215">
                  <c:v>56.6</c:v>
                </c:pt>
                <c:pt idx="216">
                  <c:v>56.8</c:v>
                </c:pt>
                <c:pt idx="217">
                  <c:v>56.3</c:v>
                </c:pt>
                <c:pt idx="218">
                  <c:v>57.1</c:v>
                </c:pt>
                <c:pt idx="219">
                  <c:v>70.8</c:v>
                </c:pt>
                <c:pt idx="220">
                  <c:v>63.7</c:v>
                </c:pt>
                <c:pt idx="221">
                  <c:v>57.3</c:v>
                </c:pt>
                <c:pt idx="222">
                  <c:v>57</c:v>
                </c:pt>
                <c:pt idx="223">
                  <c:v>55.1</c:v>
                </c:pt>
                <c:pt idx="224">
                  <c:v>54.1</c:v>
                </c:pt>
                <c:pt idx="225">
                  <c:v>61.4</c:v>
                </c:pt>
                <c:pt idx="226">
                  <c:v>66.099999999999994</c:v>
                </c:pt>
                <c:pt idx="227">
                  <c:v>55.4</c:v>
                </c:pt>
                <c:pt idx="228">
                  <c:v>58.9</c:v>
                </c:pt>
                <c:pt idx="229">
                  <c:v>57.7</c:v>
                </c:pt>
                <c:pt idx="230">
                  <c:v>62.1</c:v>
                </c:pt>
                <c:pt idx="231">
                  <c:v>65.5</c:v>
                </c:pt>
                <c:pt idx="232">
                  <c:v>56.6</c:v>
                </c:pt>
                <c:pt idx="233">
                  <c:v>55.1</c:v>
                </c:pt>
                <c:pt idx="234">
                  <c:v>60.1</c:v>
                </c:pt>
                <c:pt idx="235">
                  <c:v>53.5</c:v>
                </c:pt>
                <c:pt idx="236">
                  <c:v>61.4</c:v>
                </c:pt>
                <c:pt idx="237">
                  <c:v>63.7</c:v>
                </c:pt>
                <c:pt idx="238">
                  <c:v>64.099999999999994</c:v>
                </c:pt>
                <c:pt idx="239">
                  <c:v>62.9</c:v>
                </c:pt>
                <c:pt idx="240">
                  <c:v>77.900000000000006</c:v>
                </c:pt>
                <c:pt idx="241">
                  <c:v>59.8</c:v>
                </c:pt>
                <c:pt idx="242">
                  <c:v>55.7</c:v>
                </c:pt>
                <c:pt idx="243">
                  <c:v>61.7</c:v>
                </c:pt>
                <c:pt idx="244">
                  <c:v>55.5</c:v>
                </c:pt>
                <c:pt idx="245">
                  <c:v>48.1</c:v>
                </c:pt>
                <c:pt idx="246">
                  <c:v>47.7</c:v>
                </c:pt>
                <c:pt idx="247">
                  <c:v>53.8</c:v>
                </c:pt>
                <c:pt idx="248">
                  <c:v>48.2</c:v>
                </c:pt>
                <c:pt idx="249">
                  <c:v>70.400000000000006</c:v>
                </c:pt>
                <c:pt idx="250">
                  <c:v>72.3</c:v>
                </c:pt>
                <c:pt idx="251">
                  <c:v>67</c:v>
                </c:pt>
                <c:pt idx="252">
                  <c:v>67.599999999999994</c:v>
                </c:pt>
                <c:pt idx="253">
                  <c:v>69</c:v>
                </c:pt>
                <c:pt idx="254">
                  <c:v>64.5</c:v>
                </c:pt>
                <c:pt idx="255">
                  <c:v>65.5</c:v>
                </c:pt>
                <c:pt idx="256">
                  <c:v>59.7</c:v>
                </c:pt>
                <c:pt idx="257">
                  <c:v>57</c:v>
                </c:pt>
                <c:pt idx="258">
                  <c:v>64.599999999999994</c:v>
                </c:pt>
                <c:pt idx="259">
                  <c:v>62.6</c:v>
                </c:pt>
                <c:pt idx="260">
                  <c:v>62.8</c:v>
                </c:pt>
                <c:pt idx="261">
                  <c:v>50.2</c:v>
                </c:pt>
                <c:pt idx="262">
                  <c:v>56.8</c:v>
                </c:pt>
                <c:pt idx="263">
                  <c:v>56.3</c:v>
                </c:pt>
                <c:pt idx="264">
                  <c:v>57.5</c:v>
                </c:pt>
                <c:pt idx="265">
                  <c:v>58</c:v>
                </c:pt>
                <c:pt idx="266">
                  <c:v>71.5</c:v>
                </c:pt>
                <c:pt idx="267">
                  <c:v>65</c:v>
                </c:pt>
                <c:pt idx="268">
                  <c:v>59.3</c:v>
                </c:pt>
                <c:pt idx="269">
                  <c:v>57.1</c:v>
                </c:pt>
                <c:pt idx="270">
                  <c:v>57</c:v>
                </c:pt>
                <c:pt idx="271">
                  <c:v>55</c:v>
                </c:pt>
                <c:pt idx="272">
                  <c:v>63</c:v>
                </c:pt>
                <c:pt idx="273">
                  <c:v>68</c:v>
                </c:pt>
                <c:pt idx="274">
                  <c:v>57.9</c:v>
                </c:pt>
                <c:pt idx="275">
                  <c:v>58.9</c:v>
                </c:pt>
                <c:pt idx="276">
                  <c:v>59.3</c:v>
                </c:pt>
                <c:pt idx="277">
                  <c:v>64.099999999999994</c:v>
                </c:pt>
                <c:pt idx="278">
                  <c:v>66.599999999999994</c:v>
                </c:pt>
                <c:pt idx="279">
                  <c:v>60.1</c:v>
                </c:pt>
                <c:pt idx="280">
                  <c:v>51.6</c:v>
                </c:pt>
                <c:pt idx="281">
                  <c:v>60.2</c:v>
                </c:pt>
              </c:numCache>
            </c:numRef>
          </c:xVal>
          <c:yVal>
            <c:numRef>
              <c:f>インセンティブ実施率!$S$2:$S$283</c:f>
              <c:numCache>
                <c:formatCode>#,##0.00_);[Red]\(#,##0.00\)</c:formatCode>
                <c:ptCount val="282"/>
                <c:pt idx="0">
                  <c:v>200328.13842484597</c:v>
                </c:pt>
                <c:pt idx="1">
                  <c:v>183584.04864537908</c:v>
                </c:pt>
                <c:pt idx="2">
                  <c:v>180918.61114933717</c:v>
                </c:pt>
                <c:pt idx="3">
                  <c:v>186421.82995245687</c:v>
                </c:pt>
                <c:pt idx="4">
                  <c:v>201895.20689506727</c:v>
                </c:pt>
                <c:pt idx="5">
                  <c:v>187418.28125584536</c:v>
                </c:pt>
                <c:pt idx="6">
                  <c:v>180158.69527141209</c:v>
                </c:pt>
                <c:pt idx="7">
                  <c:v>173353.01744875067</c:v>
                </c:pt>
                <c:pt idx="8">
                  <c:v>177157.54360052946</c:v>
                </c:pt>
                <c:pt idx="9">
                  <c:v>174276.51116383472</c:v>
                </c:pt>
                <c:pt idx="10">
                  <c:v>173420.95145355331</c:v>
                </c:pt>
                <c:pt idx="11">
                  <c:v>176894.05828610004</c:v>
                </c:pt>
                <c:pt idx="12">
                  <c:v>176545.57551723442</c:v>
                </c:pt>
                <c:pt idx="13">
                  <c:v>180117.83674599064</c:v>
                </c:pt>
                <c:pt idx="14">
                  <c:v>170367.91597181055</c:v>
                </c:pt>
                <c:pt idx="15">
                  <c:v>170325.99193442581</c:v>
                </c:pt>
                <c:pt idx="16">
                  <c:v>181402.31947230172</c:v>
                </c:pt>
                <c:pt idx="17">
                  <c:v>181296.40741054088</c:v>
                </c:pt>
                <c:pt idx="18">
                  <c:v>178931.18880099157</c:v>
                </c:pt>
                <c:pt idx="19">
                  <c:v>169786.52025813877</c:v>
                </c:pt>
                <c:pt idx="20">
                  <c:v>176404.28461893514</c:v>
                </c:pt>
                <c:pt idx="21">
                  <c:v>172633.80306953381</c:v>
                </c:pt>
                <c:pt idx="22">
                  <c:v>170814.24731478363</c:v>
                </c:pt>
                <c:pt idx="23">
                  <c:v>172643.04111975271</c:v>
                </c:pt>
                <c:pt idx="24">
                  <c:v>171754.93009281764</c:v>
                </c:pt>
                <c:pt idx="25">
                  <c:v>178716.02920727149</c:v>
                </c:pt>
                <c:pt idx="26">
                  <c:v>183788.60682368971</c:v>
                </c:pt>
                <c:pt idx="27">
                  <c:v>184724.16701878709</c:v>
                </c:pt>
                <c:pt idx="28">
                  <c:v>182840.59223571353</c:v>
                </c:pt>
                <c:pt idx="29">
                  <c:v>183371.94580241051</c:v>
                </c:pt>
                <c:pt idx="30">
                  <c:v>181725.81351979548</c:v>
                </c:pt>
                <c:pt idx="31">
                  <c:v>190952.64818458547</c:v>
                </c:pt>
                <c:pt idx="32">
                  <c:v>184222.41536567989</c:v>
                </c:pt>
                <c:pt idx="33">
                  <c:v>179985.23712391782</c:v>
                </c:pt>
                <c:pt idx="34">
                  <c:v>193592.0551324648</c:v>
                </c:pt>
                <c:pt idx="35">
                  <c:v>192780.49415141111</c:v>
                </c:pt>
                <c:pt idx="36">
                  <c:v>193134.58339845942</c:v>
                </c:pt>
                <c:pt idx="37">
                  <c:v>181011.61724346422</c:v>
                </c:pt>
                <c:pt idx="38">
                  <c:v>190854.86843351729</c:v>
                </c:pt>
                <c:pt idx="39">
                  <c:v>189417.2768334462</c:v>
                </c:pt>
                <c:pt idx="40">
                  <c:v>207176.4795478571</c:v>
                </c:pt>
                <c:pt idx="41">
                  <c:v>191730.31889642507</c:v>
                </c:pt>
                <c:pt idx="42">
                  <c:v>190212.85398978565</c:v>
                </c:pt>
                <c:pt idx="43">
                  <c:v>191844.31184673926</c:v>
                </c:pt>
                <c:pt idx="44">
                  <c:v>179166.35188839215</c:v>
                </c:pt>
                <c:pt idx="45">
                  <c:v>186343.54741803173</c:v>
                </c:pt>
                <c:pt idx="46">
                  <c:v>168307.87574352816</c:v>
                </c:pt>
                <c:pt idx="47">
                  <c:v>206677.6315571031</c:v>
                </c:pt>
                <c:pt idx="48">
                  <c:v>189846.65329006984</c:v>
                </c:pt>
                <c:pt idx="49">
                  <c:v>186056.8040524417</c:v>
                </c:pt>
                <c:pt idx="50">
                  <c:v>191227.3832113196</c:v>
                </c:pt>
                <c:pt idx="51">
                  <c:v>207061.34730914974</c:v>
                </c:pt>
                <c:pt idx="52">
                  <c:v>194064.71194683528</c:v>
                </c:pt>
                <c:pt idx="53">
                  <c:v>184276.21052165932</c:v>
                </c:pt>
                <c:pt idx="54">
                  <c:v>178153.10884976777</c:v>
                </c:pt>
                <c:pt idx="55">
                  <c:v>182310.95722036145</c:v>
                </c:pt>
                <c:pt idx="56">
                  <c:v>176581.3153635877</c:v>
                </c:pt>
                <c:pt idx="57">
                  <c:v>177218.73988704546</c:v>
                </c:pt>
                <c:pt idx="58">
                  <c:v>181356.26460835992</c:v>
                </c:pt>
                <c:pt idx="59">
                  <c:v>177350.19285018565</c:v>
                </c:pt>
                <c:pt idx="60">
                  <c:v>185918.24748797098</c:v>
                </c:pt>
                <c:pt idx="61">
                  <c:v>174138.30824651546</c:v>
                </c:pt>
                <c:pt idx="62">
                  <c:v>175833.75119391939</c:v>
                </c:pt>
                <c:pt idx="63">
                  <c:v>187098.49864819704</c:v>
                </c:pt>
                <c:pt idx="64">
                  <c:v>186395.32620019629</c:v>
                </c:pt>
                <c:pt idx="65">
                  <c:v>183950.46138953636</c:v>
                </c:pt>
                <c:pt idx="66">
                  <c:v>175086.42900908669</c:v>
                </c:pt>
                <c:pt idx="67">
                  <c:v>179707.57664784518</c:v>
                </c:pt>
                <c:pt idx="68">
                  <c:v>176994.79493686129</c:v>
                </c:pt>
                <c:pt idx="69">
                  <c:v>175111.96268022194</c:v>
                </c:pt>
                <c:pt idx="70">
                  <c:v>178412.0308486252</c:v>
                </c:pt>
                <c:pt idx="71">
                  <c:v>177059.56208009861</c:v>
                </c:pt>
                <c:pt idx="72">
                  <c:v>184384.89941114202</c:v>
                </c:pt>
                <c:pt idx="73">
                  <c:v>188847.58393137722</c:v>
                </c:pt>
                <c:pt idx="74">
                  <c:v>191287.69835882148</c:v>
                </c:pt>
                <c:pt idx="75">
                  <c:v>186904.80183241484</c:v>
                </c:pt>
                <c:pt idx="76">
                  <c:v>189429.71270895549</c:v>
                </c:pt>
                <c:pt idx="77">
                  <c:v>187029.3450560343</c:v>
                </c:pt>
                <c:pt idx="78">
                  <c:v>197446.37939856816</c:v>
                </c:pt>
                <c:pt idx="79">
                  <c:v>190069.56944656544</c:v>
                </c:pt>
                <c:pt idx="80">
                  <c:v>185389.16310094635</c:v>
                </c:pt>
                <c:pt idx="81">
                  <c:v>198520.92025315491</c:v>
                </c:pt>
                <c:pt idx="82">
                  <c:v>198586.0953740768</c:v>
                </c:pt>
                <c:pt idx="83">
                  <c:v>197805.98896808454</c:v>
                </c:pt>
                <c:pt idx="84">
                  <c:v>188510.8979890036</c:v>
                </c:pt>
                <c:pt idx="85">
                  <c:v>194340.71434730245</c:v>
                </c:pt>
                <c:pt idx="86">
                  <c:v>193249.30595098776</c:v>
                </c:pt>
                <c:pt idx="87">
                  <c:v>212575.55967476653</c:v>
                </c:pt>
                <c:pt idx="88">
                  <c:v>199743.72159430684</c:v>
                </c:pt>
                <c:pt idx="89">
                  <c:v>195351.55184150254</c:v>
                </c:pt>
                <c:pt idx="90">
                  <c:v>198577.17468236946</c:v>
                </c:pt>
                <c:pt idx="91">
                  <c:v>184653.09953358182</c:v>
                </c:pt>
                <c:pt idx="92">
                  <c:v>193541.71094605493</c:v>
                </c:pt>
                <c:pt idx="93">
                  <c:v>174452.28824652854</c:v>
                </c:pt>
                <c:pt idx="94">
                  <c:v>201779.85276831497</c:v>
                </c:pt>
                <c:pt idx="95">
                  <c:v>186476.73692133275</c:v>
                </c:pt>
                <c:pt idx="96">
                  <c:v>184277.74111695637</c:v>
                </c:pt>
                <c:pt idx="97">
                  <c:v>188766.56856061661</c:v>
                </c:pt>
                <c:pt idx="98">
                  <c:v>205305.14695259108</c:v>
                </c:pt>
                <c:pt idx="99">
                  <c:v>188703.94778775101</c:v>
                </c:pt>
                <c:pt idx="100">
                  <c:v>179237.44964058357</c:v>
                </c:pt>
                <c:pt idx="101">
                  <c:v>174142.73435449944</c:v>
                </c:pt>
                <c:pt idx="102">
                  <c:v>178606.3397000047</c:v>
                </c:pt>
                <c:pt idx="103">
                  <c:v>172839.12903544682</c:v>
                </c:pt>
                <c:pt idx="104">
                  <c:v>172250.86326253632</c:v>
                </c:pt>
                <c:pt idx="105">
                  <c:v>176096.2851709199</c:v>
                </c:pt>
                <c:pt idx="106">
                  <c:v>170452.42555604773</c:v>
                </c:pt>
                <c:pt idx="107">
                  <c:v>179204.60536641101</c:v>
                </c:pt>
                <c:pt idx="108">
                  <c:v>169496.80148399557</c:v>
                </c:pt>
                <c:pt idx="109">
                  <c:v>169711.22740488642</c:v>
                </c:pt>
                <c:pt idx="110">
                  <c:v>177989.48959386049</c:v>
                </c:pt>
                <c:pt idx="111">
                  <c:v>181135.96771392273</c:v>
                </c:pt>
                <c:pt idx="112">
                  <c:v>177920.46185129209</c:v>
                </c:pt>
                <c:pt idx="113">
                  <c:v>170560.87995150845</c:v>
                </c:pt>
                <c:pt idx="114">
                  <c:v>175296.53302120644</c:v>
                </c:pt>
                <c:pt idx="115">
                  <c:v>173048.36501810016</c:v>
                </c:pt>
                <c:pt idx="116">
                  <c:v>170836.11075319292</c:v>
                </c:pt>
                <c:pt idx="117">
                  <c:v>174292.31664723856</c:v>
                </c:pt>
                <c:pt idx="118">
                  <c:v>171105.42465278597</c:v>
                </c:pt>
                <c:pt idx="119">
                  <c:v>176860.22962917085</c:v>
                </c:pt>
                <c:pt idx="120">
                  <c:v>182938.22487882388</c:v>
                </c:pt>
                <c:pt idx="121">
                  <c:v>184056.00019816781</c:v>
                </c:pt>
                <c:pt idx="122">
                  <c:v>181182.18992287203</c:v>
                </c:pt>
                <c:pt idx="123">
                  <c:v>185646.29576305259</c:v>
                </c:pt>
                <c:pt idx="124">
                  <c:v>182258.88927513617</c:v>
                </c:pt>
                <c:pt idx="125">
                  <c:v>193728.08019212785</c:v>
                </c:pt>
                <c:pt idx="126">
                  <c:v>184030.72480536797</c:v>
                </c:pt>
                <c:pt idx="127">
                  <c:v>180342.75194049408</c:v>
                </c:pt>
                <c:pt idx="128">
                  <c:v>192505.99990229559</c:v>
                </c:pt>
                <c:pt idx="129">
                  <c:v>195294.90358463195</c:v>
                </c:pt>
                <c:pt idx="130">
                  <c:v>192253.58157314124</c:v>
                </c:pt>
                <c:pt idx="131">
                  <c:v>183392.76574427134</c:v>
                </c:pt>
                <c:pt idx="132">
                  <c:v>191287.67498242331</c:v>
                </c:pt>
                <c:pt idx="133">
                  <c:v>187248.78203292005</c:v>
                </c:pt>
                <c:pt idx="134">
                  <c:v>210045.96519033753</c:v>
                </c:pt>
                <c:pt idx="135">
                  <c:v>195730.18160843127</c:v>
                </c:pt>
                <c:pt idx="136">
                  <c:v>193039.57843833609</c:v>
                </c:pt>
                <c:pt idx="137">
                  <c:v>196396.94376934692</c:v>
                </c:pt>
                <c:pt idx="138">
                  <c:v>182343.1636382693</c:v>
                </c:pt>
                <c:pt idx="139">
                  <c:v>192076.77866897776</c:v>
                </c:pt>
                <c:pt idx="140">
                  <c:v>169757.52900286624</c:v>
                </c:pt>
                <c:pt idx="141">
                  <c:v>214201.03379849542</c:v>
                </c:pt>
                <c:pt idx="142">
                  <c:v>197551.19607369578</c:v>
                </c:pt>
                <c:pt idx="143">
                  <c:v>195313.92574063851</c:v>
                </c:pt>
                <c:pt idx="144">
                  <c:v>200635.4121696669</c:v>
                </c:pt>
                <c:pt idx="145">
                  <c:v>214586.19449065934</c:v>
                </c:pt>
                <c:pt idx="146">
                  <c:v>203167.74811212294</c:v>
                </c:pt>
                <c:pt idx="147">
                  <c:v>191405.86110114492</c:v>
                </c:pt>
                <c:pt idx="148">
                  <c:v>187490.09944794117</c:v>
                </c:pt>
                <c:pt idx="149">
                  <c:v>193394.47630625346</c:v>
                </c:pt>
                <c:pt idx="150">
                  <c:v>186282.60879277127</c:v>
                </c:pt>
                <c:pt idx="151">
                  <c:v>187685.77460819634</c:v>
                </c:pt>
                <c:pt idx="152">
                  <c:v>191447.10265730775</c:v>
                </c:pt>
                <c:pt idx="153">
                  <c:v>187455.31820223358</c:v>
                </c:pt>
                <c:pt idx="154">
                  <c:v>197032.73260335045</c:v>
                </c:pt>
                <c:pt idx="155">
                  <c:v>179616.25681622361</c:v>
                </c:pt>
                <c:pt idx="156">
                  <c:v>182297.11008330926</c:v>
                </c:pt>
                <c:pt idx="157">
                  <c:v>189766.62120727726</c:v>
                </c:pt>
                <c:pt idx="158">
                  <c:v>194930.49746844184</c:v>
                </c:pt>
                <c:pt idx="159">
                  <c:v>191443.46399855166</c:v>
                </c:pt>
                <c:pt idx="160">
                  <c:v>181814.61623640591</c:v>
                </c:pt>
                <c:pt idx="161">
                  <c:v>189228.63587666443</c:v>
                </c:pt>
                <c:pt idx="162">
                  <c:v>186607.23975035688</c:v>
                </c:pt>
                <c:pt idx="163">
                  <c:v>186268.2521704449</c:v>
                </c:pt>
                <c:pt idx="164">
                  <c:v>187605.42564312383</c:v>
                </c:pt>
                <c:pt idx="165">
                  <c:v>182745.69840647595</c:v>
                </c:pt>
                <c:pt idx="166">
                  <c:v>193793.01182564491</c:v>
                </c:pt>
                <c:pt idx="167">
                  <c:v>198436.29911134421</c:v>
                </c:pt>
                <c:pt idx="168">
                  <c:v>199942.74121024535</c:v>
                </c:pt>
                <c:pt idx="169">
                  <c:v>197718.85617719358</c:v>
                </c:pt>
                <c:pt idx="170">
                  <c:v>197179.92075310633</c:v>
                </c:pt>
                <c:pt idx="171">
                  <c:v>193058.5964786603</c:v>
                </c:pt>
                <c:pt idx="172">
                  <c:v>207243.06699811883</c:v>
                </c:pt>
                <c:pt idx="173">
                  <c:v>196052.46030116928</c:v>
                </c:pt>
                <c:pt idx="174">
                  <c:v>191698.3043214636</c:v>
                </c:pt>
                <c:pt idx="175">
                  <c:v>203338.08524527066</c:v>
                </c:pt>
                <c:pt idx="176">
                  <c:v>206379.37200081348</c:v>
                </c:pt>
                <c:pt idx="177">
                  <c:v>206185.00631486255</c:v>
                </c:pt>
                <c:pt idx="178">
                  <c:v>194478.96983857427</c:v>
                </c:pt>
                <c:pt idx="179">
                  <c:v>202024.69719552074</c:v>
                </c:pt>
                <c:pt idx="180">
                  <c:v>202677.73248875231</c:v>
                </c:pt>
                <c:pt idx="181">
                  <c:v>219653.74225122901</c:v>
                </c:pt>
                <c:pt idx="182">
                  <c:v>207094.84255839465</c:v>
                </c:pt>
                <c:pt idx="183">
                  <c:v>205635.74856654732</c:v>
                </c:pt>
                <c:pt idx="184">
                  <c:v>208218.40972588546</c:v>
                </c:pt>
                <c:pt idx="185">
                  <c:v>191813.96469807721</c:v>
                </c:pt>
                <c:pt idx="186">
                  <c:v>203290.96377522318</c:v>
                </c:pt>
                <c:pt idx="187">
                  <c:v>182627.12335706476</c:v>
                </c:pt>
                <c:pt idx="188">
                  <c:v>223683.67052101242</c:v>
                </c:pt>
                <c:pt idx="189">
                  <c:v>204424.68811193682</c:v>
                </c:pt>
                <c:pt idx="190">
                  <c:v>204937.65857043394</c:v>
                </c:pt>
                <c:pt idx="191">
                  <c:v>211072.98510298607</c:v>
                </c:pt>
                <c:pt idx="192">
                  <c:v>224344.69228145332</c:v>
                </c:pt>
                <c:pt idx="193">
                  <c:v>213688.41611708404</c:v>
                </c:pt>
                <c:pt idx="194">
                  <c:v>202444.13161993379</c:v>
                </c:pt>
                <c:pt idx="195">
                  <c:v>195546.09505787183</c:v>
                </c:pt>
                <c:pt idx="196">
                  <c:v>200987.9216050363</c:v>
                </c:pt>
                <c:pt idx="197">
                  <c:v>196137.66709101881</c:v>
                </c:pt>
                <c:pt idx="198">
                  <c:v>194767.42204633687</c:v>
                </c:pt>
                <c:pt idx="199">
                  <c:v>197550.82893746867</c:v>
                </c:pt>
                <c:pt idx="200">
                  <c:v>194926.06937838637</c:v>
                </c:pt>
                <c:pt idx="201">
                  <c:v>204398.69900130463</c:v>
                </c:pt>
                <c:pt idx="202">
                  <c:v>189541.81277244192</c:v>
                </c:pt>
                <c:pt idx="203">
                  <c:v>192009.48317475227</c:v>
                </c:pt>
                <c:pt idx="204">
                  <c:v>201160.85275436271</c:v>
                </c:pt>
                <c:pt idx="205">
                  <c:v>207921.67128944545</c:v>
                </c:pt>
                <c:pt idx="206">
                  <c:v>203272.12504186432</c:v>
                </c:pt>
                <c:pt idx="207">
                  <c:v>192175.26770484771</c:v>
                </c:pt>
                <c:pt idx="208">
                  <c:v>200314.84830477173</c:v>
                </c:pt>
                <c:pt idx="209">
                  <c:v>196994.81664767451</c:v>
                </c:pt>
                <c:pt idx="210">
                  <c:v>196469.23275248753</c:v>
                </c:pt>
                <c:pt idx="211">
                  <c:v>199775.87256418934</c:v>
                </c:pt>
                <c:pt idx="212">
                  <c:v>194853.59564442595</c:v>
                </c:pt>
                <c:pt idx="213">
                  <c:v>203866.04762333454</c:v>
                </c:pt>
                <c:pt idx="214">
                  <c:v>209387.59976174269</c:v>
                </c:pt>
                <c:pt idx="215">
                  <c:v>209710.59118505323</c:v>
                </c:pt>
                <c:pt idx="216">
                  <c:v>209265.95605666935</c:v>
                </c:pt>
                <c:pt idx="217">
                  <c:v>208524.32110081281</c:v>
                </c:pt>
                <c:pt idx="218">
                  <c:v>201013.69902847361</c:v>
                </c:pt>
                <c:pt idx="219">
                  <c:v>216228.06992751776</c:v>
                </c:pt>
                <c:pt idx="220">
                  <c:v>205803.50675242062</c:v>
                </c:pt>
                <c:pt idx="221">
                  <c:v>202506.0493687554</c:v>
                </c:pt>
                <c:pt idx="222">
                  <c:v>216411.32898266896</c:v>
                </c:pt>
                <c:pt idx="223">
                  <c:v>218293.4527376231</c:v>
                </c:pt>
                <c:pt idx="224">
                  <c:v>217238.85697369103</c:v>
                </c:pt>
                <c:pt idx="225">
                  <c:v>206133.91518794617</c:v>
                </c:pt>
                <c:pt idx="226">
                  <c:v>210485.54130011614</c:v>
                </c:pt>
                <c:pt idx="227">
                  <c:v>214331.24552119809</c:v>
                </c:pt>
                <c:pt idx="228">
                  <c:v>234186.97758294203</c:v>
                </c:pt>
                <c:pt idx="229">
                  <c:v>219595.3632123977</c:v>
                </c:pt>
                <c:pt idx="230">
                  <c:v>217907.64875285586</c:v>
                </c:pt>
                <c:pt idx="231">
                  <c:v>220513.48634695142</c:v>
                </c:pt>
                <c:pt idx="232">
                  <c:v>206090.68991486172</c:v>
                </c:pt>
                <c:pt idx="233">
                  <c:v>215188.84971442743</c:v>
                </c:pt>
                <c:pt idx="234">
                  <c:v>189357.27507801124</c:v>
                </c:pt>
                <c:pt idx="235">
                  <c:v>232288.06371134004</c:v>
                </c:pt>
                <c:pt idx="236">
                  <c:v>215115.73292000353</c:v>
                </c:pt>
                <c:pt idx="237">
                  <c:v>209984.98152340626</c:v>
                </c:pt>
                <c:pt idx="238">
                  <c:v>218088.38252095212</c:v>
                </c:pt>
                <c:pt idx="239">
                  <c:v>231413.68012724604</c:v>
                </c:pt>
                <c:pt idx="240">
                  <c:v>218927.93064044023</c:v>
                </c:pt>
                <c:pt idx="241">
                  <c:v>207510.72234257241</c:v>
                </c:pt>
                <c:pt idx="242">
                  <c:v>200177.46662306634</c:v>
                </c:pt>
                <c:pt idx="243">
                  <c:v>207947.26868030214</c:v>
                </c:pt>
                <c:pt idx="244">
                  <c:v>201405.9765240899</c:v>
                </c:pt>
                <c:pt idx="245">
                  <c:v>201472.52666019063</c:v>
                </c:pt>
                <c:pt idx="246">
                  <c:v>204922.5076620827</c:v>
                </c:pt>
                <c:pt idx="247">
                  <c:v>201573.80583287464</c:v>
                </c:pt>
                <c:pt idx="248">
                  <c:v>211462.57007907942</c:v>
                </c:pt>
                <c:pt idx="249">
                  <c:v>196851.79282312747</c:v>
                </c:pt>
                <c:pt idx="250">
                  <c:v>197899.00656784099</c:v>
                </c:pt>
                <c:pt idx="251">
                  <c:v>204548.61362814371</c:v>
                </c:pt>
                <c:pt idx="252">
                  <c:v>211226.08202880507</c:v>
                </c:pt>
                <c:pt idx="253">
                  <c:v>207888.8411638978</c:v>
                </c:pt>
                <c:pt idx="254">
                  <c:v>199763.98524279031</c:v>
                </c:pt>
                <c:pt idx="255">
                  <c:v>207529.7239277311</c:v>
                </c:pt>
                <c:pt idx="256">
                  <c:v>202970.41237336665</c:v>
                </c:pt>
                <c:pt idx="257">
                  <c:v>203573.01586068043</c:v>
                </c:pt>
                <c:pt idx="258">
                  <c:v>205751.74051951533</c:v>
                </c:pt>
                <c:pt idx="259">
                  <c:v>200824.09716970369</c:v>
                </c:pt>
                <c:pt idx="260">
                  <c:v>208080.55399449298</c:v>
                </c:pt>
                <c:pt idx="261">
                  <c:v>214924.81569629005</c:v>
                </c:pt>
                <c:pt idx="262">
                  <c:v>215713.65996515274</c:v>
                </c:pt>
                <c:pt idx="263">
                  <c:v>210978.28339390183</c:v>
                </c:pt>
                <c:pt idx="264">
                  <c:v>216890.84844429954</c:v>
                </c:pt>
                <c:pt idx="265">
                  <c:v>210732.00379877025</c:v>
                </c:pt>
                <c:pt idx="266">
                  <c:v>220828.69636819066</c:v>
                </c:pt>
                <c:pt idx="267">
                  <c:v>212126.78133491473</c:v>
                </c:pt>
                <c:pt idx="268">
                  <c:v>206743.22704760678</c:v>
                </c:pt>
                <c:pt idx="269">
                  <c:v>224047.2257557807</c:v>
                </c:pt>
                <c:pt idx="270">
                  <c:v>227283.55462517642</c:v>
                </c:pt>
                <c:pt idx="271">
                  <c:v>220844.93950604455</c:v>
                </c:pt>
                <c:pt idx="272">
                  <c:v>213612.38187672407</c:v>
                </c:pt>
                <c:pt idx="273">
                  <c:v>218577.43568004912</c:v>
                </c:pt>
                <c:pt idx="274">
                  <c:v>219292.18924331604</c:v>
                </c:pt>
                <c:pt idx="275">
                  <c:v>238790.8479635402</c:v>
                </c:pt>
                <c:pt idx="276">
                  <c:v>228076.20771980908</c:v>
                </c:pt>
                <c:pt idx="277">
                  <c:v>221926.06824668543</c:v>
                </c:pt>
                <c:pt idx="278">
                  <c:v>225649.45036350674</c:v>
                </c:pt>
                <c:pt idx="279">
                  <c:v>213632.69809678179</c:v>
                </c:pt>
                <c:pt idx="280">
                  <c:v>221192.2848456855</c:v>
                </c:pt>
                <c:pt idx="281">
                  <c:v>194294.42052924327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6E-40B6-90CE-2FCD43F68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908447"/>
        <c:axId val="1579909407"/>
      </c:scatterChart>
      <c:valAx>
        <c:axId val="1579908447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909407"/>
        <c:crosses val="autoZero"/>
        <c:crossBetween val="midCat"/>
      </c:valAx>
      <c:valAx>
        <c:axId val="1579909407"/>
        <c:scaling>
          <c:orientation val="minMax"/>
          <c:min val="1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90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インセンティブ実施率!$T$1</c:f>
              <c:strCache>
                <c:ptCount val="1"/>
                <c:pt idx="0">
                  <c:v>１人当たり医療費_入院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インセンティブ実施率!$D$2:$D$283</c:f>
              <c:numCache>
                <c:formatCode>#,##0.0;[Red]\-#,##0.0</c:formatCode>
                <c:ptCount val="282"/>
                <c:pt idx="0">
                  <c:v>45.6</c:v>
                </c:pt>
                <c:pt idx="1">
                  <c:v>53.1</c:v>
                </c:pt>
                <c:pt idx="2">
                  <c:v>53.7</c:v>
                </c:pt>
                <c:pt idx="3">
                  <c:v>58.2</c:v>
                </c:pt>
                <c:pt idx="4">
                  <c:v>51.7</c:v>
                </c:pt>
                <c:pt idx="5">
                  <c:v>71.900000000000006</c:v>
                </c:pt>
                <c:pt idx="6">
                  <c:v>54.3</c:v>
                </c:pt>
                <c:pt idx="7">
                  <c:v>52.7</c:v>
                </c:pt>
                <c:pt idx="8">
                  <c:v>52.2</c:v>
                </c:pt>
                <c:pt idx="9">
                  <c:v>49.4</c:v>
                </c:pt>
                <c:pt idx="10">
                  <c:v>43.1</c:v>
                </c:pt>
                <c:pt idx="11">
                  <c:v>43</c:v>
                </c:pt>
                <c:pt idx="12">
                  <c:v>47.5</c:v>
                </c:pt>
                <c:pt idx="13">
                  <c:v>42.3</c:v>
                </c:pt>
                <c:pt idx="14">
                  <c:v>64.8</c:v>
                </c:pt>
                <c:pt idx="15">
                  <c:v>64.099999999999994</c:v>
                </c:pt>
                <c:pt idx="16">
                  <c:v>61.8</c:v>
                </c:pt>
                <c:pt idx="17">
                  <c:v>60</c:v>
                </c:pt>
                <c:pt idx="18">
                  <c:v>63.3</c:v>
                </c:pt>
                <c:pt idx="19">
                  <c:v>55.8</c:v>
                </c:pt>
                <c:pt idx="20">
                  <c:v>57.1</c:v>
                </c:pt>
                <c:pt idx="21">
                  <c:v>52</c:v>
                </c:pt>
                <c:pt idx="22">
                  <c:v>47.4</c:v>
                </c:pt>
                <c:pt idx="23">
                  <c:v>53.8</c:v>
                </c:pt>
                <c:pt idx="24">
                  <c:v>54</c:v>
                </c:pt>
                <c:pt idx="25">
                  <c:v>54.3</c:v>
                </c:pt>
                <c:pt idx="26">
                  <c:v>43.3</c:v>
                </c:pt>
                <c:pt idx="27">
                  <c:v>47.7</c:v>
                </c:pt>
                <c:pt idx="28">
                  <c:v>48.1</c:v>
                </c:pt>
                <c:pt idx="29">
                  <c:v>46.9</c:v>
                </c:pt>
                <c:pt idx="30">
                  <c:v>51.1</c:v>
                </c:pt>
                <c:pt idx="31">
                  <c:v>63.9</c:v>
                </c:pt>
                <c:pt idx="32">
                  <c:v>57.3</c:v>
                </c:pt>
                <c:pt idx="33">
                  <c:v>53.7</c:v>
                </c:pt>
                <c:pt idx="34">
                  <c:v>48.5</c:v>
                </c:pt>
                <c:pt idx="35">
                  <c:v>53.5</c:v>
                </c:pt>
                <c:pt idx="36">
                  <c:v>52.1</c:v>
                </c:pt>
                <c:pt idx="37">
                  <c:v>54.4</c:v>
                </c:pt>
                <c:pt idx="38">
                  <c:v>59.2</c:v>
                </c:pt>
                <c:pt idx="39">
                  <c:v>51.3</c:v>
                </c:pt>
                <c:pt idx="40">
                  <c:v>51.8</c:v>
                </c:pt>
                <c:pt idx="41">
                  <c:v>51.4</c:v>
                </c:pt>
                <c:pt idx="42">
                  <c:v>55.7</c:v>
                </c:pt>
                <c:pt idx="43">
                  <c:v>58.5</c:v>
                </c:pt>
                <c:pt idx="44">
                  <c:v>51.3</c:v>
                </c:pt>
                <c:pt idx="45">
                  <c:v>46.7</c:v>
                </c:pt>
                <c:pt idx="46">
                  <c:v>55.7</c:v>
                </c:pt>
                <c:pt idx="47">
                  <c:v>48</c:v>
                </c:pt>
                <c:pt idx="48">
                  <c:v>55.1</c:v>
                </c:pt>
                <c:pt idx="49">
                  <c:v>57.9</c:v>
                </c:pt>
                <c:pt idx="50">
                  <c:v>60</c:v>
                </c:pt>
                <c:pt idx="51">
                  <c:v>53.8</c:v>
                </c:pt>
                <c:pt idx="52">
                  <c:v>73.8</c:v>
                </c:pt>
                <c:pt idx="53">
                  <c:v>55</c:v>
                </c:pt>
                <c:pt idx="54">
                  <c:v>52.8</c:v>
                </c:pt>
                <c:pt idx="55">
                  <c:v>53.3</c:v>
                </c:pt>
                <c:pt idx="56">
                  <c:v>51.2</c:v>
                </c:pt>
                <c:pt idx="57">
                  <c:v>47</c:v>
                </c:pt>
                <c:pt idx="58">
                  <c:v>43.8</c:v>
                </c:pt>
                <c:pt idx="59">
                  <c:v>50.5</c:v>
                </c:pt>
                <c:pt idx="60">
                  <c:v>46.1</c:v>
                </c:pt>
                <c:pt idx="61">
                  <c:v>66.400000000000006</c:v>
                </c:pt>
                <c:pt idx="62">
                  <c:v>66.3</c:v>
                </c:pt>
                <c:pt idx="63">
                  <c:v>63.7</c:v>
                </c:pt>
                <c:pt idx="64">
                  <c:v>61.2</c:v>
                </c:pt>
                <c:pt idx="65">
                  <c:v>65.099999999999994</c:v>
                </c:pt>
                <c:pt idx="66">
                  <c:v>58.7</c:v>
                </c:pt>
                <c:pt idx="67">
                  <c:v>57</c:v>
                </c:pt>
                <c:pt idx="68">
                  <c:v>55.1</c:v>
                </c:pt>
                <c:pt idx="69">
                  <c:v>50.3</c:v>
                </c:pt>
                <c:pt idx="70">
                  <c:v>58.1</c:v>
                </c:pt>
                <c:pt idx="71">
                  <c:v>57.8</c:v>
                </c:pt>
                <c:pt idx="72">
                  <c:v>55.6</c:v>
                </c:pt>
                <c:pt idx="73">
                  <c:v>45.2</c:v>
                </c:pt>
                <c:pt idx="74">
                  <c:v>50.9</c:v>
                </c:pt>
                <c:pt idx="75">
                  <c:v>49.6</c:v>
                </c:pt>
                <c:pt idx="76">
                  <c:v>49.4</c:v>
                </c:pt>
                <c:pt idx="77">
                  <c:v>53.1</c:v>
                </c:pt>
                <c:pt idx="78">
                  <c:v>65.3</c:v>
                </c:pt>
                <c:pt idx="79">
                  <c:v>56.8</c:v>
                </c:pt>
                <c:pt idx="80">
                  <c:v>54.7</c:v>
                </c:pt>
                <c:pt idx="81">
                  <c:v>51.2</c:v>
                </c:pt>
                <c:pt idx="82">
                  <c:v>54.7</c:v>
                </c:pt>
                <c:pt idx="83">
                  <c:v>52.3</c:v>
                </c:pt>
                <c:pt idx="84">
                  <c:v>58.3</c:v>
                </c:pt>
                <c:pt idx="85">
                  <c:v>61.2</c:v>
                </c:pt>
                <c:pt idx="86">
                  <c:v>51.5</c:v>
                </c:pt>
                <c:pt idx="87">
                  <c:v>53.4</c:v>
                </c:pt>
                <c:pt idx="88">
                  <c:v>55.3</c:v>
                </c:pt>
                <c:pt idx="89">
                  <c:v>58.5</c:v>
                </c:pt>
                <c:pt idx="90">
                  <c:v>63.8</c:v>
                </c:pt>
                <c:pt idx="91">
                  <c:v>51.9</c:v>
                </c:pt>
                <c:pt idx="92">
                  <c:v>50.5</c:v>
                </c:pt>
                <c:pt idx="93">
                  <c:v>55.8</c:v>
                </c:pt>
                <c:pt idx="94">
                  <c:v>45</c:v>
                </c:pt>
                <c:pt idx="95">
                  <c:v>55.8</c:v>
                </c:pt>
                <c:pt idx="96">
                  <c:v>55.7</c:v>
                </c:pt>
                <c:pt idx="97">
                  <c:v>58.5</c:v>
                </c:pt>
                <c:pt idx="98">
                  <c:v>55.9</c:v>
                </c:pt>
                <c:pt idx="99">
                  <c:v>73</c:v>
                </c:pt>
                <c:pt idx="100">
                  <c:v>53.1</c:v>
                </c:pt>
                <c:pt idx="101">
                  <c:v>52.3</c:v>
                </c:pt>
                <c:pt idx="102">
                  <c:v>53.4</c:v>
                </c:pt>
                <c:pt idx="103">
                  <c:v>51.2</c:v>
                </c:pt>
                <c:pt idx="104">
                  <c:v>43</c:v>
                </c:pt>
                <c:pt idx="105">
                  <c:v>40</c:v>
                </c:pt>
                <c:pt idx="106">
                  <c:v>47.2</c:v>
                </c:pt>
                <c:pt idx="107">
                  <c:v>41.7</c:v>
                </c:pt>
                <c:pt idx="108">
                  <c:v>65.2</c:v>
                </c:pt>
                <c:pt idx="109">
                  <c:v>67.2</c:v>
                </c:pt>
                <c:pt idx="110">
                  <c:v>61.1</c:v>
                </c:pt>
                <c:pt idx="111">
                  <c:v>58.3</c:v>
                </c:pt>
                <c:pt idx="112">
                  <c:v>62.9</c:v>
                </c:pt>
                <c:pt idx="113">
                  <c:v>58.8</c:v>
                </c:pt>
                <c:pt idx="114">
                  <c:v>56.6</c:v>
                </c:pt>
                <c:pt idx="115">
                  <c:v>54.6</c:v>
                </c:pt>
                <c:pt idx="116">
                  <c:v>49.7</c:v>
                </c:pt>
                <c:pt idx="117">
                  <c:v>57.7</c:v>
                </c:pt>
                <c:pt idx="118">
                  <c:v>57</c:v>
                </c:pt>
                <c:pt idx="119">
                  <c:v>55.9</c:v>
                </c:pt>
                <c:pt idx="120">
                  <c:v>42.8</c:v>
                </c:pt>
                <c:pt idx="121">
                  <c:v>49.1</c:v>
                </c:pt>
                <c:pt idx="122">
                  <c:v>50.1</c:v>
                </c:pt>
                <c:pt idx="123">
                  <c:v>49.8</c:v>
                </c:pt>
                <c:pt idx="124">
                  <c:v>50</c:v>
                </c:pt>
                <c:pt idx="125">
                  <c:v>64.8</c:v>
                </c:pt>
                <c:pt idx="126">
                  <c:v>56</c:v>
                </c:pt>
                <c:pt idx="127">
                  <c:v>53.3</c:v>
                </c:pt>
                <c:pt idx="128">
                  <c:v>53.4</c:v>
                </c:pt>
                <c:pt idx="129">
                  <c:v>55.2</c:v>
                </c:pt>
                <c:pt idx="130">
                  <c:v>51.3</c:v>
                </c:pt>
                <c:pt idx="131">
                  <c:v>56.7</c:v>
                </c:pt>
                <c:pt idx="132">
                  <c:v>60.8</c:v>
                </c:pt>
                <c:pt idx="133">
                  <c:v>50.1</c:v>
                </c:pt>
                <c:pt idx="134">
                  <c:v>49.3</c:v>
                </c:pt>
                <c:pt idx="135">
                  <c:v>54</c:v>
                </c:pt>
                <c:pt idx="136">
                  <c:v>57.9</c:v>
                </c:pt>
                <c:pt idx="137">
                  <c:v>61</c:v>
                </c:pt>
                <c:pt idx="138">
                  <c:v>52.2</c:v>
                </c:pt>
                <c:pt idx="139">
                  <c:v>49.2</c:v>
                </c:pt>
                <c:pt idx="140">
                  <c:v>55.8</c:v>
                </c:pt>
                <c:pt idx="141">
                  <c:v>47.3</c:v>
                </c:pt>
                <c:pt idx="142">
                  <c:v>58.1</c:v>
                </c:pt>
                <c:pt idx="143">
                  <c:v>61.1</c:v>
                </c:pt>
                <c:pt idx="144">
                  <c:v>60.6</c:v>
                </c:pt>
                <c:pt idx="145">
                  <c:v>59.2</c:v>
                </c:pt>
                <c:pt idx="146">
                  <c:v>75.099999999999994</c:v>
                </c:pt>
                <c:pt idx="147">
                  <c:v>57.4</c:v>
                </c:pt>
                <c:pt idx="148">
                  <c:v>55.9</c:v>
                </c:pt>
                <c:pt idx="149">
                  <c:v>58.3</c:v>
                </c:pt>
                <c:pt idx="150">
                  <c:v>54.2</c:v>
                </c:pt>
                <c:pt idx="151">
                  <c:v>48</c:v>
                </c:pt>
                <c:pt idx="152">
                  <c:v>44.8</c:v>
                </c:pt>
                <c:pt idx="153">
                  <c:v>51.5</c:v>
                </c:pt>
                <c:pt idx="154">
                  <c:v>46.5</c:v>
                </c:pt>
                <c:pt idx="155">
                  <c:v>67.5</c:v>
                </c:pt>
                <c:pt idx="156">
                  <c:v>69.099999999999994</c:v>
                </c:pt>
                <c:pt idx="157">
                  <c:v>65.400000000000006</c:v>
                </c:pt>
                <c:pt idx="158">
                  <c:v>64.2</c:v>
                </c:pt>
                <c:pt idx="159">
                  <c:v>64.5</c:v>
                </c:pt>
                <c:pt idx="160">
                  <c:v>61.4</c:v>
                </c:pt>
                <c:pt idx="161">
                  <c:v>63.4</c:v>
                </c:pt>
                <c:pt idx="162">
                  <c:v>56.5</c:v>
                </c:pt>
                <c:pt idx="163">
                  <c:v>53.1</c:v>
                </c:pt>
                <c:pt idx="164">
                  <c:v>60.4</c:v>
                </c:pt>
                <c:pt idx="165">
                  <c:v>62.2</c:v>
                </c:pt>
                <c:pt idx="166">
                  <c:v>58.6</c:v>
                </c:pt>
                <c:pt idx="167">
                  <c:v>46.8</c:v>
                </c:pt>
                <c:pt idx="168">
                  <c:v>54</c:v>
                </c:pt>
                <c:pt idx="169">
                  <c:v>54.7</c:v>
                </c:pt>
                <c:pt idx="170">
                  <c:v>53.8</c:v>
                </c:pt>
                <c:pt idx="171">
                  <c:v>55.5</c:v>
                </c:pt>
                <c:pt idx="172">
                  <c:v>66.8</c:v>
                </c:pt>
                <c:pt idx="173">
                  <c:v>57.9</c:v>
                </c:pt>
                <c:pt idx="174">
                  <c:v>56.2</c:v>
                </c:pt>
                <c:pt idx="175">
                  <c:v>55.2</c:v>
                </c:pt>
                <c:pt idx="176">
                  <c:v>54.4</c:v>
                </c:pt>
                <c:pt idx="177">
                  <c:v>54.7</c:v>
                </c:pt>
                <c:pt idx="178">
                  <c:v>59.2</c:v>
                </c:pt>
                <c:pt idx="179">
                  <c:v>61.5</c:v>
                </c:pt>
                <c:pt idx="180">
                  <c:v>52.3</c:v>
                </c:pt>
                <c:pt idx="181">
                  <c:v>55.6</c:v>
                </c:pt>
                <c:pt idx="182">
                  <c:v>55.8</c:v>
                </c:pt>
                <c:pt idx="183">
                  <c:v>62</c:v>
                </c:pt>
                <c:pt idx="184">
                  <c:v>64.900000000000006</c:v>
                </c:pt>
                <c:pt idx="185">
                  <c:v>55.9</c:v>
                </c:pt>
                <c:pt idx="186">
                  <c:v>49</c:v>
                </c:pt>
                <c:pt idx="187">
                  <c:v>57.8</c:v>
                </c:pt>
                <c:pt idx="188">
                  <c:v>49.1</c:v>
                </c:pt>
                <c:pt idx="189">
                  <c:v>61.1</c:v>
                </c:pt>
                <c:pt idx="190">
                  <c:v>62.5</c:v>
                </c:pt>
                <c:pt idx="191">
                  <c:v>64.400000000000006</c:v>
                </c:pt>
                <c:pt idx="192">
                  <c:v>61.2</c:v>
                </c:pt>
                <c:pt idx="193">
                  <c:v>77.3</c:v>
                </c:pt>
                <c:pt idx="194">
                  <c:v>58.2</c:v>
                </c:pt>
                <c:pt idx="195">
                  <c:v>55.5</c:v>
                </c:pt>
                <c:pt idx="196">
                  <c:v>61</c:v>
                </c:pt>
                <c:pt idx="197">
                  <c:v>55.2</c:v>
                </c:pt>
                <c:pt idx="198">
                  <c:v>49.8</c:v>
                </c:pt>
                <c:pt idx="199">
                  <c:v>46.9</c:v>
                </c:pt>
                <c:pt idx="200">
                  <c:v>53.1</c:v>
                </c:pt>
                <c:pt idx="201">
                  <c:v>48.2</c:v>
                </c:pt>
                <c:pt idx="202">
                  <c:v>69.900000000000006</c:v>
                </c:pt>
                <c:pt idx="203">
                  <c:v>71.8</c:v>
                </c:pt>
                <c:pt idx="204">
                  <c:v>66.599999999999994</c:v>
                </c:pt>
                <c:pt idx="205">
                  <c:v>65.400000000000006</c:v>
                </c:pt>
                <c:pt idx="206">
                  <c:v>67.8</c:v>
                </c:pt>
                <c:pt idx="207">
                  <c:v>64</c:v>
                </c:pt>
                <c:pt idx="208">
                  <c:v>64.8</c:v>
                </c:pt>
                <c:pt idx="209">
                  <c:v>59.4</c:v>
                </c:pt>
                <c:pt idx="210">
                  <c:v>55.8</c:v>
                </c:pt>
                <c:pt idx="211">
                  <c:v>64.400000000000006</c:v>
                </c:pt>
                <c:pt idx="212">
                  <c:v>61.9</c:v>
                </c:pt>
                <c:pt idx="213">
                  <c:v>60.9</c:v>
                </c:pt>
                <c:pt idx="214">
                  <c:v>49.8</c:v>
                </c:pt>
                <c:pt idx="215">
                  <c:v>56.6</c:v>
                </c:pt>
                <c:pt idx="216">
                  <c:v>56.8</c:v>
                </c:pt>
                <c:pt idx="217">
                  <c:v>56.3</c:v>
                </c:pt>
                <c:pt idx="218">
                  <c:v>57.1</c:v>
                </c:pt>
                <c:pt idx="219">
                  <c:v>70.8</c:v>
                </c:pt>
                <c:pt idx="220">
                  <c:v>63.7</c:v>
                </c:pt>
                <c:pt idx="221">
                  <c:v>57.3</c:v>
                </c:pt>
                <c:pt idx="222">
                  <c:v>57</c:v>
                </c:pt>
                <c:pt idx="223">
                  <c:v>55.1</c:v>
                </c:pt>
                <c:pt idx="224">
                  <c:v>54.1</c:v>
                </c:pt>
                <c:pt idx="225">
                  <c:v>61.4</c:v>
                </c:pt>
                <c:pt idx="226">
                  <c:v>66.099999999999994</c:v>
                </c:pt>
                <c:pt idx="227">
                  <c:v>55.4</c:v>
                </c:pt>
                <c:pt idx="228">
                  <c:v>58.9</c:v>
                </c:pt>
                <c:pt idx="229">
                  <c:v>57.7</c:v>
                </c:pt>
                <c:pt idx="230">
                  <c:v>62.1</c:v>
                </c:pt>
                <c:pt idx="231">
                  <c:v>65.5</c:v>
                </c:pt>
                <c:pt idx="232">
                  <c:v>56.6</c:v>
                </c:pt>
                <c:pt idx="233">
                  <c:v>55.1</c:v>
                </c:pt>
                <c:pt idx="234">
                  <c:v>60.1</c:v>
                </c:pt>
                <c:pt idx="235">
                  <c:v>53.5</c:v>
                </c:pt>
                <c:pt idx="236">
                  <c:v>61.4</c:v>
                </c:pt>
                <c:pt idx="237">
                  <c:v>63.7</c:v>
                </c:pt>
                <c:pt idx="238">
                  <c:v>64.099999999999994</c:v>
                </c:pt>
                <c:pt idx="239">
                  <c:v>62.9</c:v>
                </c:pt>
                <c:pt idx="240">
                  <c:v>77.900000000000006</c:v>
                </c:pt>
                <c:pt idx="241">
                  <c:v>59.8</c:v>
                </c:pt>
                <c:pt idx="242">
                  <c:v>55.7</c:v>
                </c:pt>
                <c:pt idx="243">
                  <c:v>61.7</c:v>
                </c:pt>
                <c:pt idx="244">
                  <c:v>55.5</c:v>
                </c:pt>
                <c:pt idx="245">
                  <c:v>48.1</c:v>
                </c:pt>
                <c:pt idx="246">
                  <c:v>47.7</c:v>
                </c:pt>
                <c:pt idx="247">
                  <c:v>53.8</c:v>
                </c:pt>
                <c:pt idx="248">
                  <c:v>48.2</c:v>
                </c:pt>
                <c:pt idx="249">
                  <c:v>70.400000000000006</c:v>
                </c:pt>
                <c:pt idx="250">
                  <c:v>72.3</c:v>
                </c:pt>
                <c:pt idx="251">
                  <c:v>67</c:v>
                </c:pt>
                <c:pt idx="252">
                  <c:v>67.599999999999994</c:v>
                </c:pt>
                <c:pt idx="253">
                  <c:v>69</c:v>
                </c:pt>
                <c:pt idx="254">
                  <c:v>64.5</c:v>
                </c:pt>
                <c:pt idx="255">
                  <c:v>65.5</c:v>
                </c:pt>
                <c:pt idx="256">
                  <c:v>59.7</c:v>
                </c:pt>
                <c:pt idx="257">
                  <c:v>57</c:v>
                </c:pt>
                <c:pt idx="258">
                  <c:v>64.599999999999994</c:v>
                </c:pt>
                <c:pt idx="259">
                  <c:v>62.6</c:v>
                </c:pt>
                <c:pt idx="260">
                  <c:v>62.8</c:v>
                </c:pt>
                <c:pt idx="261">
                  <c:v>50.2</c:v>
                </c:pt>
                <c:pt idx="262">
                  <c:v>56.8</c:v>
                </c:pt>
                <c:pt idx="263">
                  <c:v>56.3</c:v>
                </c:pt>
                <c:pt idx="264">
                  <c:v>57.5</c:v>
                </c:pt>
                <c:pt idx="265">
                  <c:v>58</c:v>
                </c:pt>
                <c:pt idx="266">
                  <c:v>71.5</c:v>
                </c:pt>
                <c:pt idx="267">
                  <c:v>65</c:v>
                </c:pt>
                <c:pt idx="268">
                  <c:v>59.3</c:v>
                </c:pt>
                <c:pt idx="269">
                  <c:v>57.1</c:v>
                </c:pt>
                <c:pt idx="270">
                  <c:v>57</c:v>
                </c:pt>
                <c:pt idx="271">
                  <c:v>55</c:v>
                </c:pt>
                <c:pt idx="272">
                  <c:v>63</c:v>
                </c:pt>
                <c:pt idx="273">
                  <c:v>68</c:v>
                </c:pt>
                <c:pt idx="274">
                  <c:v>57.9</c:v>
                </c:pt>
                <c:pt idx="275">
                  <c:v>58.9</c:v>
                </c:pt>
                <c:pt idx="276">
                  <c:v>59.3</c:v>
                </c:pt>
                <c:pt idx="277">
                  <c:v>64.099999999999994</c:v>
                </c:pt>
                <c:pt idx="278">
                  <c:v>66.599999999999994</c:v>
                </c:pt>
                <c:pt idx="279">
                  <c:v>60.1</c:v>
                </c:pt>
                <c:pt idx="280">
                  <c:v>51.6</c:v>
                </c:pt>
                <c:pt idx="281">
                  <c:v>60.2</c:v>
                </c:pt>
              </c:numCache>
            </c:numRef>
          </c:xVal>
          <c:yVal>
            <c:numRef>
              <c:f>インセンティブ実施率!$T$2:$T$283</c:f>
              <c:numCache>
                <c:formatCode>#,##0.00_);[Red]\(#,##0.00\)</c:formatCode>
                <c:ptCount val="282"/>
                <c:pt idx="0">
                  <c:v>63191.903068920721</c:v>
                </c:pt>
                <c:pt idx="1">
                  <c:v>50845.923199383411</c:v>
                </c:pt>
                <c:pt idx="2">
                  <c:v>50928.679134681646</c:v>
                </c:pt>
                <c:pt idx="3">
                  <c:v>51405.359141418579</c:v>
                </c:pt>
                <c:pt idx="4">
                  <c:v>59700.083611445218</c:v>
                </c:pt>
                <c:pt idx="5">
                  <c:v>53041.724981840809</c:v>
                </c:pt>
                <c:pt idx="6">
                  <c:v>50487.212900750892</c:v>
                </c:pt>
                <c:pt idx="7">
                  <c:v>46261.680976787567</c:v>
                </c:pt>
                <c:pt idx="8">
                  <c:v>46438.623140139905</c:v>
                </c:pt>
                <c:pt idx="9">
                  <c:v>47982.377641172498</c:v>
                </c:pt>
                <c:pt idx="10">
                  <c:v>46132.467781731641</c:v>
                </c:pt>
                <c:pt idx="11">
                  <c:v>47850.993305556854</c:v>
                </c:pt>
                <c:pt idx="12">
                  <c:v>44900.862841260787</c:v>
                </c:pt>
                <c:pt idx="13">
                  <c:v>47412.128186673639</c:v>
                </c:pt>
                <c:pt idx="14">
                  <c:v>46521.551824080649</c:v>
                </c:pt>
                <c:pt idx="15">
                  <c:v>49060.545540172025</c:v>
                </c:pt>
                <c:pt idx="16">
                  <c:v>54866.361039295109</c:v>
                </c:pt>
                <c:pt idx="17">
                  <c:v>55395.53715846932</c:v>
                </c:pt>
                <c:pt idx="18">
                  <c:v>49099.93436184802</c:v>
                </c:pt>
                <c:pt idx="19">
                  <c:v>48785.337860332605</c:v>
                </c:pt>
                <c:pt idx="20">
                  <c:v>46436.48803050899</c:v>
                </c:pt>
                <c:pt idx="21">
                  <c:v>44989.784615284654</c:v>
                </c:pt>
                <c:pt idx="22">
                  <c:v>42586.584550755768</c:v>
                </c:pt>
                <c:pt idx="23">
                  <c:v>46640.340854376613</c:v>
                </c:pt>
                <c:pt idx="24">
                  <c:v>49425.871212442617</c:v>
                </c:pt>
                <c:pt idx="25">
                  <c:v>50115.685966766992</c:v>
                </c:pt>
                <c:pt idx="26">
                  <c:v>48694.681633515902</c:v>
                </c:pt>
                <c:pt idx="27">
                  <c:v>50298.803847895295</c:v>
                </c:pt>
                <c:pt idx="28">
                  <c:v>53063.738410397025</c:v>
                </c:pt>
                <c:pt idx="29">
                  <c:v>48924.955562066607</c:v>
                </c:pt>
                <c:pt idx="30">
                  <c:v>56662.857203377403</c:v>
                </c:pt>
                <c:pt idx="31">
                  <c:v>59845.05695254256</c:v>
                </c:pt>
                <c:pt idx="32">
                  <c:v>51612.865751962978</c:v>
                </c:pt>
                <c:pt idx="33">
                  <c:v>49698.70250934759</c:v>
                </c:pt>
                <c:pt idx="34">
                  <c:v>57346.27060817802</c:v>
                </c:pt>
                <c:pt idx="35">
                  <c:v>54231.906166092034</c:v>
                </c:pt>
                <c:pt idx="36">
                  <c:v>55053.879066266942</c:v>
                </c:pt>
                <c:pt idx="37">
                  <c:v>52066.760110568903</c:v>
                </c:pt>
                <c:pt idx="38">
                  <c:v>59156.064588592999</c:v>
                </c:pt>
                <c:pt idx="39">
                  <c:v>56372.932196361311</c:v>
                </c:pt>
                <c:pt idx="40">
                  <c:v>65172.195631485658</c:v>
                </c:pt>
                <c:pt idx="41">
                  <c:v>60119.89478741942</c:v>
                </c:pt>
                <c:pt idx="42">
                  <c:v>58106.871129666593</c:v>
                </c:pt>
                <c:pt idx="43">
                  <c:v>58501.735154509726</c:v>
                </c:pt>
                <c:pt idx="44">
                  <c:v>53750.178854206293</c:v>
                </c:pt>
                <c:pt idx="45">
                  <c:v>58391.461767594126</c:v>
                </c:pt>
                <c:pt idx="46">
                  <c:v>54939.673939333639</c:v>
                </c:pt>
                <c:pt idx="47">
                  <c:v>64231.920968520382</c:v>
                </c:pt>
                <c:pt idx="48">
                  <c:v>51907.511353973139</c:v>
                </c:pt>
                <c:pt idx="49">
                  <c:v>51936.55124564968</c:v>
                </c:pt>
                <c:pt idx="50">
                  <c:v>52199.613179616943</c:v>
                </c:pt>
                <c:pt idx="51">
                  <c:v>59286.718296229519</c:v>
                </c:pt>
                <c:pt idx="52">
                  <c:v>55107.192711629767</c:v>
                </c:pt>
                <c:pt idx="53">
                  <c:v>51417.28223125395</c:v>
                </c:pt>
                <c:pt idx="54">
                  <c:v>47356.51550556541</c:v>
                </c:pt>
                <c:pt idx="55">
                  <c:v>48147.117050870511</c:v>
                </c:pt>
                <c:pt idx="56">
                  <c:v>47350.856386380197</c:v>
                </c:pt>
                <c:pt idx="57">
                  <c:v>46754.659043918808</c:v>
                </c:pt>
                <c:pt idx="58">
                  <c:v>49078.396755525544</c:v>
                </c:pt>
                <c:pt idx="59">
                  <c:v>44383.599458815122</c:v>
                </c:pt>
                <c:pt idx="60">
                  <c:v>48944.451119863683</c:v>
                </c:pt>
                <c:pt idx="61">
                  <c:v>46710.68122793558</c:v>
                </c:pt>
                <c:pt idx="62">
                  <c:v>50848.021827489247</c:v>
                </c:pt>
                <c:pt idx="63">
                  <c:v>56770.824478508199</c:v>
                </c:pt>
                <c:pt idx="64">
                  <c:v>56532.153714969609</c:v>
                </c:pt>
                <c:pt idx="65">
                  <c:v>50278.722371872653</c:v>
                </c:pt>
                <c:pt idx="66">
                  <c:v>50498.567503371989</c:v>
                </c:pt>
                <c:pt idx="67">
                  <c:v>46394.472353543846</c:v>
                </c:pt>
                <c:pt idx="68">
                  <c:v>46073.644275763159</c:v>
                </c:pt>
                <c:pt idx="69">
                  <c:v>43580.181311815591</c:v>
                </c:pt>
                <c:pt idx="70">
                  <c:v>47775.478880979674</c:v>
                </c:pt>
                <c:pt idx="71">
                  <c:v>50106.950504308516</c:v>
                </c:pt>
                <c:pt idx="72">
                  <c:v>51220.931945630015</c:v>
                </c:pt>
                <c:pt idx="73">
                  <c:v>50149.482416518411</c:v>
                </c:pt>
                <c:pt idx="74">
                  <c:v>51811.322214768348</c:v>
                </c:pt>
                <c:pt idx="75">
                  <c:v>53094.30890635206</c:v>
                </c:pt>
                <c:pt idx="76">
                  <c:v>50408.749821216632</c:v>
                </c:pt>
                <c:pt idx="77">
                  <c:v>57965.232317014234</c:v>
                </c:pt>
                <c:pt idx="78">
                  <c:v>60669.162024720303</c:v>
                </c:pt>
                <c:pt idx="79">
                  <c:v>53431.24492075642</c:v>
                </c:pt>
                <c:pt idx="80">
                  <c:v>50330.01990027952</c:v>
                </c:pt>
                <c:pt idx="81">
                  <c:v>58162.827887145926</c:v>
                </c:pt>
                <c:pt idx="82">
                  <c:v>55260.213205938388</c:v>
                </c:pt>
                <c:pt idx="83">
                  <c:v>55745.212848737719</c:v>
                </c:pt>
                <c:pt idx="84">
                  <c:v>54164.669422588508</c:v>
                </c:pt>
                <c:pt idx="85">
                  <c:v>59134.228073420221</c:v>
                </c:pt>
                <c:pt idx="86">
                  <c:v>56705.60689796981</c:v>
                </c:pt>
                <c:pt idx="87">
                  <c:v>65523.854883335633</c:v>
                </c:pt>
                <c:pt idx="88">
                  <c:v>62997.988322387682</c:v>
                </c:pt>
                <c:pt idx="89">
                  <c:v>59150.65736875718</c:v>
                </c:pt>
                <c:pt idx="90">
                  <c:v>61118.23091227909</c:v>
                </c:pt>
                <c:pt idx="91">
                  <c:v>54861.681053030334</c:v>
                </c:pt>
                <c:pt idx="92">
                  <c:v>60651.685626103179</c:v>
                </c:pt>
                <c:pt idx="93">
                  <c:v>55494.30956992336</c:v>
                </c:pt>
                <c:pt idx="94">
                  <c:v>61643.307363378975</c:v>
                </c:pt>
                <c:pt idx="95">
                  <c:v>51181.771704412997</c:v>
                </c:pt>
                <c:pt idx="96">
                  <c:v>50621.28285082303</c:v>
                </c:pt>
                <c:pt idx="97">
                  <c:v>52522.485942057632</c:v>
                </c:pt>
                <c:pt idx="98">
                  <c:v>58657.578229827282</c:v>
                </c:pt>
                <c:pt idx="99">
                  <c:v>52221.9256817961</c:v>
                </c:pt>
                <c:pt idx="100">
                  <c:v>48859.130044563746</c:v>
                </c:pt>
                <c:pt idx="101">
                  <c:v>45942.307788423757</c:v>
                </c:pt>
                <c:pt idx="102">
                  <c:v>47247.603953563121</c:v>
                </c:pt>
                <c:pt idx="103">
                  <c:v>46952.555264039154</c:v>
                </c:pt>
                <c:pt idx="104">
                  <c:v>45148.718666916386</c:v>
                </c:pt>
                <c:pt idx="105">
                  <c:v>47668.477274631165</c:v>
                </c:pt>
                <c:pt idx="106">
                  <c:v>42935.762396210812</c:v>
                </c:pt>
                <c:pt idx="107">
                  <c:v>45926.881641184576</c:v>
                </c:pt>
                <c:pt idx="108">
                  <c:v>45542.483623141765</c:v>
                </c:pt>
                <c:pt idx="109">
                  <c:v>49053.366119814971</c:v>
                </c:pt>
                <c:pt idx="110">
                  <c:v>52104.651691366453</c:v>
                </c:pt>
                <c:pt idx="111">
                  <c:v>55832.263135659297</c:v>
                </c:pt>
                <c:pt idx="112">
                  <c:v>47521.60040854886</c:v>
                </c:pt>
                <c:pt idx="113">
                  <c:v>48570.126532798778</c:v>
                </c:pt>
                <c:pt idx="114">
                  <c:v>45834.353308520025</c:v>
                </c:pt>
                <c:pt idx="115">
                  <c:v>44638.675023824391</c:v>
                </c:pt>
                <c:pt idx="116">
                  <c:v>42426.606560380867</c:v>
                </c:pt>
                <c:pt idx="117">
                  <c:v>46323.364260856601</c:v>
                </c:pt>
                <c:pt idx="118">
                  <c:v>48060.511264948094</c:v>
                </c:pt>
                <c:pt idx="119">
                  <c:v>47953.696514170064</c:v>
                </c:pt>
                <c:pt idx="120">
                  <c:v>48217.717955893262</c:v>
                </c:pt>
                <c:pt idx="121">
                  <c:v>49006.376457590675</c:v>
                </c:pt>
                <c:pt idx="122">
                  <c:v>49805.508425370019</c:v>
                </c:pt>
                <c:pt idx="123">
                  <c:v>49755.416612936533</c:v>
                </c:pt>
                <c:pt idx="124">
                  <c:v>56601.133094901277</c:v>
                </c:pt>
                <c:pt idx="125">
                  <c:v>59008.712283905312</c:v>
                </c:pt>
                <c:pt idx="126">
                  <c:v>50894.708669496322</c:v>
                </c:pt>
                <c:pt idx="127">
                  <c:v>49001.011043388971</c:v>
                </c:pt>
                <c:pt idx="128">
                  <c:v>55300.876936757995</c:v>
                </c:pt>
                <c:pt idx="129">
                  <c:v>55683.339250083249</c:v>
                </c:pt>
                <c:pt idx="130">
                  <c:v>53521.643814236813</c:v>
                </c:pt>
                <c:pt idx="131">
                  <c:v>52279.651454118692</c:v>
                </c:pt>
                <c:pt idx="132">
                  <c:v>59008.749844851678</c:v>
                </c:pt>
                <c:pt idx="133">
                  <c:v>54698.54821805247</c:v>
                </c:pt>
                <c:pt idx="134">
                  <c:v>64854.414540184189</c:v>
                </c:pt>
                <c:pt idx="135">
                  <c:v>60564.243681918066</c:v>
                </c:pt>
                <c:pt idx="136">
                  <c:v>59180.942671463177</c:v>
                </c:pt>
                <c:pt idx="137">
                  <c:v>61810.49337633713</c:v>
                </c:pt>
                <c:pt idx="138">
                  <c:v>53745.815413169214</c:v>
                </c:pt>
                <c:pt idx="139">
                  <c:v>59591.635566128309</c:v>
                </c:pt>
                <c:pt idx="140">
                  <c:v>54478.2043806027</c:v>
                </c:pt>
                <c:pt idx="141">
                  <c:v>65002.901529937059</c:v>
                </c:pt>
                <c:pt idx="142">
                  <c:v>54303.058152079982</c:v>
                </c:pt>
                <c:pt idx="143">
                  <c:v>53509.466355470948</c:v>
                </c:pt>
                <c:pt idx="144">
                  <c:v>54079.38506041823</c:v>
                </c:pt>
                <c:pt idx="145">
                  <c:v>61540.136618883385</c:v>
                </c:pt>
                <c:pt idx="146">
                  <c:v>55527.327856639582</c:v>
                </c:pt>
                <c:pt idx="147">
                  <c:v>51221.274603723272</c:v>
                </c:pt>
                <c:pt idx="148">
                  <c:v>48634.675476510281</c:v>
                </c:pt>
                <c:pt idx="149">
                  <c:v>50674.170865629741</c:v>
                </c:pt>
                <c:pt idx="150">
                  <c:v>49899.483084763604</c:v>
                </c:pt>
                <c:pt idx="151">
                  <c:v>48596.641724822461</c:v>
                </c:pt>
                <c:pt idx="152">
                  <c:v>50975.71596462273</c:v>
                </c:pt>
                <c:pt idx="153">
                  <c:v>46661.567826338636</c:v>
                </c:pt>
                <c:pt idx="154">
                  <c:v>50771.297313446899</c:v>
                </c:pt>
                <c:pt idx="155">
                  <c:v>47157.68160351328</c:v>
                </c:pt>
                <c:pt idx="156">
                  <c:v>50975.347158424593</c:v>
                </c:pt>
                <c:pt idx="157">
                  <c:v>54095.017278716536</c:v>
                </c:pt>
                <c:pt idx="158">
                  <c:v>58282.921336337815</c:v>
                </c:pt>
                <c:pt idx="159">
                  <c:v>51897.327384510631</c:v>
                </c:pt>
                <c:pt idx="160">
                  <c:v>50584.697535780062</c:v>
                </c:pt>
                <c:pt idx="161">
                  <c:v>48953.428848538097</c:v>
                </c:pt>
                <c:pt idx="162">
                  <c:v>47702.525798044873</c:v>
                </c:pt>
                <c:pt idx="163">
                  <c:v>45083.558970841834</c:v>
                </c:pt>
                <c:pt idx="164">
                  <c:v>49115.578278615896</c:v>
                </c:pt>
                <c:pt idx="165">
                  <c:v>50331.291104230317</c:v>
                </c:pt>
                <c:pt idx="166">
                  <c:v>52378.915450630528</c:v>
                </c:pt>
                <c:pt idx="167">
                  <c:v>51047.620375138678</c:v>
                </c:pt>
                <c:pt idx="168">
                  <c:v>52493.758511375978</c:v>
                </c:pt>
                <c:pt idx="169">
                  <c:v>54848.362851332779</c:v>
                </c:pt>
                <c:pt idx="170">
                  <c:v>51894.819520822442</c:v>
                </c:pt>
                <c:pt idx="171">
                  <c:v>59427.557812803985</c:v>
                </c:pt>
                <c:pt idx="172">
                  <c:v>63645.137013914005</c:v>
                </c:pt>
                <c:pt idx="173">
                  <c:v>53314.767682212754</c:v>
                </c:pt>
                <c:pt idx="174">
                  <c:v>51160.29588910185</c:v>
                </c:pt>
                <c:pt idx="175">
                  <c:v>56883.818909138601</c:v>
                </c:pt>
                <c:pt idx="176">
                  <c:v>57053.677137662235</c:v>
                </c:pt>
                <c:pt idx="177">
                  <c:v>56080.241768454594</c:v>
                </c:pt>
                <c:pt idx="178">
                  <c:v>54929.977577083882</c:v>
                </c:pt>
                <c:pt idx="179">
                  <c:v>61708.817923009439</c:v>
                </c:pt>
                <c:pt idx="180">
                  <c:v>57875.220565519659</c:v>
                </c:pt>
                <c:pt idx="181">
                  <c:v>64412.252086151238</c:v>
                </c:pt>
                <c:pt idx="182">
                  <c:v>62859.107869699066</c:v>
                </c:pt>
                <c:pt idx="183">
                  <c:v>61006.34426239723</c:v>
                </c:pt>
                <c:pt idx="184">
                  <c:v>63390.012128123177</c:v>
                </c:pt>
                <c:pt idx="185">
                  <c:v>54786.775265294258</c:v>
                </c:pt>
                <c:pt idx="186">
                  <c:v>61762.911568903335</c:v>
                </c:pt>
                <c:pt idx="187">
                  <c:v>56872.318766334683</c:v>
                </c:pt>
                <c:pt idx="188">
                  <c:v>64917.131232199514</c:v>
                </c:pt>
                <c:pt idx="189">
                  <c:v>53761.394866500872</c:v>
                </c:pt>
                <c:pt idx="190">
                  <c:v>52810.07958383744</c:v>
                </c:pt>
                <c:pt idx="191">
                  <c:v>55076.163601855049</c:v>
                </c:pt>
                <c:pt idx="192">
                  <c:v>61062.849472568778</c:v>
                </c:pt>
                <c:pt idx="193">
                  <c:v>56406.711657718493</c:v>
                </c:pt>
                <c:pt idx="194">
                  <c:v>52109.079306792257</c:v>
                </c:pt>
                <c:pt idx="195">
                  <c:v>48198.286592211429</c:v>
                </c:pt>
                <c:pt idx="196">
                  <c:v>49821.861021998804</c:v>
                </c:pt>
                <c:pt idx="197">
                  <c:v>49540.230649852259</c:v>
                </c:pt>
                <c:pt idx="198">
                  <c:v>47756.524782506778</c:v>
                </c:pt>
                <c:pt idx="199">
                  <c:v>50301.261601990249</c:v>
                </c:pt>
                <c:pt idx="200">
                  <c:v>45872.879594260732</c:v>
                </c:pt>
                <c:pt idx="201">
                  <c:v>50633.770750714015</c:v>
                </c:pt>
                <c:pt idx="202">
                  <c:v>48240.33708674676</c:v>
                </c:pt>
                <c:pt idx="203">
                  <c:v>51764.485224256197</c:v>
                </c:pt>
                <c:pt idx="204">
                  <c:v>54390.23216997819</c:v>
                </c:pt>
                <c:pt idx="205">
                  <c:v>58743.554650319114</c:v>
                </c:pt>
                <c:pt idx="206">
                  <c:v>53646.162741833599</c:v>
                </c:pt>
                <c:pt idx="207">
                  <c:v>49277.363359873227</c:v>
                </c:pt>
                <c:pt idx="208">
                  <c:v>48503.077383644588</c:v>
                </c:pt>
                <c:pt idx="209">
                  <c:v>47983.22099005121</c:v>
                </c:pt>
                <c:pt idx="210">
                  <c:v>44717.773037667132</c:v>
                </c:pt>
                <c:pt idx="211">
                  <c:v>50565.311478822827</c:v>
                </c:pt>
                <c:pt idx="212">
                  <c:v>50582.5574118738</c:v>
                </c:pt>
                <c:pt idx="213">
                  <c:v>52586.978290399667</c:v>
                </c:pt>
                <c:pt idx="214">
                  <c:v>50836.31212609967</c:v>
                </c:pt>
                <c:pt idx="215">
                  <c:v>52071.325087476856</c:v>
                </c:pt>
                <c:pt idx="216">
                  <c:v>54350.472395001925</c:v>
                </c:pt>
                <c:pt idx="217">
                  <c:v>51349.30881206815</c:v>
                </c:pt>
                <c:pt idx="218">
                  <c:v>59031.681296466973</c:v>
                </c:pt>
                <c:pt idx="219">
                  <c:v>61428.018439324318</c:v>
                </c:pt>
                <c:pt idx="220">
                  <c:v>52327.69674014581</c:v>
                </c:pt>
                <c:pt idx="221">
                  <c:v>51050.782272800949</c:v>
                </c:pt>
                <c:pt idx="222">
                  <c:v>59004.346993463376</c:v>
                </c:pt>
                <c:pt idx="223">
                  <c:v>56857.96336640048</c:v>
                </c:pt>
                <c:pt idx="224">
                  <c:v>55867.337915264798</c:v>
                </c:pt>
                <c:pt idx="225">
                  <c:v>55217.291423079849</c:v>
                </c:pt>
                <c:pt idx="226">
                  <c:v>61465.732821395475</c:v>
                </c:pt>
                <c:pt idx="227">
                  <c:v>57410.882670210238</c:v>
                </c:pt>
                <c:pt idx="228">
                  <c:v>65252.064370210639</c:v>
                </c:pt>
                <c:pt idx="229">
                  <c:v>63913.950695119172</c:v>
                </c:pt>
                <c:pt idx="230">
                  <c:v>60516.579339660471</c:v>
                </c:pt>
                <c:pt idx="231">
                  <c:v>63063.36524735581</c:v>
                </c:pt>
                <c:pt idx="232">
                  <c:v>54828.981283445966</c:v>
                </c:pt>
                <c:pt idx="233">
                  <c:v>61254.50225681594</c:v>
                </c:pt>
                <c:pt idx="234">
                  <c:v>53966.218179768126</c:v>
                </c:pt>
                <c:pt idx="235">
                  <c:v>67505.210689343119</c:v>
                </c:pt>
                <c:pt idx="236">
                  <c:v>56151.59272821778</c:v>
                </c:pt>
                <c:pt idx="237">
                  <c:v>53145.528751008664</c:v>
                </c:pt>
                <c:pt idx="238">
                  <c:v>57348.604767816731</c:v>
                </c:pt>
                <c:pt idx="239">
                  <c:v>63999.061547372919</c:v>
                </c:pt>
                <c:pt idx="240">
                  <c:v>56623.701633337587</c:v>
                </c:pt>
                <c:pt idx="241">
                  <c:v>54482.035454304503</c:v>
                </c:pt>
                <c:pt idx="242">
                  <c:v>50320.872712446195</c:v>
                </c:pt>
                <c:pt idx="243">
                  <c:v>52988.360325925983</c:v>
                </c:pt>
                <c:pt idx="244">
                  <c:v>50867.378512894255</c:v>
                </c:pt>
                <c:pt idx="245">
                  <c:v>50517.464334582641</c:v>
                </c:pt>
                <c:pt idx="246">
                  <c:v>52398.581525592715</c:v>
                </c:pt>
                <c:pt idx="247">
                  <c:v>46724.7480140357</c:v>
                </c:pt>
                <c:pt idx="248">
                  <c:v>51549.375791095903</c:v>
                </c:pt>
                <c:pt idx="249">
                  <c:v>49885.673630342011</c:v>
                </c:pt>
                <c:pt idx="250">
                  <c:v>52690.412735843995</c:v>
                </c:pt>
                <c:pt idx="251">
                  <c:v>55471.204968103149</c:v>
                </c:pt>
                <c:pt idx="252">
                  <c:v>59847.234463744535</c:v>
                </c:pt>
                <c:pt idx="253">
                  <c:v>53781.029468805602</c:v>
                </c:pt>
                <c:pt idx="254">
                  <c:v>53374.16100037071</c:v>
                </c:pt>
                <c:pt idx="255">
                  <c:v>50964.696420513494</c:v>
                </c:pt>
                <c:pt idx="256">
                  <c:v>49824.500306560389</c:v>
                </c:pt>
                <c:pt idx="257">
                  <c:v>46940.104795947984</c:v>
                </c:pt>
                <c:pt idx="258">
                  <c:v>53600.510666159302</c:v>
                </c:pt>
                <c:pt idx="259">
                  <c:v>53634.272667955556</c:v>
                </c:pt>
                <c:pt idx="260">
                  <c:v>54182.083624490035</c:v>
                </c:pt>
                <c:pt idx="261">
                  <c:v>52528.892079866622</c:v>
                </c:pt>
                <c:pt idx="262">
                  <c:v>53847.861339209856</c:v>
                </c:pt>
                <c:pt idx="263">
                  <c:v>55510.838518534336</c:v>
                </c:pt>
                <c:pt idx="264">
                  <c:v>54343.967871429304</c:v>
                </c:pt>
                <c:pt idx="265">
                  <c:v>61875.908256162438</c:v>
                </c:pt>
                <c:pt idx="266">
                  <c:v>62316.990204735164</c:v>
                </c:pt>
                <c:pt idx="267">
                  <c:v>55296.420018863639</c:v>
                </c:pt>
                <c:pt idx="268">
                  <c:v>52204.143136114348</c:v>
                </c:pt>
                <c:pt idx="269">
                  <c:v>61510.888264931418</c:v>
                </c:pt>
                <c:pt idx="270">
                  <c:v>61297.129786410427</c:v>
                </c:pt>
                <c:pt idx="271">
                  <c:v>56911.388223588947</c:v>
                </c:pt>
                <c:pt idx="272">
                  <c:v>56948.765794338287</c:v>
                </c:pt>
                <c:pt idx="273">
                  <c:v>64461.896296477418</c:v>
                </c:pt>
                <c:pt idx="274">
                  <c:v>59495.877500457384</c:v>
                </c:pt>
                <c:pt idx="275">
                  <c:v>68563.872173188196</c:v>
                </c:pt>
                <c:pt idx="276">
                  <c:v>67345.451336875965</c:v>
                </c:pt>
                <c:pt idx="277">
                  <c:v>62153.455287983365</c:v>
                </c:pt>
                <c:pt idx="278">
                  <c:v>64192.96900319132</c:v>
                </c:pt>
                <c:pt idx="279">
                  <c:v>58409.486075670749</c:v>
                </c:pt>
                <c:pt idx="280">
                  <c:v>64202.202318248841</c:v>
                </c:pt>
                <c:pt idx="281">
                  <c:v>57866.488064573517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DC-444A-B81C-46EAA7BB2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908447"/>
        <c:axId val="1579909407"/>
      </c:scatterChart>
      <c:valAx>
        <c:axId val="1579908447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909407"/>
        <c:crosses val="autoZero"/>
        <c:crossBetween val="midCat"/>
      </c:valAx>
      <c:valAx>
        <c:axId val="1579909407"/>
        <c:scaling>
          <c:orientation val="minMax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90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インセンティブ実施率!$U$1</c:f>
              <c:strCache>
                <c:ptCount val="1"/>
                <c:pt idx="0">
                  <c:v>１人当たり医療費_入院外（調剤を含む）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インセンティブ実施率!$D$2:$D$283</c:f>
              <c:numCache>
                <c:formatCode>#,##0.0;[Red]\-#,##0.0</c:formatCode>
                <c:ptCount val="282"/>
                <c:pt idx="0">
                  <c:v>45.6</c:v>
                </c:pt>
                <c:pt idx="1">
                  <c:v>53.1</c:v>
                </c:pt>
                <c:pt idx="2">
                  <c:v>53.7</c:v>
                </c:pt>
                <c:pt idx="3">
                  <c:v>58.2</c:v>
                </c:pt>
                <c:pt idx="4">
                  <c:v>51.7</c:v>
                </c:pt>
                <c:pt idx="5">
                  <c:v>71.900000000000006</c:v>
                </c:pt>
                <c:pt idx="6">
                  <c:v>54.3</c:v>
                </c:pt>
                <c:pt idx="7">
                  <c:v>52.7</c:v>
                </c:pt>
                <c:pt idx="8">
                  <c:v>52.2</c:v>
                </c:pt>
                <c:pt idx="9">
                  <c:v>49.4</c:v>
                </c:pt>
                <c:pt idx="10">
                  <c:v>43.1</c:v>
                </c:pt>
                <c:pt idx="11">
                  <c:v>43</c:v>
                </c:pt>
                <c:pt idx="12">
                  <c:v>47.5</c:v>
                </c:pt>
                <c:pt idx="13">
                  <c:v>42.3</c:v>
                </c:pt>
                <c:pt idx="14">
                  <c:v>64.8</c:v>
                </c:pt>
                <c:pt idx="15">
                  <c:v>64.099999999999994</c:v>
                </c:pt>
                <c:pt idx="16">
                  <c:v>61.8</c:v>
                </c:pt>
                <c:pt idx="17">
                  <c:v>60</c:v>
                </c:pt>
                <c:pt idx="18">
                  <c:v>63.3</c:v>
                </c:pt>
                <c:pt idx="19">
                  <c:v>55.8</c:v>
                </c:pt>
                <c:pt idx="20">
                  <c:v>57.1</c:v>
                </c:pt>
                <c:pt idx="21">
                  <c:v>52</c:v>
                </c:pt>
                <c:pt idx="22">
                  <c:v>47.4</c:v>
                </c:pt>
                <c:pt idx="23">
                  <c:v>53.8</c:v>
                </c:pt>
                <c:pt idx="24">
                  <c:v>54</c:v>
                </c:pt>
                <c:pt idx="25">
                  <c:v>54.3</c:v>
                </c:pt>
                <c:pt idx="26">
                  <c:v>43.3</c:v>
                </c:pt>
                <c:pt idx="27">
                  <c:v>47.7</c:v>
                </c:pt>
                <c:pt idx="28">
                  <c:v>48.1</c:v>
                </c:pt>
                <c:pt idx="29">
                  <c:v>46.9</c:v>
                </c:pt>
                <c:pt idx="30">
                  <c:v>51.1</c:v>
                </c:pt>
                <c:pt idx="31">
                  <c:v>63.9</c:v>
                </c:pt>
                <c:pt idx="32">
                  <c:v>57.3</c:v>
                </c:pt>
                <c:pt idx="33">
                  <c:v>53.7</c:v>
                </c:pt>
                <c:pt idx="34">
                  <c:v>48.5</c:v>
                </c:pt>
                <c:pt idx="35">
                  <c:v>53.5</c:v>
                </c:pt>
                <c:pt idx="36">
                  <c:v>52.1</c:v>
                </c:pt>
                <c:pt idx="37">
                  <c:v>54.4</c:v>
                </c:pt>
                <c:pt idx="38">
                  <c:v>59.2</c:v>
                </c:pt>
                <c:pt idx="39">
                  <c:v>51.3</c:v>
                </c:pt>
                <c:pt idx="40">
                  <c:v>51.8</c:v>
                </c:pt>
                <c:pt idx="41">
                  <c:v>51.4</c:v>
                </c:pt>
                <c:pt idx="42">
                  <c:v>55.7</c:v>
                </c:pt>
                <c:pt idx="43">
                  <c:v>58.5</c:v>
                </c:pt>
                <c:pt idx="44">
                  <c:v>51.3</c:v>
                </c:pt>
                <c:pt idx="45">
                  <c:v>46.7</c:v>
                </c:pt>
                <c:pt idx="46">
                  <c:v>55.7</c:v>
                </c:pt>
                <c:pt idx="47">
                  <c:v>48</c:v>
                </c:pt>
                <c:pt idx="48">
                  <c:v>55.1</c:v>
                </c:pt>
                <c:pt idx="49">
                  <c:v>57.9</c:v>
                </c:pt>
                <c:pt idx="50">
                  <c:v>60</c:v>
                </c:pt>
                <c:pt idx="51">
                  <c:v>53.8</c:v>
                </c:pt>
                <c:pt idx="52">
                  <c:v>73.8</c:v>
                </c:pt>
                <c:pt idx="53">
                  <c:v>55</c:v>
                </c:pt>
                <c:pt idx="54">
                  <c:v>52.8</c:v>
                </c:pt>
                <c:pt idx="55">
                  <c:v>53.3</c:v>
                </c:pt>
                <c:pt idx="56">
                  <c:v>51.2</c:v>
                </c:pt>
                <c:pt idx="57">
                  <c:v>47</c:v>
                </c:pt>
                <c:pt idx="58">
                  <c:v>43.8</c:v>
                </c:pt>
                <c:pt idx="59">
                  <c:v>50.5</c:v>
                </c:pt>
                <c:pt idx="60">
                  <c:v>46.1</c:v>
                </c:pt>
                <c:pt idx="61">
                  <c:v>66.400000000000006</c:v>
                </c:pt>
                <c:pt idx="62">
                  <c:v>66.3</c:v>
                </c:pt>
                <c:pt idx="63">
                  <c:v>63.7</c:v>
                </c:pt>
                <c:pt idx="64">
                  <c:v>61.2</c:v>
                </c:pt>
                <c:pt idx="65">
                  <c:v>65.099999999999994</c:v>
                </c:pt>
                <c:pt idx="66">
                  <c:v>58.7</c:v>
                </c:pt>
                <c:pt idx="67">
                  <c:v>57</c:v>
                </c:pt>
                <c:pt idx="68">
                  <c:v>55.1</c:v>
                </c:pt>
                <c:pt idx="69">
                  <c:v>50.3</c:v>
                </c:pt>
                <c:pt idx="70">
                  <c:v>58.1</c:v>
                </c:pt>
                <c:pt idx="71">
                  <c:v>57.8</c:v>
                </c:pt>
                <c:pt idx="72">
                  <c:v>55.6</c:v>
                </c:pt>
                <c:pt idx="73">
                  <c:v>45.2</c:v>
                </c:pt>
                <c:pt idx="74">
                  <c:v>50.9</c:v>
                </c:pt>
                <c:pt idx="75">
                  <c:v>49.6</c:v>
                </c:pt>
                <c:pt idx="76">
                  <c:v>49.4</c:v>
                </c:pt>
                <c:pt idx="77">
                  <c:v>53.1</c:v>
                </c:pt>
                <c:pt idx="78">
                  <c:v>65.3</c:v>
                </c:pt>
                <c:pt idx="79">
                  <c:v>56.8</c:v>
                </c:pt>
                <c:pt idx="80">
                  <c:v>54.7</c:v>
                </c:pt>
                <c:pt idx="81">
                  <c:v>51.2</c:v>
                </c:pt>
                <c:pt idx="82">
                  <c:v>54.7</c:v>
                </c:pt>
                <c:pt idx="83">
                  <c:v>52.3</c:v>
                </c:pt>
                <c:pt idx="84">
                  <c:v>58.3</c:v>
                </c:pt>
                <c:pt idx="85">
                  <c:v>61.2</c:v>
                </c:pt>
                <c:pt idx="86">
                  <c:v>51.5</c:v>
                </c:pt>
                <c:pt idx="87">
                  <c:v>53.4</c:v>
                </c:pt>
                <c:pt idx="88">
                  <c:v>55.3</c:v>
                </c:pt>
                <c:pt idx="89">
                  <c:v>58.5</c:v>
                </c:pt>
                <c:pt idx="90">
                  <c:v>63.8</c:v>
                </c:pt>
                <c:pt idx="91">
                  <c:v>51.9</c:v>
                </c:pt>
                <c:pt idx="92">
                  <c:v>50.5</c:v>
                </c:pt>
                <c:pt idx="93">
                  <c:v>55.8</c:v>
                </c:pt>
                <c:pt idx="94">
                  <c:v>45</c:v>
                </c:pt>
                <c:pt idx="95">
                  <c:v>55.8</c:v>
                </c:pt>
                <c:pt idx="96">
                  <c:v>55.7</c:v>
                </c:pt>
                <c:pt idx="97">
                  <c:v>58.5</c:v>
                </c:pt>
                <c:pt idx="98">
                  <c:v>55.9</c:v>
                </c:pt>
                <c:pt idx="99">
                  <c:v>73</c:v>
                </c:pt>
                <c:pt idx="100">
                  <c:v>53.1</c:v>
                </c:pt>
                <c:pt idx="101">
                  <c:v>52.3</c:v>
                </c:pt>
                <c:pt idx="102">
                  <c:v>53.4</c:v>
                </c:pt>
                <c:pt idx="103">
                  <c:v>51.2</c:v>
                </c:pt>
                <c:pt idx="104">
                  <c:v>43</c:v>
                </c:pt>
                <c:pt idx="105">
                  <c:v>40</c:v>
                </c:pt>
                <c:pt idx="106">
                  <c:v>47.2</c:v>
                </c:pt>
                <c:pt idx="107">
                  <c:v>41.7</c:v>
                </c:pt>
                <c:pt idx="108">
                  <c:v>65.2</c:v>
                </c:pt>
                <c:pt idx="109">
                  <c:v>67.2</c:v>
                </c:pt>
                <c:pt idx="110">
                  <c:v>61.1</c:v>
                </c:pt>
                <c:pt idx="111">
                  <c:v>58.3</c:v>
                </c:pt>
                <c:pt idx="112">
                  <c:v>62.9</c:v>
                </c:pt>
                <c:pt idx="113">
                  <c:v>58.8</c:v>
                </c:pt>
                <c:pt idx="114">
                  <c:v>56.6</c:v>
                </c:pt>
                <c:pt idx="115">
                  <c:v>54.6</c:v>
                </c:pt>
                <c:pt idx="116">
                  <c:v>49.7</c:v>
                </c:pt>
                <c:pt idx="117">
                  <c:v>57.7</c:v>
                </c:pt>
                <c:pt idx="118">
                  <c:v>57</c:v>
                </c:pt>
                <c:pt idx="119">
                  <c:v>55.9</c:v>
                </c:pt>
                <c:pt idx="120">
                  <c:v>42.8</c:v>
                </c:pt>
                <c:pt idx="121">
                  <c:v>49.1</c:v>
                </c:pt>
                <c:pt idx="122">
                  <c:v>50.1</c:v>
                </c:pt>
                <c:pt idx="123">
                  <c:v>49.8</c:v>
                </c:pt>
                <c:pt idx="124">
                  <c:v>50</c:v>
                </c:pt>
                <c:pt idx="125">
                  <c:v>64.8</c:v>
                </c:pt>
                <c:pt idx="126">
                  <c:v>56</c:v>
                </c:pt>
                <c:pt idx="127">
                  <c:v>53.3</c:v>
                </c:pt>
                <c:pt idx="128">
                  <c:v>53.4</c:v>
                </c:pt>
                <c:pt idx="129">
                  <c:v>55.2</c:v>
                </c:pt>
                <c:pt idx="130">
                  <c:v>51.3</c:v>
                </c:pt>
                <c:pt idx="131">
                  <c:v>56.7</c:v>
                </c:pt>
                <c:pt idx="132">
                  <c:v>60.8</c:v>
                </c:pt>
                <c:pt idx="133">
                  <c:v>50.1</c:v>
                </c:pt>
                <c:pt idx="134">
                  <c:v>49.3</c:v>
                </c:pt>
                <c:pt idx="135">
                  <c:v>54</c:v>
                </c:pt>
                <c:pt idx="136">
                  <c:v>57.9</c:v>
                </c:pt>
                <c:pt idx="137">
                  <c:v>61</c:v>
                </c:pt>
                <c:pt idx="138">
                  <c:v>52.2</c:v>
                </c:pt>
                <c:pt idx="139">
                  <c:v>49.2</c:v>
                </c:pt>
                <c:pt idx="140">
                  <c:v>55.8</c:v>
                </c:pt>
                <c:pt idx="141">
                  <c:v>47.3</c:v>
                </c:pt>
                <c:pt idx="142">
                  <c:v>58.1</c:v>
                </c:pt>
                <c:pt idx="143">
                  <c:v>61.1</c:v>
                </c:pt>
                <c:pt idx="144">
                  <c:v>60.6</c:v>
                </c:pt>
                <c:pt idx="145">
                  <c:v>59.2</c:v>
                </c:pt>
                <c:pt idx="146">
                  <c:v>75.099999999999994</c:v>
                </c:pt>
                <c:pt idx="147">
                  <c:v>57.4</c:v>
                </c:pt>
                <c:pt idx="148">
                  <c:v>55.9</c:v>
                </c:pt>
                <c:pt idx="149">
                  <c:v>58.3</c:v>
                </c:pt>
                <c:pt idx="150">
                  <c:v>54.2</c:v>
                </c:pt>
                <c:pt idx="151">
                  <c:v>48</c:v>
                </c:pt>
                <c:pt idx="152">
                  <c:v>44.8</c:v>
                </c:pt>
                <c:pt idx="153">
                  <c:v>51.5</c:v>
                </c:pt>
                <c:pt idx="154">
                  <c:v>46.5</c:v>
                </c:pt>
                <c:pt idx="155">
                  <c:v>67.5</c:v>
                </c:pt>
                <c:pt idx="156">
                  <c:v>69.099999999999994</c:v>
                </c:pt>
                <c:pt idx="157">
                  <c:v>65.400000000000006</c:v>
                </c:pt>
                <c:pt idx="158">
                  <c:v>64.2</c:v>
                </c:pt>
                <c:pt idx="159">
                  <c:v>64.5</c:v>
                </c:pt>
                <c:pt idx="160">
                  <c:v>61.4</c:v>
                </c:pt>
                <c:pt idx="161">
                  <c:v>63.4</c:v>
                </c:pt>
                <c:pt idx="162">
                  <c:v>56.5</c:v>
                </c:pt>
                <c:pt idx="163">
                  <c:v>53.1</c:v>
                </c:pt>
                <c:pt idx="164">
                  <c:v>60.4</c:v>
                </c:pt>
                <c:pt idx="165">
                  <c:v>62.2</c:v>
                </c:pt>
                <c:pt idx="166">
                  <c:v>58.6</c:v>
                </c:pt>
                <c:pt idx="167">
                  <c:v>46.8</c:v>
                </c:pt>
                <c:pt idx="168">
                  <c:v>54</c:v>
                </c:pt>
                <c:pt idx="169">
                  <c:v>54.7</c:v>
                </c:pt>
                <c:pt idx="170">
                  <c:v>53.8</c:v>
                </c:pt>
                <c:pt idx="171">
                  <c:v>55.5</c:v>
                </c:pt>
                <c:pt idx="172">
                  <c:v>66.8</c:v>
                </c:pt>
                <c:pt idx="173">
                  <c:v>57.9</c:v>
                </c:pt>
                <c:pt idx="174">
                  <c:v>56.2</c:v>
                </c:pt>
                <c:pt idx="175">
                  <c:v>55.2</c:v>
                </c:pt>
                <c:pt idx="176">
                  <c:v>54.4</c:v>
                </c:pt>
                <c:pt idx="177">
                  <c:v>54.7</c:v>
                </c:pt>
                <c:pt idx="178">
                  <c:v>59.2</c:v>
                </c:pt>
                <c:pt idx="179">
                  <c:v>61.5</c:v>
                </c:pt>
                <c:pt idx="180">
                  <c:v>52.3</c:v>
                </c:pt>
                <c:pt idx="181">
                  <c:v>55.6</c:v>
                </c:pt>
                <c:pt idx="182">
                  <c:v>55.8</c:v>
                </c:pt>
                <c:pt idx="183">
                  <c:v>62</c:v>
                </c:pt>
                <c:pt idx="184">
                  <c:v>64.900000000000006</c:v>
                </c:pt>
                <c:pt idx="185">
                  <c:v>55.9</c:v>
                </c:pt>
                <c:pt idx="186">
                  <c:v>49</c:v>
                </c:pt>
                <c:pt idx="187">
                  <c:v>57.8</c:v>
                </c:pt>
                <c:pt idx="188">
                  <c:v>49.1</c:v>
                </c:pt>
                <c:pt idx="189">
                  <c:v>61.1</c:v>
                </c:pt>
                <c:pt idx="190">
                  <c:v>62.5</c:v>
                </c:pt>
                <c:pt idx="191">
                  <c:v>64.400000000000006</c:v>
                </c:pt>
                <c:pt idx="192">
                  <c:v>61.2</c:v>
                </c:pt>
                <c:pt idx="193">
                  <c:v>77.3</c:v>
                </c:pt>
                <c:pt idx="194">
                  <c:v>58.2</c:v>
                </c:pt>
                <c:pt idx="195">
                  <c:v>55.5</c:v>
                </c:pt>
                <c:pt idx="196">
                  <c:v>61</c:v>
                </c:pt>
                <c:pt idx="197">
                  <c:v>55.2</c:v>
                </c:pt>
                <c:pt idx="198">
                  <c:v>49.8</c:v>
                </c:pt>
                <c:pt idx="199">
                  <c:v>46.9</c:v>
                </c:pt>
                <c:pt idx="200">
                  <c:v>53.1</c:v>
                </c:pt>
                <c:pt idx="201">
                  <c:v>48.2</c:v>
                </c:pt>
                <c:pt idx="202">
                  <c:v>69.900000000000006</c:v>
                </c:pt>
                <c:pt idx="203">
                  <c:v>71.8</c:v>
                </c:pt>
                <c:pt idx="204">
                  <c:v>66.599999999999994</c:v>
                </c:pt>
                <c:pt idx="205">
                  <c:v>65.400000000000006</c:v>
                </c:pt>
                <c:pt idx="206">
                  <c:v>67.8</c:v>
                </c:pt>
                <c:pt idx="207">
                  <c:v>64</c:v>
                </c:pt>
                <c:pt idx="208">
                  <c:v>64.8</c:v>
                </c:pt>
                <c:pt idx="209">
                  <c:v>59.4</c:v>
                </c:pt>
                <c:pt idx="210">
                  <c:v>55.8</c:v>
                </c:pt>
                <c:pt idx="211">
                  <c:v>64.400000000000006</c:v>
                </c:pt>
                <c:pt idx="212">
                  <c:v>61.9</c:v>
                </c:pt>
                <c:pt idx="213">
                  <c:v>60.9</c:v>
                </c:pt>
                <c:pt idx="214">
                  <c:v>49.8</c:v>
                </c:pt>
                <c:pt idx="215">
                  <c:v>56.6</c:v>
                </c:pt>
                <c:pt idx="216">
                  <c:v>56.8</c:v>
                </c:pt>
                <c:pt idx="217">
                  <c:v>56.3</c:v>
                </c:pt>
                <c:pt idx="218">
                  <c:v>57.1</c:v>
                </c:pt>
                <c:pt idx="219">
                  <c:v>70.8</c:v>
                </c:pt>
                <c:pt idx="220">
                  <c:v>63.7</c:v>
                </c:pt>
                <c:pt idx="221">
                  <c:v>57.3</c:v>
                </c:pt>
                <c:pt idx="222">
                  <c:v>57</c:v>
                </c:pt>
                <c:pt idx="223">
                  <c:v>55.1</c:v>
                </c:pt>
                <c:pt idx="224">
                  <c:v>54.1</c:v>
                </c:pt>
                <c:pt idx="225">
                  <c:v>61.4</c:v>
                </c:pt>
                <c:pt idx="226">
                  <c:v>66.099999999999994</c:v>
                </c:pt>
                <c:pt idx="227">
                  <c:v>55.4</c:v>
                </c:pt>
                <c:pt idx="228">
                  <c:v>58.9</c:v>
                </c:pt>
                <c:pt idx="229">
                  <c:v>57.7</c:v>
                </c:pt>
                <c:pt idx="230">
                  <c:v>62.1</c:v>
                </c:pt>
                <c:pt idx="231">
                  <c:v>65.5</c:v>
                </c:pt>
                <c:pt idx="232">
                  <c:v>56.6</c:v>
                </c:pt>
                <c:pt idx="233">
                  <c:v>55.1</c:v>
                </c:pt>
                <c:pt idx="234">
                  <c:v>60.1</c:v>
                </c:pt>
                <c:pt idx="235">
                  <c:v>53.5</c:v>
                </c:pt>
                <c:pt idx="236">
                  <c:v>61.4</c:v>
                </c:pt>
                <c:pt idx="237">
                  <c:v>63.7</c:v>
                </c:pt>
                <c:pt idx="238">
                  <c:v>64.099999999999994</c:v>
                </c:pt>
                <c:pt idx="239">
                  <c:v>62.9</c:v>
                </c:pt>
                <c:pt idx="240">
                  <c:v>77.900000000000006</c:v>
                </c:pt>
                <c:pt idx="241">
                  <c:v>59.8</c:v>
                </c:pt>
                <c:pt idx="242">
                  <c:v>55.7</c:v>
                </c:pt>
                <c:pt idx="243">
                  <c:v>61.7</c:v>
                </c:pt>
                <c:pt idx="244">
                  <c:v>55.5</c:v>
                </c:pt>
                <c:pt idx="245">
                  <c:v>48.1</c:v>
                </c:pt>
                <c:pt idx="246">
                  <c:v>47.7</c:v>
                </c:pt>
                <c:pt idx="247">
                  <c:v>53.8</c:v>
                </c:pt>
                <c:pt idx="248">
                  <c:v>48.2</c:v>
                </c:pt>
                <c:pt idx="249">
                  <c:v>70.400000000000006</c:v>
                </c:pt>
                <c:pt idx="250">
                  <c:v>72.3</c:v>
                </c:pt>
                <c:pt idx="251">
                  <c:v>67</c:v>
                </c:pt>
                <c:pt idx="252">
                  <c:v>67.599999999999994</c:v>
                </c:pt>
                <c:pt idx="253">
                  <c:v>69</c:v>
                </c:pt>
                <c:pt idx="254">
                  <c:v>64.5</c:v>
                </c:pt>
                <c:pt idx="255">
                  <c:v>65.5</c:v>
                </c:pt>
                <c:pt idx="256">
                  <c:v>59.7</c:v>
                </c:pt>
                <c:pt idx="257">
                  <c:v>57</c:v>
                </c:pt>
                <c:pt idx="258">
                  <c:v>64.599999999999994</c:v>
                </c:pt>
                <c:pt idx="259">
                  <c:v>62.6</c:v>
                </c:pt>
                <c:pt idx="260">
                  <c:v>62.8</c:v>
                </c:pt>
                <c:pt idx="261">
                  <c:v>50.2</c:v>
                </c:pt>
                <c:pt idx="262">
                  <c:v>56.8</c:v>
                </c:pt>
                <c:pt idx="263">
                  <c:v>56.3</c:v>
                </c:pt>
                <c:pt idx="264">
                  <c:v>57.5</c:v>
                </c:pt>
                <c:pt idx="265">
                  <c:v>58</c:v>
                </c:pt>
                <c:pt idx="266">
                  <c:v>71.5</c:v>
                </c:pt>
                <c:pt idx="267">
                  <c:v>65</c:v>
                </c:pt>
                <c:pt idx="268">
                  <c:v>59.3</c:v>
                </c:pt>
                <c:pt idx="269">
                  <c:v>57.1</c:v>
                </c:pt>
                <c:pt idx="270">
                  <c:v>57</c:v>
                </c:pt>
                <c:pt idx="271">
                  <c:v>55</c:v>
                </c:pt>
                <c:pt idx="272">
                  <c:v>63</c:v>
                </c:pt>
                <c:pt idx="273">
                  <c:v>68</c:v>
                </c:pt>
                <c:pt idx="274">
                  <c:v>57.9</c:v>
                </c:pt>
                <c:pt idx="275">
                  <c:v>58.9</c:v>
                </c:pt>
                <c:pt idx="276">
                  <c:v>59.3</c:v>
                </c:pt>
                <c:pt idx="277">
                  <c:v>64.099999999999994</c:v>
                </c:pt>
                <c:pt idx="278">
                  <c:v>66.599999999999994</c:v>
                </c:pt>
                <c:pt idx="279">
                  <c:v>60.1</c:v>
                </c:pt>
                <c:pt idx="280">
                  <c:v>51.6</c:v>
                </c:pt>
                <c:pt idx="281">
                  <c:v>60.2</c:v>
                </c:pt>
              </c:numCache>
            </c:numRef>
          </c:xVal>
          <c:yVal>
            <c:numRef>
              <c:f>インセンティブ実施率!$U$2:$U$283</c:f>
              <c:numCache>
                <c:formatCode>#,##0.00_);[Red]\(#,##0.00\)</c:formatCode>
                <c:ptCount val="282"/>
                <c:pt idx="0">
                  <c:v>112323.35697301815</c:v>
                </c:pt>
                <c:pt idx="1">
                  <c:v>111752.0528067376</c:v>
                </c:pt>
                <c:pt idx="2">
                  <c:v>107802.0992245356</c:v>
                </c:pt>
                <c:pt idx="3">
                  <c:v>112299.01727242164</c:v>
                </c:pt>
                <c:pt idx="4">
                  <c:v>118296.64468769089</c:v>
                </c:pt>
                <c:pt idx="5">
                  <c:v>112224.63063992414</c:v>
                </c:pt>
                <c:pt idx="6">
                  <c:v>107946.44513942057</c:v>
                </c:pt>
                <c:pt idx="7">
                  <c:v>105209.57425961045</c:v>
                </c:pt>
                <c:pt idx="8">
                  <c:v>108328.47711437917</c:v>
                </c:pt>
                <c:pt idx="9">
                  <c:v>103988.05813679103</c:v>
                </c:pt>
                <c:pt idx="10">
                  <c:v>103391.76343718852</c:v>
                </c:pt>
                <c:pt idx="11">
                  <c:v>104961.47397385682</c:v>
                </c:pt>
                <c:pt idx="12">
                  <c:v>106029.65103297262</c:v>
                </c:pt>
                <c:pt idx="13">
                  <c:v>107754.64110093167</c:v>
                </c:pt>
                <c:pt idx="14">
                  <c:v>102125.89279983405</c:v>
                </c:pt>
                <c:pt idx="15">
                  <c:v>99176.629878613516</c:v>
                </c:pt>
                <c:pt idx="16">
                  <c:v>104564.34147841761</c:v>
                </c:pt>
                <c:pt idx="17">
                  <c:v>104302.11041581299</c:v>
                </c:pt>
                <c:pt idx="18">
                  <c:v>106418.5933051446</c:v>
                </c:pt>
                <c:pt idx="19">
                  <c:v>99664.243376121362</c:v>
                </c:pt>
                <c:pt idx="20">
                  <c:v>104736.14606899276</c:v>
                </c:pt>
                <c:pt idx="21">
                  <c:v>106480.40528214326</c:v>
                </c:pt>
                <c:pt idx="22">
                  <c:v>103053.34166729436</c:v>
                </c:pt>
                <c:pt idx="23">
                  <c:v>103244.23227625563</c:v>
                </c:pt>
                <c:pt idx="24">
                  <c:v>99745.415786332698</c:v>
                </c:pt>
                <c:pt idx="25">
                  <c:v>103285.81161809243</c:v>
                </c:pt>
                <c:pt idx="26">
                  <c:v>105025.26318755405</c:v>
                </c:pt>
                <c:pt idx="27">
                  <c:v>108005.14877886875</c:v>
                </c:pt>
                <c:pt idx="28">
                  <c:v>105305.71116590293</c:v>
                </c:pt>
                <c:pt idx="29">
                  <c:v>108400.718887553</c:v>
                </c:pt>
                <c:pt idx="30">
                  <c:v>103222.55335442851</c:v>
                </c:pt>
                <c:pt idx="31">
                  <c:v>110129.06683675208</c:v>
                </c:pt>
                <c:pt idx="32">
                  <c:v>107933.57001194604</c:v>
                </c:pt>
                <c:pt idx="33">
                  <c:v>106754.5586458078</c:v>
                </c:pt>
                <c:pt idx="34">
                  <c:v>112345.32871361454</c:v>
                </c:pt>
                <c:pt idx="35">
                  <c:v>111537.83749381668</c:v>
                </c:pt>
                <c:pt idx="36">
                  <c:v>112593.66673783229</c:v>
                </c:pt>
                <c:pt idx="37">
                  <c:v>106693.01350116296</c:v>
                </c:pt>
                <c:pt idx="38">
                  <c:v>108699.68733520433</c:v>
                </c:pt>
                <c:pt idx="39">
                  <c:v>105944.14036792726</c:v>
                </c:pt>
                <c:pt idx="40">
                  <c:v>116467.58356998159</c:v>
                </c:pt>
                <c:pt idx="41">
                  <c:v>106347.94061464153</c:v>
                </c:pt>
                <c:pt idx="42">
                  <c:v>109348.27425034851</c:v>
                </c:pt>
                <c:pt idx="43">
                  <c:v>110889.39064155136</c:v>
                </c:pt>
                <c:pt idx="44">
                  <c:v>103153.71343084692</c:v>
                </c:pt>
                <c:pt idx="45">
                  <c:v>105259.89004776964</c:v>
                </c:pt>
                <c:pt idx="46">
                  <c:v>92077.629576007923</c:v>
                </c:pt>
                <c:pt idx="47">
                  <c:v>117370.47800910196</c:v>
                </c:pt>
                <c:pt idx="48">
                  <c:v>116589.82753105834</c:v>
                </c:pt>
                <c:pt idx="49">
                  <c:v>111817.68874621049</c:v>
                </c:pt>
                <c:pt idx="50">
                  <c:v>116003.33155743568</c:v>
                </c:pt>
                <c:pt idx="51">
                  <c:v>123264.73522303406</c:v>
                </c:pt>
                <c:pt idx="52">
                  <c:v>116260.9026283221</c:v>
                </c:pt>
                <c:pt idx="53">
                  <c:v>110882.88196730528</c:v>
                </c:pt>
                <c:pt idx="54">
                  <c:v>108571.6032525927</c:v>
                </c:pt>
                <c:pt idx="55">
                  <c:v>111355.23114883235</c:v>
                </c:pt>
                <c:pt idx="56">
                  <c:v>106656.49611359782</c:v>
                </c:pt>
                <c:pt idx="57">
                  <c:v>106319.00023517046</c:v>
                </c:pt>
                <c:pt idx="58">
                  <c:v>108031.62297609836</c:v>
                </c:pt>
                <c:pt idx="59">
                  <c:v>107302.49936921187</c:v>
                </c:pt>
                <c:pt idx="60">
                  <c:v>111652.63093561042</c:v>
                </c:pt>
                <c:pt idx="61">
                  <c:v>105319.8089927632</c:v>
                </c:pt>
                <c:pt idx="62">
                  <c:v>102481.07594884535</c:v>
                </c:pt>
                <c:pt idx="63">
                  <c:v>107972.03246346577</c:v>
                </c:pt>
                <c:pt idx="64">
                  <c:v>107552.52119303436</c:v>
                </c:pt>
                <c:pt idx="65">
                  <c:v>109846.99086019155</c:v>
                </c:pt>
                <c:pt idx="66">
                  <c:v>102589.09990755476</c:v>
                </c:pt>
                <c:pt idx="67">
                  <c:v>107376.2172097752</c:v>
                </c:pt>
                <c:pt idx="68">
                  <c:v>109117.73764589988</c:v>
                </c:pt>
                <c:pt idx="69">
                  <c:v>105848.16248612087</c:v>
                </c:pt>
                <c:pt idx="70">
                  <c:v>107181.29315828026</c:v>
                </c:pt>
                <c:pt idx="71">
                  <c:v>103804.38426554634</c:v>
                </c:pt>
                <c:pt idx="72">
                  <c:v>106930.01366281342</c:v>
                </c:pt>
                <c:pt idx="73">
                  <c:v>108354.32193035859</c:v>
                </c:pt>
                <c:pt idx="74">
                  <c:v>112189.62938908245</c:v>
                </c:pt>
                <c:pt idx="75">
                  <c:v>108673.64811878423</c:v>
                </c:pt>
                <c:pt idx="76">
                  <c:v>112105.89080957291</c:v>
                </c:pt>
                <c:pt idx="77">
                  <c:v>107111.963384847</c:v>
                </c:pt>
                <c:pt idx="78">
                  <c:v>115144.22718231601</c:v>
                </c:pt>
                <c:pt idx="79">
                  <c:v>111243.97001885583</c:v>
                </c:pt>
                <c:pt idx="80">
                  <c:v>110972.73595067652</c:v>
                </c:pt>
                <c:pt idx="81">
                  <c:v>115978.33472768417</c:v>
                </c:pt>
                <c:pt idx="82">
                  <c:v>115789.57569974358</c:v>
                </c:pt>
                <c:pt idx="83">
                  <c:v>115694.38692174332</c:v>
                </c:pt>
                <c:pt idx="84">
                  <c:v>111383.92213920048</c:v>
                </c:pt>
                <c:pt idx="85">
                  <c:v>111668.07228812572</c:v>
                </c:pt>
                <c:pt idx="86">
                  <c:v>108819.59296264465</c:v>
                </c:pt>
                <c:pt idx="87">
                  <c:v>120890.35450220644</c:v>
                </c:pt>
                <c:pt idx="88">
                  <c:v>110790.92896866069</c:v>
                </c:pt>
                <c:pt idx="89">
                  <c:v>112703.12788939309</c:v>
                </c:pt>
                <c:pt idx="90">
                  <c:v>114464.69899848942</c:v>
                </c:pt>
                <c:pt idx="91">
                  <c:v>106772.97646324705</c:v>
                </c:pt>
                <c:pt idx="92">
                  <c:v>109506.21909946525</c:v>
                </c:pt>
                <c:pt idx="93">
                  <c:v>97202.308990321151</c:v>
                </c:pt>
                <c:pt idx="94">
                  <c:v>114276.53453266762</c:v>
                </c:pt>
                <c:pt idx="95">
                  <c:v>112917.36050103065</c:v>
                </c:pt>
                <c:pt idx="96">
                  <c:v>110075.85755655954</c:v>
                </c:pt>
                <c:pt idx="97">
                  <c:v>112632.89503915588</c:v>
                </c:pt>
                <c:pt idx="98">
                  <c:v>121445.1691837402</c:v>
                </c:pt>
                <c:pt idx="99">
                  <c:v>113126.21207794914</c:v>
                </c:pt>
                <c:pt idx="100">
                  <c:v>107702.6261204253</c:v>
                </c:pt>
                <c:pt idx="101">
                  <c:v>105596.49217123065</c:v>
                </c:pt>
                <c:pt idx="102">
                  <c:v>108095.66264758496</c:v>
                </c:pt>
                <c:pt idx="103">
                  <c:v>102837.0339281147</c:v>
                </c:pt>
                <c:pt idx="104">
                  <c:v>102977.26035905447</c:v>
                </c:pt>
                <c:pt idx="105">
                  <c:v>104189.2034921625</c:v>
                </c:pt>
                <c:pt idx="106">
                  <c:v>102001.18744681851</c:v>
                </c:pt>
                <c:pt idx="107">
                  <c:v>107949.72889581625</c:v>
                </c:pt>
                <c:pt idx="108">
                  <c:v>101273.39541312343</c:v>
                </c:pt>
                <c:pt idx="109">
                  <c:v>98028.844119417932</c:v>
                </c:pt>
                <c:pt idx="110">
                  <c:v>103790.39226816779</c:v>
                </c:pt>
                <c:pt idx="111">
                  <c:v>102831.40961481207</c:v>
                </c:pt>
                <c:pt idx="112">
                  <c:v>106158.62660983748</c:v>
                </c:pt>
                <c:pt idx="113">
                  <c:v>99189.917224562043</c:v>
                </c:pt>
                <c:pt idx="114">
                  <c:v>103167.96744384714</c:v>
                </c:pt>
                <c:pt idx="115">
                  <c:v>105875.61558829511</c:v>
                </c:pt>
                <c:pt idx="116">
                  <c:v>102212.74761122701</c:v>
                </c:pt>
                <c:pt idx="117">
                  <c:v>104045.87874172915</c:v>
                </c:pt>
                <c:pt idx="118">
                  <c:v>99821.390067993503</c:v>
                </c:pt>
                <c:pt idx="119">
                  <c:v>102719.02028864261</c:v>
                </c:pt>
                <c:pt idx="120">
                  <c:v>103821.40675009541</c:v>
                </c:pt>
                <c:pt idx="121">
                  <c:v>107666.82253030463</c:v>
                </c:pt>
                <c:pt idx="122">
                  <c:v>105986.83220352208</c:v>
                </c:pt>
                <c:pt idx="123">
                  <c:v>108723.72994180289</c:v>
                </c:pt>
                <c:pt idx="124">
                  <c:v>102979.34249402971</c:v>
                </c:pt>
                <c:pt idx="125">
                  <c:v>112417.79988034496</c:v>
                </c:pt>
                <c:pt idx="126">
                  <c:v>106829.89420934257</c:v>
                </c:pt>
                <c:pt idx="127">
                  <c:v>106828.70794794448</c:v>
                </c:pt>
                <c:pt idx="128">
                  <c:v>111702.03908892047</c:v>
                </c:pt>
                <c:pt idx="129">
                  <c:v>111116.83803961135</c:v>
                </c:pt>
                <c:pt idx="130">
                  <c:v>111912.34583857925</c:v>
                </c:pt>
                <c:pt idx="131">
                  <c:v>107272.78941705768</c:v>
                </c:pt>
                <c:pt idx="132">
                  <c:v>108489.88240758165</c:v>
                </c:pt>
                <c:pt idx="133">
                  <c:v>104629.13366134132</c:v>
                </c:pt>
                <c:pt idx="134">
                  <c:v>117894.4920427727</c:v>
                </c:pt>
                <c:pt idx="135">
                  <c:v>108377.83401273428</c:v>
                </c:pt>
                <c:pt idx="136">
                  <c:v>108872.42124797442</c:v>
                </c:pt>
                <c:pt idx="137">
                  <c:v>111009.84802108223</c:v>
                </c:pt>
                <c:pt idx="138">
                  <c:v>104556.46036654124</c:v>
                </c:pt>
                <c:pt idx="139">
                  <c:v>107794.80695702448</c:v>
                </c:pt>
                <c:pt idx="140">
                  <c:v>93338.144650351955</c:v>
                </c:pt>
                <c:pt idx="141">
                  <c:v>122908.10703956946</c:v>
                </c:pt>
                <c:pt idx="142">
                  <c:v>120740.78849490749</c:v>
                </c:pt>
                <c:pt idx="143">
                  <c:v>117717.44199446125</c:v>
                </c:pt>
                <c:pt idx="144">
                  <c:v>122033.72440423013</c:v>
                </c:pt>
                <c:pt idx="145">
                  <c:v>127367.97856168357</c:v>
                </c:pt>
                <c:pt idx="146">
                  <c:v>123103.34809480722</c:v>
                </c:pt>
                <c:pt idx="147">
                  <c:v>116751.97848539293</c:v>
                </c:pt>
                <c:pt idx="148">
                  <c:v>115444.06854206533</c:v>
                </c:pt>
                <c:pt idx="149">
                  <c:v>118599.68976970152</c:v>
                </c:pt>
                <c:pt idx="150">
                  <c:v>112452.22333527234</c:v>
                </c:pt>
                <c:pt idx="151">
                  <c:v>113830.14339984169</c:v>
                </c:pt>
                <c:pt idx="152">
                  <c:v>114882.83746194238</c:v>
                </c:pt>
                <c:pt idx="153">
                  <c:v>113840.13239053542</c:v>
                </c:pt>
                <c:pt idx="154">
                  <c:v>119479.4854642495</c:v>
                </c:pt>
                <c:pt idx="155">
                  <c:v>108914.26578945403</c:v>
                </c:pt>
                <c:pt idx="156">
                  <c:v>107654.07880474659</c:v>
                </c:pt>
                <c:pt idx="157">
                  <c:v>112509.47777400067</c:v>
                </c:pt>
                <c:pt idx="158">
                  <c:v>113028.54650109916</c:v>
                </c:pt>
                <c:pt idx="159">
                  <c:v>114203.19395563719</c:v>
                </c:pt>
                <c:pt idx="160">
                  <c:v>107446.74986118844</c:v>
                </c:pt>
                <c:pt idx="161">
                  <c:v>112625.12578712053</c:v>
                </c:pt>
                <c:pt idx="162">
                  <c:v>115414.51290277726</c:v>
                </c:pt>
                <c:pt idx="163">
                  <c:v>113564.68449623011</c:v>
                </c:pt>
                <c:pt idx="164">
                  <c:v>113506.57188201908</c:v>
                </c:pt>
                <c:pt idx="165">
                  <c:v>108187.38251398776</c:v>
                </c:pt>
                <c:pt idx="166">
                  <c:v>113871.16439021489</c:v>
                </c:pt>
                <c:pt idx="167">
                  <c:v>115474.41156048352</c:v>
                </c:pt>
                <c:pt idx="168">
                  <c:v>118685.1729446823</c:v>
                </c:pt>
                <c:pt idx="169">
                  <c:v>116167.49637809236</c:v>
                </c:pt>
                <c:pt idx="170">
                  <c:v>117050.30399827025</c:v>
                </c:pt>
                <c:pt idx="171">
                  <c:v>110090.35458081972</c:v>
                </c:pt>
                <c:pt idx="172">
                  <c:v>120446.57817276123</c:v>
                </c:pt>
                <c:pt idx="173">
                  <c:v>115475.32869453316</c:v>
                </c:pt>
                <c:pt idx="174">
                  <c:v>115082.72066284457</c:v>
                </c:pt>
                <c:pt idx="175">
                  <c:v>119922.52139335516</c:v>
                </c:pt>
                <c:pt idx="176">
                  <c:v>120144.12789168715</c:v>
                </c:pt>
                <c:pt idx="177">
                  <c:v>122033.1627456187</c:v>
                </c:pt>
                <c:pt idx="178">
                  <c:v>114593.19844304815</c:v>
                </c:pt>
                <c:pt idx="179">
                  <c:v>115913.89236123866</c:v>
                </c:pt>
                <c:pt idx="180">
                  <c:v>115290.7504967983</c:v>
                </c:pt>
                <c:pt idx="181">
                  <c:v>127176.26888019573</c:v>
                </c:pt>
                <c:pt idx="182">
                  <c:v>116531.88669013146</c:v>
                </c:pt>
                <c:pt idx="183">
                  <c:v>118370.00665152549</c:v>
                </c:pt>
                <c:pt idx="184">
                  <c:v>120450.75968589928</c:v>
                </c:pt>
                <c:pt idx="185">
                  <c:v>112206.35541357812</c:v>
                </c:pt>
                <c:pt idx="186">
                  <c:v>116316.53346131447</c:v>
                </c:pt>
                <c:pt idx="187">
                  <c:v>103430.94596748284</c:v>
                </c:pt>
                <c:pt idx="188">
                  <c:v>132159.87161694292</c:v>
                </c:pt>
                <c:pt idx="189">
                  <c:v>128267.35369058233</c:v>
                </c:pt>
                <c:pt idx="190">
                  <c:v>127898.94671618244</c:v>
                </c:pt>
                <c:pt idx="191">
                  <c:v>131202.70073633516</c:v>
                </c:pt>
                <c:pt idx="192">
                  <c:v>137315.24581284518</c:v>
                </c:pt>
                <c:pt idx="193">
                  <c:v>132436.36083467095</c:v>
                </c:pt>
                <c:pt idx="194">
                  <c:v>126708.22162834203</c:v>
                </c:pt>
                <c:pt idx="195">
                  <c:v>123844.40840772033</c:v>
                </c:pt>
                <c:pt idx="196">
                  <c:v>127153.29718357787</c:v>
                </c:pt>
                <c:pt idx="197">
                  <c:v>122421.80822929577</c:v>
                </c:pt>
                <c:pt idx="198">
                  <c:v>121518.78776082821</c:v>
                </c:pt>
                <c:pt idx="199">
                  <c:v>121460.28755818389</c:v>
                </c:pt>
                <c:pt idx="200">
                  <c:v>121969.48038651979</c:v>
                </c:pt>
                <c:pt idx="201">
                  <c:v>126742.63780021585</c:v>
                </c:pt>
                <c:pt idx="202">
                  <c:v>117625.82645547579</c:v>
                </c:pt>
                <c:pt idx="203">
                  <c:v>116109.31535183778</c:v>
                </c:pt>
                <c:pt idx="204">
                  <c:v>123425.12876431296</c:v>
                </c:pt>
                <c:pt idx="205">
                  <c:v>125293.19764190546</c:v>
                </c:pt>
                <c:pt idx="206">
                  <c:v>123948.14302041734</c:v>
                </c:pt>
                <c:pt idx="207">
                  <c:v>118861.45704530619</c:v>
                </c:pt>
                <c:pt idx="208">
                  <c:v>123892.16727515291</c:v>
                </c:pt>
                <c:pt idx="209">
                  <c:v>125288.80952694644</c:v>
                </c:pt>
                <c:pt idx="210">
                  <c:v>123742.59987165702</c:v>
                </c:pt>
                <c:pt idx="211">
                  <c:v>123961.10094936636</c:v>
                </c:pt>
                <c:pt idx="212">
                  <c:v>119658.38426710534</c:v>
                </c:pt>
                <c:pt idx="213">
                  <c:v>123298.22899483654</c:v>
                </c:pt>
                <c:pt idx="214">
                  <c:v>125838.04248522519</c:v>
                </c:pt>
                <c:pt idx="215">
                  <c:v>128396.82936571552</c:v>
                </c:pt>
                <c:pt idx="216">
                  <c:v>127759.16986057922</c:v>
                </c:pt>
                <c:pt idx="217">
                  <c:v>128611.04668447278</c:v>
                </c:pt>
                <c:pt idx="218">
                  <c:v>118092.59625383625</c:v>
                </c:pt>
                <c:pt idx="219">
                  <c:v>131523.62119597534</c:v>
                </c:pt>
                <c:pt idx="220">
                  <c:v>125892.84577035441</c:v>
                </c:pt>
                <c:pt idx="221">
                  <c:v>125806.91112606792</c:v>
                </c:pt>
                <c:pt idx="222">
                  <c:v>130761.21258649846</c:v>
                </c:pt>
                <c:pt idx="223">
                  <c:v>131891.17328314288</c:v>
                </c:pt>
                <c:pt idx="224">
                  <c:v>133232.28470479208</c:v>
                </c:pt>
                <c:pt idx="225">
                  <c:v>125682.11763405785</c:v>
                </c:pt>
                <c:pt idx="226">
                  <c:v>124409.77641464882</c:v>
                </c:pt>
                <c:pt idx="227">
                  <c:v>127261.15179582062</c:v>
                </c:pt>
                <c:pt idx="228">
                  <c:v>140944.97516187644</c:v>
                </c:pt>
                <c:pt idx="229">
                  <c:v>127885.58782850284</c:v>
                </c:pt>
                <c:pt idx="230">
                  <c:v>131030.26955754578</c:v>
                </c:pt>
                <c:pt idx="231">
                  <c:v>132997.53149628517</c:v>
                </c:pt>
                <c:pt idx="232">
                  <c:v>126479.7194589116</c:v>
                </c:pt>
                <c:pt idx="233">
                  <c:v>128849.13142070634</c:v>
                </c:pt>
                <c:pt idx="234">
                  <c:v>112325.59775088808</c:v>
                </c:pt>
                <c:pt idx="235">
                  <c:v>137861.93409467724</c:v>
                </c:pt>
                <c:pt idx="236">
                  <c:v>135981.60575505192</c:v>
                </c:pt>
                <c:pt idx="237">
                  <c:v>132341.85875569348</c:v>
                </c:pt>
                <c:pt idx="238">
                  <c:v>135531.3169816825</c:v>
                </c:pt>
                <c:pt idx="239">
                  <c:v>141195.80603508416</c:v>
                </c:pt>
                <c:pt idx="240">
                  <c:v>137114.37297883589</c:v>
                </c:pt>
                <c:pt idx="241">
                  <c:v>128805.9331490911</c:v>
                </c:pt>
                <c:pt idx="242">
                  <c:v>126063.6947930006</c:v>
                </c:pt>
                <c:pt idx="243">
                  <c:v>130303.63063922494</c:v>
                </c:pt>
                <c:pt idx="244">
                  <c:v>125716.81209308191</c:v>
                </c:pt>
                <c:pt idx="245">
                  <c:v>124902.12935468723</c:v>
                </c:pt>
                <c:pt idx="246">
                  <c:v>126364.43778666868</c:v>
                </c:pt>
                <c:pt idx="247">
                  <c:v>127026.60381521333</c:v>
                </c:pt>
                <c:pt idx="248">
                  <c:v>132307.3729151458</c:v>
                </c:pt>
                <c:pt idx="249">
                  <c:v>122635.90303864695</c:v>
                </c:pt>
                <c:pt idx="250">
                  <c:v>120569.26392875747</c:v>
                </c:pt>
                <c:pt idx="251">
                  <c:v>125349.29741139343</c:v>
                </c:pt>
                <c:pt idx="252">
                  <c:v>127137.35701893936</c:v>
                </c:pt>
                <c:pt idx="253">
                  <c:v>127740.36790560561</c:v>
                </c:pt>
                <c:pt idx="254">
                  <c:v>121709.96816068584</c:v>
                </c:pt>
                <c:pt idx="255">
                  <c:v>128018.79256910789</c:v>
                </c:pt>
                <c:pt idx="256">
                  <c:v>128674.83024556925</c:v>
                </c:pt>
                <c:pt idx="257">
                  <c:v>127669.68366862403</c:v>
                </c:pt>
                <c:pt idx="258">
                  <c:v>126153.66030794881</c:v>
                </c:pt>
                <c:pt idx="259">
                  <c:v>121883.41922546692</c:v>
                </c:pt>
                <c:pt idx="260">
                  <c:v>124828.90313413301</c:v>
                </c:pt>
                <c:pt idx="261">
                  <c:v>128612.45515075132</c:v>
                </c:pt>
                <c:pt idx="262">
                  <c:v>131574.38514538953</c:v>
                </c:pt>
                <c:pt idx="263">
                  <c:v>127735.84441194056</c:v>
                </c:pt>
                <c:pt idx="264">
                  <c:v>133210.1074184489</c:v>
                </c:pt>
                <c:pt idx="265">
                  <c:v>124634.74020556675</c:v>
                </c:pt>
                <c:pt idx="266">
                  <c:v>135116.9700500234</c:v>
                </c:pt>
                <c:pt idx="267">
                  <c:v>128280.61596761765</c:v>
                </c:pt>
                <c:pt idx="268">
                  <c:v>128283.94488053081</c:v>
                </c:pt>
                <c:pt idx="269">
                  <c:v>134944.08813363564</c:v>
                </c:pt>
                <c:pt idx="270">
                  <c:v>135567.63059352676</c:v>
                </c:pt>
                <c:pt idx="271">
                  <c:v>134852.88302121058</c:v>
                </c:pt>
                <c:pt idx="272">
                  <c:v>130792.5592763266</c:v>
                </c:pt>
                <c:pt idx="273">
                  <c:v>128761.06414110013</c:v>
                </c:pt>
                <c:pt idx="274">
                  <c:v>129137.53986597741</c:v>
                </c:pt>
                <c:pt idx="275">
                  <c:v>141701.20744225668</c:v>
                </c:pt>
                <c:pt idx="276">
                  <c:v>132166.12309462851</c:v>
                </c:pt>
                <c:pt idx="277">
                  <c:v>132621.81872877022</c:v>
                </c:pt>
                <c:pt idx="278">
                  <c:v>136508.04272580773</c:v>
                </c:pt>
                <c:pt idx="279">
                  <c:v>129818.62904030774</c:v>
                </c:pt>
                <c:pt idx="280">
                  <c:v>131222.10246196802</c:v>
                </c:pt>
                <c:pt idx="281">
                  <c:v>112740.99734975038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87-4254-9959-05B3C8A91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908447"/>
        <c:axId val="1579909407"/>
      </c:scatterChart>
      <c:valAx>
        <c:axId val="1579908447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909407"/>
        <c:crosses val="autoZero"/>
        <c:crossBetween val="midCat"/>
      </c:valAx>
      <c:valAx>
        <c:axId val="1579909407"/>
        <c:scaling>
          <c:orientation val="minMax"/>
          <c:min val="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90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インセンティブ実施率!$X$1</c:f>
              <c:strCache>
                <c:ptCount val="1"/>
                <c:pt idx="0">
                  <c:v>（再掲）生活習慣病_入院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インセンティブ実施率!$D$2:$D$283</c:f>
              <c:numCache>
                <c:formatCode>#,##0.0;[Red]\-#,##0.0</c:formatCode>
                <c:ptCount val="282"/>
                <c:pt idx="0">
                  <c:v>45.6</c:v>
                </c:pt>
                <c:pt idx="1">
                  <c:v>53.1</c:v>
                </c:pt>
                <c:pt idx="2">
                  <c:v>53.7</c:v>
                </c:pt>
                <c:pt idx="3">
                  <c:v>58.2</c:v>
                </c:pt>
                <c:pt idx="4">
                  <c:v>51.7</c:v>
                </c:pt>
                <c:pt idx="5">
                  <c:v>71.900000000000006</c:v>
                </c:pt>
                <c:pt idx="6">
                  <c:v>54.3</c:v>
                </c:pt>
                <c:pt idx="7">
                  <c:v>52.7</c:v>
                </c:pt>
                <c:pt idx="8">
                  <c:v>52.2</c:v>
                </c:pt>
                <c:pt idx="9">
                  <c:v>49.4</c:v>
                </c:pt>
                <c:pt idx="10">
                  <c:v>43.1</c:v>
                </c:pt>
                <c:pt idx="11">
                  <c:v>43</c:v>
                </c:pt>
                <c:pt idx="12">
                  <c:v>47.5</c:v>
                </c:pt>
                <c:pt idx="13">
                  <c:v>42.3</c:v>
                </c:pt>
                <c:pt idx="14">
                  <c:v>64.8</c:v>
                </c:pt>
                <c:pt idx="15">
                  <c:v>64.099999999999994</c:v>
                </c:pt>
                <c:pt idx="16">
                  <c:v>61.8</c:v>
                </c:pt>
                <c:pt idx="17">
                  <c:v>60</c:v>
                </c:pt>
                <c:pt idx="18">
                  <c:v>63.3</c:v>
                </c:pt>
                <c:pt idx="19">
                  <c:v>55.8</c:v>
                </c:pt>
                <c:pt idx="20">
                  <c:v>57.1</c:v>
                </c:pt>
                <c:pt idx="21">
                  <c:v>52</c:v>
                </c:pt>
                <c:pt idx="22">
                  <c:v>47.4</c:v>
                </c:pt>
                <c:pt idx="23">
                  <c:v>53.8</c:v>
                </c:pt>
                <c:pt idx="24">
                  <c:v>54</c:v>
                </c:pt>
                <c:pt idx="25">
                  <c:v>54.3</c:v>
                </c:pt>
                <c:pt idx="26">
                  <c:v>43.3</c:v>
                </c:pt>
                <c:pt idx="27">
                  <c:v>47.7</c:v>
                </c:pt>
                <c:pt idx="28">
                  <c:v>48.1</c:v>
                </c:pt>
                <c:pt idx="29">
                  <c:v>46.9</c:v>
                </c:pt>
                <c:pt idx="30">
                  <c:v>51.1</c:v>
                </c:pt>
                <c:pt idx="31">
                  <c:v>63.9</c:v>
                </c:pt>
                <c:pt idx="32">
                  <c:v>57.3</c:v>
                </c:pt>
                <c:pt idx="33">
                  <c:v>53.7</c:v>
                </c:pt>
                <c:pt idx="34">
                  <c:v>48.5</c:v>
                </c:pt>
                <c:pt idx="35">
                  <c:v>53.5</c:v>
                </c:pt>
                <c:pt idx="36">
                  <c:v>52.1</c:v>
                </c:pt>
                <c:pt idx="37">
                  <c:v>54.4</c:v>
                </c:pt>
                <c:pt idx="38">
                  <c:v>59.2</c:v>
                </c:pt>
                <c:pt idx="39">
                  <c:v>51.3</c:v>
                </c:pt>
                <c:pt idx="40">
                  <c:v>51.8</c:v>
                </c:pt>
                <c:pt idx="41">
                  <c:v>51.4</c:v>
                </c:pt>
                <c:pt idx="42">
                  <c:v>55.7</c:v>
                </c:pt>
                <c:pt idx="43">
                  <c:v>58.5</c:v>
                </c:pt>
                <c:pt idx="44">
                  <c:v>51.3</c:v>
                </c:pt>
                <c:pt idx="45">
                  <c:v>46.7</c:v>
                </c:pt>
                <c:pt idx="46">
                  <c:v>55.7</c:v>
                </c:pt>
                <c:pt idx="47">
                  <c:v>48</c:v>
                </c:pt>
                <c:pt idx="48">
                  <c:v>55.1</c:v>
                </c:pt>
                <c:pt idx="49">
                  <c:v>57.9</c:v>
                </c:pt>
                <c:pt idx="50">
                  <c:v>60</c:v>
                </c:pt>
                <c:pt idx="51">
                  <c:v>53.8</c:v>
                </c:pt>
                <c:pt idx="52">
                  <c:v>73.8</c:v>
                </c:pt>
                <c:pt idx="53">
                  <c:v>55</c:v>
                </c:pt>
                <c:pt idx="54">
                  <c:v>52.8</c:v>
                </c:pt>
                <c:pt idx="55">
                  <c:v>53.3</c:v>
                </c:pt>
                <c:pt idx="56">
                  <c:v>51.2</c:v>
                </c:pt>
                <c:pt idx="57">
                  <c:v>47</c:v>
                </c:pt>
                <c:pt idx="58">
                  <c:v>43.8</c:v>
                </c:pt>
                <c:pt idx="59">
                  <c:v>50.5</c:v>
                </c:pt>
                <c:pt idx="60">
                  <c:v>46.1</c:v>
                </c:pt>
                <c:pt idx="61">
                  <c:v>66.400000000000006</c:v>
                </c:pt>
                <c:pt idx="62">
                  <c:v>66.3</c:v>
                </c:pt>
                <c:pt idx="63">
                  <c:v>63.7</c:v>
                </c:pt>
                <c:pt idx="64">
                  <c:v>61.2</c:v>
                </c:pt>
                <c:pt idx="65">
                  <c:v>65.099999999999994</c:v>
                </c:pt>
                <c:pt idx="66">
                  <c:v>58.7</c:v>
                </c:pt>
                <c:pt idx="67">
                  <c:v>57</c:v>
                </c:pt>
                <c:pt idx="68">
                  <c:v>55.1</c:v>
                </c:pt>
                <c:pt idx="69">
                  <c:v>50.3</c:v>
                </c:pt>
                <c:pt idx="70">
                  <c:v>58.1</c:v>
                </c:pt>
                <c:pt idx="71">
                  <c:v>57.8</c:v>
                </c:pt>
                <c:pt idx="72">
                  <c:v>55.6</c:v>
                </c:pt>
                <c:pt idx="73">
                  <c:v>45.2</c:v>
                </c:pt>
                <c:pt idx="74">
                  <c:v>50.9</c:v>
                </c:pt>
                <c:pt idx="75">
                  <c:v>49.6</c:v>
                </c:pt>
                <c:pt idx="76">
                  <c:v>49.4</c:v>
                </c:pt>
                <c:pt idx="77">
                  <c:v>53.1</c:v>
                </c:pt>
                <c:pt idx="78">
                  <c:v>65.3</c:v>
                </c:pt>
                <c:pt idx="79">
                  <c:v>56.8</c:v>
                </c:pt>
                <c:pt idx="80">
                  <c:v>54.7</c:v>
                </c:pt>
                <c:pt idx="81">
                  <c:v>51.2</c:v>
                </c:pt>
                <c:pt idx="82">
                  <c:v>54.7</c:v>
                </c:pt>
                <c:pt idx="83">
                  <c:v>52.3</c:v>
                </c:pt>
                <c:pt idx="84">
                  <c:v>58.3</c:v>
                </c:pt>
                <c:pt idx="85">
                  <c:v>61.2</c:v>
                </c:pt>
                <c:pt idx="86">
                  <c:v>51.5</c:v>
                </c:pt>
                <c:pt idx="87">
                  <c:v>53.4</c:v>
                </c:pt>
                <c:pt idx="88">
                  <c:v>55.3</c:v>
                </c:pt>
                <c:pt idx="89">
                  <c:v>58.5</c:v>
                </c:pt>
                <c:pt idx="90">
                  <c:v>63.8</c:v>
                </c:pt>
                <c:pt idx="91">
                  <c:v>51.9</c:v>
                </c:pt>
                <c:pt idx="92">
                  <c:v>50.5</c:v>
                </c:pt>
                <c:pt idx="93">
                  <c:v>55.8</c:v>
                </c:pt>
                <c:pt idx="94">
                  <c:v>45</c:v>
                </c:pt>
                <c:pt idx="95">
                  <c:v>55.8</c:v>
                </c:pt>
                <c:pt idx="96">
                  <c:v>55.7</c:v>
                </c:pt>
                <c:pt idx="97">
                  <c:v>58.5</c:v>
                </c:pt>
                <c:pt idx="98">
                  <c:v>55.9</c:v>
                </c:pt>
                <c:pt idx="99">
                  <c:v>73</c:v>
                </c:pt>
                <c:pt idx="100">
                  <c:v>53.1</c:v>
                </c:pt>
                <c:pt idx="101">
                  <c:v>52.3</c:v>
                </c:pt>
                <c:pt idx="102">
                  <c:v>53.4</c:v>
                </c:pt>
                <c:pt idx="103">
                  <c:v>51.2</c:v>
                </c:pt>
                <c:pt idx="104">
                  <c:v>43</c:v>
                </c:pt>
                <c:pt idx="105">
                  <c:v>40</c:v>
                </c:pt>
                <c:pt idx="106">
                  <c:v>47.2</c:v>
                </c:pt>
                <c:pt idx="107">
                  <c:v>41.7</c:v>
                </c:pt>
                <c:pt idx="108">
                  <c:v>65.2</c:v>
                </c:pt>
                <c:pt idx="109">
                  <c:v>67.2</c:v>
                </c:pt>
                <c:pt idx="110">
                  <c:v>61.1</c:v>
                </c:pt>
                <c:pt idx="111">
                  <c:v>58.3</c:v>
                </c:pt>
                <c:pt idx="112">
                  <c:v>62.9</c:v>
                </c:pt>
                <c:pt idx="113">
                  <c:v>58.8</c:v>
                </c:pt>
                <c:pt idx="114">
                  <c:v>56.6</c:v>
                </c:pt>
                <c:pt idx="115">
                  <c:v>54.6</c:v>
                </c:pt>
                <c:pt idx="116">
                  <c:v>49.7</c:v>
                </c:pt>
                <c:pt idx="117">
                  <c:v>57.7</c:v>
                </c:pt>
                <c:pt idx="118">
                  <c:v>57</c:v>
                </c:pt>
                <c:pt idx="119">
                  <c:v>55.9</c:v>
                </c:pt>
                <c:pt idx="120">
                  <c:v>42.8</c:v>
                </c:pt>
                <c:pt idx="121">
                  <c:v>49.1</c:v>
                </c:pt>
                <c:pt idx="122">
                  <c:v>50.1</c:v>
                </c:pt>
                <c:pt idx="123">
                  <c:v>49.8</c:v>
                </c:pt>
                <c:pt idx="124">
                  <c:v>50</c:v>
                </c:pt>
                <c:pt idx="125">
                  <c:v>64.8</c:v>
                </c:pt>
                <c:pt idx="126">
                  <c:v>56</c:v>
                </c:pt>
                <c:pt idx="127">
                  <c:v>53.3</c:v>
                </c:pt>
                <c:pt idx="128">
                  <c:v>53.4</c:v>
                </c:pt>
                <c:pt idx="129">
                  <c:v>55.2</c:v>
                </c:pt>
                <c:pt idx="130">
                  <c:v>51.3</c:v>
                </c:pt>
                <c:pt idx="131">
                  <c:v>56.7</c:v>
                </c:pt>
                <c:pt idx="132">
                  <c:v>60.8</c:v>
                </c:pt>
                <c:pt idx="133">
                  <c:v>50.1</c:v>
                </c:pt>
                <c:pt idx="134">
                  <c:v>49.3</c:v>
                </c:pt>
                <c:pt idx="135">
                  <c:v>54</c:v>
                </c:pt>
                <c:pt idx="136">
                  <c:v>57.9</c:v>
                </c:pt>
                <c:pt idx="137">
                  <c:v>61</c:v>
                </c:pt>
                <c:pt idx="138">
                  <c:v>52.2</c:v>
                </c:pt>
                <c:pt idx="139">
                  <c:v>49.2</c:v>
                </c:pt>
                <c:pt idx="140">
                  <c:v>55.8</c:v>
                </c:pt>
                <c:pt idx="141">
                  <c:v>47.3</c:v>
                </c:pt>
                <c:pt idx="142">
                  <c:v>58.1</c:v>
                </c:pt>
                <c:pt idx="143">
                  <c:v>61.1</c:v>
                </c:pt>
                <c:pt idx="144">
                  <c:v>60.6</c:v>
                </c:pt>
                <c:pt idx="145">
                  <c:v>59.2</c:v>
                </c:pt>
                <c:pt idx="146">
                  <c:v>75.099999999999994</c:v>
                </c:pt>
                <c:pt idx="147">
                  <c:v>57.4</c:v>
                </c:pt>
                <c:pt idx="148">
                  <c:v>55.9</c:v>
                </c:pt>
                <c:pt idx="149">
                  <c:v>58.3</c:v>
                </c:pt>
                <c:pt idx="150">
                  <c:v>54.2</c:v>
                </c:pt>
                <c:pt idx="151">
                  <c:v>48</c:v>
                </c:pt>
                <c:pt idx="152">
                  <c:v>44.8</c:v>
                </c:pt>
                <c:pt idx="153">
                  <c:v>51.5</c:v>
                </c:pt>
                <c:pt idx="154">
                  <c:v>46.5</c:v>
                </c:pt>
                <c:pt idx="155">
                  <c:v>67.5</c:v>
                </c:pt>
                <c:pt idx="156">
                  <c:v>69.099999999999994</c:v>
                </c:pt>
                <c:pt idx="157">
                  <c:v>65.400000000000006</c:v>
                </c:pt>
                <c:pt idx="158">
                  <c:v>64.2</c:v>
                </c:pt>
                <c:pt idx="159">
                  <c:v>64.5</c:v>
                </c:pt>
                <c:pt idx="160">
                  <c:v>61.4</c:v>
                </c:pt>
                <c:pt idx="161">
                  <c:v>63.4</c:v>
                </c:pt>
                <c:pt idx="162">
                  <c:v>56.5</c:v>
                </c:pt>
                <c:pt idx="163">
                  <c:v>53.1</c:v>
                </c:pt>
                <c:pt idx="164">
                  <c:v>60.4</c:v>
                </c:pt>
                <c:pt idx="165">
                  <c:v>62.2</c:v>
                </c:pt>
                <c:pt idx="166">
                  <c:v>58.6</c:v>
                </c:pt>
                <c:pt idx="167">
                  <c:v>46.8</c:v>
                </c:pt>
                <c:pt idx="168">
                  <c:v>54</c:v>
                </c:pt>
                <c:pt idx="169">
                  <c:v>54.7</c:v>
                </c:pt>
                <c:pt idx="170">
                  <c:v>53.8</c:v>
                </c:pt>
                <c:pt idx="171">
                  <c:v>55.5</c:v>
                </c:pt>
                <c:pt idx="172">
                  <c:v>66.8</c:v>
                </c:pt>
                <c:pt idx="173">
                  <c:v>57.9</c:v>
                </c:pt>
                <c:pt idx="174">
                  <c:v>56.2</c:v>
                </c:pt>
                <c:pt idx="175">
                  <c:v>55.2</c:v>
                </c:pt>
                <c:pt idx="176">
                  <c:v>54.4</c:v>
                </c:pt>
                <c:pt idx="177">
                  <c:v>54.7</c:v>
                </c:pt>
                <c:pt idx="178">
                  <c:v>59.2</c:v>
                </c:pt>
                <c:pt idx="179">
                  <c:v>61.5</c:v>
                </c:pt>
                <c:pt idx="180">
                  <c:v>52.3</c:v>
                </c:pt>
                <c:pt idx="181">
                  <c:v>55.6</c:v>
                </c:pt>
                <c:pt idx="182">
                  <c:v>55.8</c:v>
                </c:pt>
                <c:pt idx="183">
                  <c:v>62</c:v>
                </c:pt>
                <c:pt idx="184">
                  <c:v>64.900000000000006</c:v>
                </c:pt>
                <c:pt idx="185">
                  <c:v>55.9</c:v>
                </c:pt>
                <c:pt idx="186">
                  <c:v>49</c:v>
                </c:pt>
                <c:pt idx="187">
                  <c:v>57.8</c:v>
                </c:pt>
                <c:pt idx="188">
                  <c:v>49.1</c:v>
                </c:pt>
                <c:pt idx="189">
                  <c:v>61.1</c:v>
                </c:pt>
                <c:pt idx="190">
                  <c:v>62.5</c:v>
                </c:pt>
                <c:pt idx="191">
                  <c:v>64.400000000000006</c:v>
                </c:pt>
                <c:pt idx="192">
                  <c:v>61.2</c:v>
                </c:pt>
                <c:pt idx="193">
                  <c:v>77.3</c:v>
                </c:pt>
                <c:pt idx="194">
                  <c:v>58.2</c:v>
                </c:pt>
                <c:pt idx="195">
                  <c:v>55.5</c:v>
                </c:pt>
                <c:pt idx="196">
                  <c:v>61</c:v>
                </c:pt>
                <c:pt idx="197">
                  <c:v>55.2</c:v>
                </c:pt>
                <c:pt idx="198">
                  <c:v>49.8</c:v>
                </c:pt>
                <c:pt idx="199">
                  <c:v>46.9</c:v>
                </c:pt>
                <c:pt idx="200">
                  <c:v>53.1</c:v>
                </c:pt>
                <c:pt idx="201">
                  <c:v>48.2</c:v>
                </c:pt>
                <c:pt idx="202">
                  <c:v>69.900000000000006</c:v>
                </c:pt>
                <c:pt idx="203">
                  <c:v>71.8</c:v>
                </c:pt>
                <c:pt idx="204">
                  <c:v>66.599999999999994</c:v>
                </c:pt>
                <c:pt idx="205">
                  <c:v>65.400000000000006</c:v>
                </c:pt>
                <c:pt idx="206">
                  <c:v>67.8</c:v>
                </c:pt>
                <c:pt idx="207">
                  <c:v>64</c:v>
                </c:pt>
                <c:pt idx="208">
                  <c:v>64.8</c:v>
                </c:pt>
                <c:pt idx="209">
                  <c:v>59.4</c:v>
                </c:pt>
                <c:pt idx="210">
                  <c:v>55.8</c:v>
                </c:pt>
                <c:pt idx="211">
                  <c:v>64.400000000000006</c:v>
                </c:pt>
                <c:pt idx="212">
                  <c:v>61.9</c:v>
                </c:pt>
                <c:pt idx="213">
                  <c:v>60.9</c:v>
                </c:pt>
                <c:pt idx="214">
                  <c:v>49.8</c:v>
                </c:pt>
                <c:pt idx="215">
                  <c:v>56.6</c:v>
                </c:pt>
                <c:pt idx="216">
                  <c:v>56.8</c:v>
                </c:pt>
                <c:pt idx="217">
                  <c:v>56.3</c:v>
                </c:pt>
                <c:pt idx="218">
                  <c:v>57.1</c:v>
                </c:pt>
                <c:pt idx="219">
                  <c:v>70.8</c:v>
                </c:pt>
                <c:pt idx="220">
                  <c:v>63.7</c:v>
                </c:pt>
                <c:pt idx="221">
                  <c:v>57.3</c:v>
                </c:pt>
                <c:pt idx="222">
                  <c:v>57</c:v>
                </c:pt>
                <c:pt idx="223">
                  <c:v>55.1</c:v>
                </c:pt>
                <c:pt idx="224">
                  <c:v>54.1</c:v>
                </c:pt>
                <c:pt idx="225">
                  <c:v>61.4</c:v>
                </c:pt>
                <c:pt idx="226">
                  <c:v>66.099999999999994</c:v>
                </c:pt>
                <c:pt idx="227">
                  <c:v>55.4</c:v>
                </c:pt>
                <c:pt idx="228">
                  <c:v>58.9</c:v>
                </c:pt>
                <c:pt idx="229">
                  <c:v>57.7</c:v>
                </c:pt>
                <c:pt idx="230">
                  <c:v>62.1</c:v>
                </c:pt>
                <c:pt idx="231">
                  <c:v>65.5</c:v>
                </c:pt>
                <c:pt idx="232">
                  <c:v>56.6</c:v>
                </c:pt>
                <c:pt idx="233">
                  <c:v>55.1</c:v>
                </c:pt>
                <c:pt idx="234">
                  <c:v>60.1</c:v>
                </c:pt>
                <c:pt idx="235">
                  <c:v>53.5</c:v>
                </c:pt>
                <c:pt idx="236">
                  <c:v>61.4</c:v>
                </c:pt>
                <c:pt idx="237">
                  <c:v>63.7</c:v>
                </c:pt>
                <c:pt idx="238">
                  <c:v>64.099999999999994</c:v>
                </c:pt>
                <c:pt idx="239">
                  <c:v>62.9</c:v>
                </c:pt>
                <c:pt idx="240">
                  <c:v>77.900000000000006</c:v>
                </c:pt>
                <c:pt idx="241">
                  <c:v>59.8</c:v>
                </c:pt>
                <c:pt idx="242">
                  <c:v>55.7</c:v>
                </c:pt>
                <c:pt idx="243">
                  <c:v>61.7</c:v>
                </c:pt>
                <c:pt idx="244">
                  <c:v>55.5</c:v>
                </c:pt>
                <c:pt idx="245">
                  <c:v>48.1</c:v>
                </c:pt>
                <c:pt idx="246">
                  <c:v>47.7</c:v>
                </c:pt>
                <c:pt idx="247">
                  <c:v>53.8</c:v>
                </c:pt>
                <c:pt idx="248">
                  <c:v>48.2</c:v>
                </c:pt>
                <c:pt idx="249">
                  <c:v>70.400000000000006</c:v>
                </c:pt>
                <c:pt idx="250">
                  <c:v>72.3</c:v>
                </c:pt>
                <c:pt idx="251">
                  <c:v>67</c:v>
                </c:pt>
                <c:pt idx="252">
                  <c:v>67.599999999999994</c:v>
                </c:pt>
                <c:pt idx="253">
                  <c:v>69</c:v>
                </c:pt>
                <c:pt idx="254">
                  <c:v>64.5</c:v>
                </c:pt>
                <c:pt idx="255">
                  <c:v>65.5</c:v>
                </c:pt>
                <c:pt idx="256">
                  <c:v>59.7</c:v>
                </c:pt>
                <c:pt idx="257">
                  <c:v>57</c:v>
                </c:pt>
                <c:pt idx="258">
                  <c:v>64.599999999999994</c:v>
                </c:pt>
                <c:pt idx="259">
                  <c:v>62.6</c:v>
                </c:pt>
                <c:pt idx="260">
                  <c:v>62.8</c:v>
                </c:pt>
                <c:pt idx="261">
                  <c:v>50.2</c:v>
                </c:pt>
                <c:pt idx="262">
                  <c:v>56.8</c:v>
                </c:pt>
                <c:pt idx="263">
                  <c:v>56.3</c:v>
                </c:pt>
                <c:pt idx="264">
                  <c:v>57.5</c:v>
                </c:pt>
                <c:pt idx="265">
                  <c:v>58</c:v>
                </c:pt>
                <c:pt idx="266">
                  <c:v>71.5</c:v>
                </c:pt>
                <c:pt idx="267">
                  <c:v>65</c:v>
                </c:pt>
                <c:pt idx="268">
                  <c:v>59.3</c:v>
                </c:pt>
                <c:pt idx="269">
                  <c:v>57.1</c:v>
                </c:pt>
                <c:pt idx="270">
                  <c:v>57</c:v>
                </c:pt>
                <c:pt idx="271">
                  <c:v>55</c:v>
                </c:pt>
                <c:pt idx="272">
                  <c:v>63</c:v>
                </c:pt>
                <c:pt idx="273">
                  <c:v>68</c:v>
                </c:pt>
                <c:pt idx="274">
                  <c:v>57.9</c:v>
                </c:pt>
                <c:pt idx="275">
                  <c:v>58.9</c:v>
                </c:pt>
                <c:pt idx="276">
                  <c:v>59.3</c:v>
                </c:pt>
                <c:pt idx="277">
                  <c:v>64.099999999999994</c:v>
                </c:pt>
                <c:pt idx="278">
                  <c:v>66.599999999999994</c:v>
                </c:pt>
                <c:pt idx="279">
                  <c:v>60.1</c:v>
                </c:pt>
                <c:pt idx="280">
                  <c:v>51.6</c:v>
                </c:pt>
                <c:pt idx="281">
                  <c:v>60.2</c:v>
                </c:pt>
              </c:numCache>
            </c:numRef>
          </c:xVal>
          <c:yVal>
            <c:numRef>
              <c:f>インセンティブ実施率!$X$2:$X$283</c:f>
              <c:numCache>
                <c:formatCode>#,##0.00_);[Red]\(#,##0.00\)</c:formatCode>
                <c:ptCount val="282"/>
                <c:pt idx="0">
                  <c:v>8101.2156058804112</c:v>
                </c:pt>
                <c:pt idx="1">
                  <c:v>6228.4656975080106</c:v>
                </c:pt>
                <c:pt idx="2">
                  <c:v>6540.3978249683278</c:v>
                </c:pt>
                <c:pt idx="3">
                  <c:v>6601.4962766218014</c:v>
                </c:pt>
                <c:pt idx="4">
                  <c:v>6739.7889806382664</c:v>
                </c:pt>
                <c:pt idx="5">
                  <c:v>5834.3728891314995</c:v>
                </c:pt>
                <c:pt idx="6">
                  <c:v>6007.8744403025921</c:v>
                </c:pt>
                <c:pt idx="7">
                  <c:v>6068.3295787985244</c:v>
                </c:pt>
                <c:pt idx="8">
                  <c:v>5948.5169410073922</c:v>
                </c:pt>
                <c:pt idx="9">
                  <c:v>5995.0741148097632</c:v>
                </c:pt>
                <c:pt idx="10">
                  <c:v>6208.0956790779292</c:v>
                </c:pt>
                <c:pt idx="11">
                  <c:v>6803.5629210034904</c:v>
                </c:pt>
                <c:pt idx="12">
                  <c:v>5600.6469265243686</c:v>
                </c:pt>
                <c:pt idx="13">
                  <c:v>6375.384132953759</c:v>
                </c:pt>
                <c:pt idx="14">
                  <c:v>4787.460292757165</c:v>
                </c:pt>
                <c:pt idx="15">
                  <c:v>5948.84001809658</c:v>
                </c:pt>
                <c:pt idx="16">
                  <c:v>6504.5635187957032</c:v>
                </c:pt>
                <c:pt idx="17">
                  <c:v>6588.6441270515106</c:v>
                </c:pt>
                <c:pt idx="18">
                  <c:v>5826.001247439699</c:v>
                </c:pt>
                <c:pt idx="19">
                  <c:v>5836.5480684962859</c:v>
                </c:pt>
                <c:pt idx="20">
                  <c:v>5642.0232702830517</c:v>
                </c:pt>
                <c:pt idx="21">
                  <c:v>5589.020760094877</c:v>
                </c:pt>
                <c:pt idx="22">
                  <c:v>5161.6197520920841</c:v>
                </c:pt>
                <c:pt idx="23">
                  <c:v>5593.2007860490212</c:v>
                </c:pt>
                <c:pt idx="24">
                  <c:v>6007.1225170339321</c:v>
                </c:pt>
                <c:pt idx="25">
                  <c:v>6241.03995172543</c:v>
                </c:pt>
                <c:pt idx="26">
                  <c:v>5762.7965217828014</c:v>
                </c:pt>
                <c:pt idx="27">
                  <c:v>5961.7602034540287</c:v>
                </c:pt>
                <c:pt idx="28">
                  <c:v>6475.9131853954023</c:v>
                </c:pt>
                <c:pt idx="29">
                  <c:v>5413.3679878490284</c:v>
                </c:pt>
                <c:pt idx="30">
                  <c:v>6118.3315681590811</c:v>
                </c:pt>
                <c:pt idx="31">
                  <c:v>6359.4583340854797</c:v>
                </c:pt>
                <c:pt idx="32">
                  <c:v>5817.2751046728754</c:v>
                </c:pt>
                <c:pt idx="33">
                  <c:v>5667.0154955593489</c:v>
                </c:pt>
                <c:pt idx="34">
                  <c:v>7061.2689540843339</c:v>
                </c:pt>
                <c:pt idx="35">
                  <c:v>6569.7608710053064</c:v>
                </c:pt>
                <c:pt idx="36">
                  <c:v>6319.459341733741</c:v>
                </c:pt>
                <c:pt idx="37">
                  <c:v>5780.525680323597</c:v>
                </c:pt>
                <c:pt idx="38">
                  <c:v>7598.3947439749309</c:v>
                </c:pt>
                <c:pt idx="39">
                  <c:v>6736.5236624641311</c:v>
                </c:pt>
                <c:pt idx="40">
                  <c:v>7653.8425852039309</c:v>
                </c:pt>
                <c:pt idx="41">
                  <c:v>6632.0767909766273</c:v>
                </c:pt>
                <c:pt idx="42">
                  <c:v>6287.1461170381644</c:v>
                </c:pt>
                <c:pt idx="43">
                  <c:v>6659.1320987739164</c:v>
                </c:pt>
                <c:pt idx="44">
                  <c:v>6595.798006885997</c:v>
                </c:pt>
                <c:pt idx="45">
                  <c:v>7319.6882582099452</c:v>
                </c:pt>
                <c:pt idx="46">
                  <c:v>7304.0480205297454</c:v>
                </c:pt>
                <c:pt idx="47">
                  <c:v>8277.4247651076439</c:v>
                </c:pt>
                <c:pt idx="48">
                  <c:v>6655.7562721298</c:v>
                </c:pt>
                <c:pt idx="49">
                  <c:v>6446.9836658697759</c:v>
                </c:pt>
                <c:pt idx="50">
                  <c:v>6317.8698257064343</c:v>
                </c:pt>
                <c:pt idx="51">
                  <c:v>6766.8180962984106</c:v>
                </c:pt>
                <c:pt idx="52">
                  <c:v>6123.7624379708832</c:v>
                </c:pt>
                <c:pt idx="53">
                  <c:v>5684.0278211363111</c:v>
                </c:pt>
                <c:pt idx="54">
                  <c:v>5978.9148472721163</c:v>
                </c:pt>
                <c:pt idx="55">
                  <c:v>5987.2677927042387</c:v>
                </c:pt>
                <c:pt idx="56">
                  <c:v>5620.3849277592826</c:v>
                </c:pt>
                <c:pt idx="57">
                  <c:v>6421.6894913689121</c:v>
                </c:pt>
                <c:pt idx="58">
                  <c:v>6967.7242379106747</c:v>
                </c:pt>
                <c:pt idx="59">
                  <c:v>5343.407898486772</c:v>
                </c:pt>
                <c:pt idx="60">
                  <c:v>6334.2560960083101</c:v>
                </c:pt>
                <c:pt idx="61">
                  <c:v>5044.3542167952855</c:v>
                </c:pt>
                <c:pt idx="62">
                  <c:v>6348.5307964439853</c:v>
                </c:pt>
                <c:pt idx="63">
                  <c:v>6851.8938019913103</c:v>
                </c:pt>
                <c:pt idx="64">
                  <c:v>6357.0713423618618</c:v>
                </c:pt>
                <c:pt idx="65">
                  <c:v>5495.7973198684931</c:v>
                </c:pt>
                <c:pt idx="66">
                  <c:v>5449.7442961737406</c:v>
                </c:pt>
                <c:pt idx="67">
                  <c:v>5190.8907958511063</c:v>
                </c:pt>
                <c:pt idx="68">
                  <c:v>5842.2205140573069</c:v>
                </c:pt>
                <c:pt idx="69">
                  <c:v>5305.5125756206871</c:v>
                </c:pt>
                <c:pt idx="70">
                  <c:v>5590.1916497776547</c:v>
                </c:pt>
                <c:pt idx="71">
                  <c:v>6158.9965969396917</c:v>
                </c:pt>
                <c:pt idx="72">
                  <c:v>5947.4599969800056</c:v>
                </c:pt>
                <c:pt idx="73">
                  <c:v>5970.1648448945416</c:v>
                </c:pt>
                <c:pt idx="74">
                  <c:v>6250.5097761911402</c:v>
                </c:pt>
                <c:pt idx="75">
                  <c:v>6457.7149564767305</c:v>
                </c:pt>
                <c:pt idx="76">
                  <c:v>5712.5569576632624</c:v>
                </c:pt>
                <c:pt idx="77">
                  <c:v>6791.4661390322599</c:v>
                </c:pt>
                <c:pt idx="78">
                  <c:v>6179.8209356039533</c:v>
                </c:pt>
                <c:pt idx="79">
                  <c:v>6057.4836346454122</c:v>
                </c:pt>
                <c:pt idx="80">
                  <c:v>5596.3489924798851</c:v>
                </c:pt>
                <c:pt idx="81">
                  <c:v>6799.0136189471214</c:v>
                </c:pt>
                <c:pt idx="82">
                  <c:v>6287.1754707281998</c:v>
                </c:pt>
                <c:pt idx="83">
                  <c:v>6447.1469084571636</c:v>
                </c:pt>
                <c:pt idx="84">
                  <c:v>6046.1329844602478</c:v>
                </c:pt>
                <c:pt idx="85">
                  <c:v>7462.326992073371</c:v>
                </c:pt>
                <c:pt idx="86">
                  <c:v>6779.3663961399952</c:v>
                </c:pt>
                <c:pt idx="87">
                  <c:v>7428.3414816288405</c:v>
                </c:pt>
                <c:pt idx="88">
                  <c:v>6925.8690265717005</c:v>
                </c:pt>
                <c:pt idx="89">
                  <c:v>6516.3472338244774</c:v>
                </c:pt>
                <c:pt idx="90">
                  <c:v>7398.6447473464623</c:v>
                </c:pt>
                <c:pt idx="91">
                  <c:v>6309.3902560122988</c:v>
                </c:pt>
                <c:pt idx="92">
                  <c:v>7668.0033012512231</c:v>
                </c:pt>
                <c:pt idx="93">
                  <c:v>6685.5529261908587</c:v>
                </c:pt>
                <c:pt idx="94">
                  <c:v>7838.4304711064842</c:v>
                </c:pt>
                <c:pt idx="95">
                  <c:v>6460.5363481474305</c:v>
                </c:pt>
                <c:pt idx="96">
                  <c:v>6626.7962806217847</c:v>
                </c:pt>
                <c:pt idx="97">
                  <c:v>6807.3877932958212</c:v>
                </c:pt>
                <c:pt idx="98">
                  <c:v>6006.7783365905098</c:v>
                </c:pt>
                <c:pt idx="99">
                  <c:v>6171.9707777730173</c:v>
                </c:pt>
                <c:pt idx="100">
                  <c:v>5907.3326101777329</c:v>
                </c:pt>
                <c:pt idx="101">
                  <c:v>5464.7184534623957</c:v>
                </c:pt>
                <c:pt idx="102">
                  <c:v>5701.0460496138685</c:v>
                </c:pt>
                <c:pt idx="103">
                  <c:v>5860.1673438929665</c:v>
                </c:pt>
                <c:pt idx="104">
                  <c:v>6330.9336167660531</c:v>
                </c:pt>
                <c:pt idx="105">
                  <c:v>6948.5953260752285</c:v>
                </c:pt>
                <c:pt idx="106">
                  <c:v>5148.0651542677742</c:v>
                </c:pt>
                <c:pt idx="107">
                  <c:v>6407.8178323557941</c:v>
                </c:pt>
                <c:pt idx="108">
                  <c:v>4727.092187563575</c:v>
                </c:pt>
                <c:pt idx="109">
                  <c:v>5878.4139661924091</c:v>
                </c:pt>
                <c:pt idx="110">
                  <c:v>6491.6818604693071</c:v>
                </c:pt>
                <c:pt idx="111">
                  <c:v>6299.8261338021175</c:v>
                </c:pt>
                <c:pt idx="112">
                  <c:v>5344.8618564557528</c:v>
                </c:pt>
                <c:pt idx="113">
                  <c:v>5802.8286029948631</c:v>
                </c:pt>
                <c:pt idx="114">
                  <c:v>5345.701218212972</c:v>
                </c:pt>
                <c:pt idx="115">
                  <c:v>5676.5564735199778</c:v>
                </c:pt>
                <c:pt idx="116">
                  <c:v>5425.7899320942815</c:v>
                </c:pt>
                <c:pt idx="117">
                  <c:v>5816.3040237967161</c:v>
                </c:pt>
                <c:pt idx="118">
                  <c:v>5997.8879019312981</c:v>
                </c:pt>
                <c:pt idx="119">
                  <c:v>5704.9759930087839</c:v>
                </c:pt>
                <c:pt idx="120">
                  <c:v>5943.8607346147128</c:v>
                </c:pt>
                <c:pt idx="121">
                  <c:v>5908.8768037666596</c:v>
                </c:pt>
                <c:pt idx="122">
                  <c:v>6114.2488671203419</c:v>
                </c:pt>
                <c:pt idx="123">
                  <c:v>5860.2139934343886</c:v>
                </c:pt>
                <c:pt idx="124">
                  <c:v>5933.8384576690851</c:v>
                </c:pt>
                <c:pt idx="125">
                  <c:v>5921.5607113641081</c:v>
                </c:pt>
                <c:pt idx="126">
                  <c:v>5480.7661508614456</c:v>
                </c:pt>
                <c:pt idx="127">
                  <c:v>5829.4535441071639</c:v>
                </c:pt>
                <c:pt idx="128">
                  <c:v>7132.0857357482282</c:v>
                </c:pt>
                <c:pt idx="129">
                  <c:v>7214.3756743968297</c:v>
                </c:pt>
                <c:pt idx="130">
                  <c:v>6448.4630626001435</c:v>
                </c:pt>
                <c:pt idx="131">
                  <c:v>6172.3344484754889</c:v>
                </c:pt>
                <c:pt idx="132">
                  <c:v>7811.7129575874533</c:v>
                </c:pt>
                <c:pt idx="133">
                  <c:v>6441.5759339166525</c:v>
                </c:pt>
                <c:pt idx="134">
                  <c:v>7108.4517173843269</c:v>
                </c:pt>
                <c:pt idx="135">
                  <c:v>6324.2904456812976</c:v>
                </c:pt>
                <c:pt idx="136">
                  <c:v>6419.3404133569784</c:v>
                </c:pt>
                <c:pt idx="137">
                  <c:v>7247.7521298045285</c:v>
                </c:pt>
                <c:pt idx="138">
                  <c:v>6245.5019145377937</c:v>
                </c:pt>
                <c:pt idx="139">
                  <c:v>7314.4900165778017</c:v>
                </c:pt>
                <c:pt idx="140">
                  <c:v>6662.3389450598961</c:v>
                </c:pt>
                <c:pt idx="141">
                  <c:v>7780.7680184468236</c:v>
                </c:pt>
                <c:pt idx="142">
                  <c:v>6661.4409993596782</c:v>
                </c:pt>
                <c:pt idx="143">
                  <c:v>6674.3205192824471</c:v>
                </c:pt>
                <c:pt idx="144">
                  <c:v>6661.3884172920443</c:v>
                </c:pt>
                <c:pt idx="145">
                  <c:v>6898.6272140344136</c:v>
                </c:pt>
                <c:pt idx="146">
                  <c:v>6227.2515273065064</c:v>
                </c:pt>
                <c:pt idx="147">
                  <c:v>5758.9618746272745</c:v>
                </c:pt>
                <c:pt idx="148">
                  <c:v>6073.8739604774164</c:v>
                </c:pt>
                <c:pt idx="149">
                  <c:v>5801.9556623373137</c:v>
                </c:pt>
                <c:pt idx="150">
                  <c:v>6102.6998368195018</c:v>
                </c:pt>
                <c:pt idx="151">
                  <c:v>6230.1295048815118</c:v>
                </c:pt>
                <c:pt idx="152">
                  <c:v>6864.4324619251893</c:v>
                </c:pt>
                <c:pt idx="153">
                  <c:v>5427.8911515118407</c:v>
                </c:pt>
                <c:pt idx="154">
                  <c:v>6433.8469822600546</c:v>
                </c:pt>
                <c:pt idx="155">
                  <c:v>4959.3543599365657</c:v>
                </c:pt>
                <c:pt idx="156">
                  <c:v>5253.8028043963741</c:v>
                </c:pt>
                <c:pt idx="157">
                  <c:v>6368.2674886740178</c:v>
                </c:pt>
                <c:pt idx="158">
                  <c:v>6841.3780467956631</c:v>
                </c:pt>
                <c:pt idx="159">
                  <c:v>5232.9287526870658</c:v>
                </c:pt>
                <c:pt idx="160">
                  <c:v>5594.7157447027148</c:v>
                </c:pt>
                <c:pt idx="161">
                  <c:v>5534.9187243056995</c:v>
                </c:pt>
                <c:pt idx="162">
                  <c:v>5934.1146010223765</c:v>
                </c:pt>
                <c:pt idx="163">
                  <c:v>5340.3936388530574</c:v>
                </c:pt>
                <c:pt idx="164">
                  <c:v>5936.4357047557814</c:v>
                </c:pt>
                <c:pt idx="165">
                  <c:v>5998.2747428417761</c:v>
                </c:pt>
                <c:pt idx="166">
                  <c:v>6033.8943138529103</c:v>
                </c:pt>
                <c:pt idx="167">
                  <c:v>5648.3037335202198</c:v>
                </c:pt>
                <c:pt idx="168">
                  <c:v>6027.6036921466175</c:v>
                </c:pt>
                <c:pt idx="169">
                  <c:v>6247.0438504146341</c:v>
                </c:pt>
                <c:pt idx="170">
                  <c:v>5566.235913063234</c:v>
                </c:pt>
                <c:pt idx="171">
                  <c:v>6538.7345909822616</c:v>
                </c:pt>
                <c:pt idx="172">
                  <c:v>6471.6175069652872</c:v>
                </c:pt>
                <c:pt idx="173">
                  <c:v>5669.892716195398</c:v>
                </c:pt>
                <c:pt idx="174">
                  <c:v>5816.9308873928176</c:v>
                </c:pt>
                <c:pt idx="175">
                  <c:v>7019.0273699020499</c:v>
                </c:pt>
                <c:pt idx="176">
                  <c:v>7122.8890510673364</c:v>
                </c:pt>
                <c:pt idx="177">
                  <c:v>6419.0392989909724</c:v>
                </c:pt>
                <c:pt idx="178">
                  <c:v>6281.1582944343918</c:v>
                </c:pt>
                <c:pt idx="179">
                  <c:v>7341.2485292833953</c:v>
                </c:pt>
                <c:pt idx="180">
                  <c:v>6538.8465844604252</c:v>
                </c:pt>
                <c:pt idx="181">
                  <c:v>6545.4515122958437</c:v>
                </c:pt>
                <c:pt idx="182">
                  <c:v>6884.4847649272979</c:v>
                </c:pt>
                <c:pt idx="183">
                  <c:v>6185.7147975412727</c:v>
                </c:pt>
                <c:pt idx="184">
                  <c:v>7133.3679572670972</c:v>
                </c:pt>
                <c:pt idx="185">
                  <c:v>6620.5963395675954</c:v>
                </c:pt>
                <c:pt idx="186">
                  <c:v>6979.5031407865499</c:v>
                </c:pt>
                <c:pt idx="187">
                  <c:v>6422.6525787209193</c:v>
                </c:pt>
                <c:pt idx="188">
                  <c:v>7558.7087477044961</c:v>
                </c:pt>
                <c:pt idx="189">
                  <c:v>6478.1565623386987</c:v>
                </c:pt>
                <c:pt idx="190">
                  <c:v>7084.3196046404191</c:v>
                </c:pt>
                <c:pt idx="191">
                  <c:v>6349.8078756089672</c:v>
                </c:pt>
                <c:pt idx="192">
                  <c:v>6575.7131907899293</c:v>
                </c:pt>
                <c:pt idx="193">
                  <c:v>5827.3256655781261</c:v>
                </c:pt>
                <c:pt idx="194">
                  <c:v>5839.3044362280298</c:v>
                </c:pt>
                <c:pt idx="195">
                  <c:v>5854.9532094896313</c:v>
                </c:pt>
                <c:pt idx="196">
                  <c:v>6165.0762278330767</c:v>
                </c:pt>
                <c:pt idx="197">
                  <c:v>6204.5202734865379</c:v>
                </c:pt>
                <c:pt idx="198">
                  <c:v>6481.1778597921048</c:v>
                </c:pt>
                <c:pt idx="199">
                  <c:v>6938.9904061069101</c:v>
                </c:pt>
                <c:pt idx="200">
                  <c:v>5514.6779931345936</c:v>
                </c:pt>
                <c:pt idx="201">
                  <c:v>6761.0718068515835</c:v>
                </c:pt>
                <c:pt idx="202">
                  <c:v>4902.9242068068952</c:v>
                </c:pt>
                <c:pt idx="203">
                  <c:v>5667.6634807874543</c:v>
                </c:pt>
                <c:pt idx="204">
                  <c:v>6619.1604168913836</c:v>
                </c:pt>
                <c:pt idx="205">
                  <c:v>6700.7482227747541</c:v>
                </c:pt>
                <c:pt idx="206">
                  <c:v>5613.7735677348201</c:v>
                </c:pt>
                <c:pt idx="207">
                  <c:v>5563.4570539113147</c:v>
                </c:pt>
                <c:pt idx="208">
                  <c:v>5560.4347034059301</c:v>
                </c:pt>
                <c:pt idx="209">
                  <c:v>6315.2284908235015</c:v>
                </c:pt>
                <c:pt idx="210">
                  <c:v>5344.7362016229563</c:v>
                </c:pt>
                <c:pt idx="211">
                  <c:v>5873.7743022967861</c:v>
                </c:pt>
                <c:pt idx="212">
                  <c:v>5653.6509940268215</c:v>
                </c:pt>
                <c:pt idx="213">
                  <c:v>6020.9685236732348</c:v>
                </c:pt>
                <c:pt idx="214">
                  <c:v>5793.5208688778785</c:v>
                </c:pt>
                <c:pt idx="215">
                  <c:v>5901.5965456155891</c:v>
                </c:pt>
                <c:pt idx="216">
                  <c:v>6528.3308038908854</c:v>
                </c:pt>
                <c:pt idx="217">
                  <c:v>5756.377065411697</c:v>
                </c:pt>
                <c:pt idx="218">
                  <c:v>6154.3113828603682</c:v>
                </c:pt>
                <c:pt idx="219">
                  <c:v>7225.5018823208084</c:v>
                </c:pt>
                <c:pt idx="220">
                  <c:v>5226.332313196619</c:v>
                </c:pt>
                <c:pt idx="221">
                  <c:v>5371.788108991972</c:v>
                </c:pt>
                <c:pt idx="222">
                  <c:v>7185.6476422437754</c:v>
                </c:pt>
                <c:pt idx="223">
                  <c:v>6701.3912580966271</c:v>
                </c:pt>
                <c:pt idx="224">
                  <c:v>6481.1962712288059</c:v>
                </c:pt>
                <c:pt idx="225">
                  <c:v>6432.5829428544075</c:v>
                </c:pt>
                <c:pt idx="226">
                  <c:v>6984.0347111384017</c:v>
                </c:pt>
                <c:pt idx="227">
                  <c:v>6701.4493354560036</c:v>
                </c:pt>
                <c:pt idx="228">
                  <c:v>7232.9877901414102</c:v>
                </c:pt>
                <c:pt idx="229">
                  <c:v>6815.2806478172552</c:v>
                </c:pt>
                <c:pt idx="230">
                  <c:v>6419.0445555407032</c:v>
                </c:pt>
                <c:pt idx="231">
                  <c:v>7244.4800000663954</c:v>
                </c:pt>
                <c:pt idx="232">
                  <c:v>6273.0767211681805</c:v>
                </c:pt>
                <c:pt idx="233">
                  <c:v>6806.8757266755783</c:v>
                </c:pt>
                <c:pt idx="234">
                  <c:v>7003.1333604437086</c:v>
                </c:pt>
                <c:pt idx="235">
                  <c:v>8030.5053636658749</c:v>
                </c:pt>
                <c:pt idx="236">
                  <c:v>7103.9296889944226</c:v>
                </c:pt>
                <c:pt idx="237">
                  <c:v>6083.9292362336992</c:v>
                </c:pt>
                <c:pt idx="238">
                  <c:v>6832.1265169308472</c:v>
                </c:pt>
                <c:pt idx="239">
                  <c:v>6952.3138209938397</c:v>
                </c:pt>
                <c:pt idx="240">
                  <c:v>6072.5885484076789</c:v>
                </c:pt>
                <c:pt idx="241">
                  <c:v>6174.1944186035362</c:v>
                </c:pt>
                <c:pt idx="242">
                  <c:v>5990.0326932144744</c:v>
                </c:pt>
                <c:pt idx="243">
                  <c:v>6414.1594050846652</c:v>
                </c:pt>
                <c:pt idx="244">
                  <c:v>5927.8904430563834</c:v>
                </c:pt>
                <c:pt idx="245">
                  <c:v>6584.949822282264</c:v>
                </c:pt>
                <c:pt idx="246">
                  <c:v>6963.2623747681264</c:v>
                </c:pt>
                <c:pt idx="247">
                  <c:v>5436.6668840694092</c:v>
                </c:pt>
                <c:pt idx="248">
                  <c:v>6784.7517164543578</c:v>
                </c:pt>
                <c:pt idx="249">
                  <c:v>5181.0195326585845</c:v>
                </c:pt>
                <c:pt idx="250">
                  <c:v>5787.4341244643201</c:v>
                </c:pt>
                <c:pt idx="251">
                  <c:v>7054.4242342425141</c:v>
                </c:pt>
                <c:pt idx="252">
                  <c:v>7010.1576480920266</c:v>
                </c:pt>
                <c:pt idx="253">
                  <c:v>5640.7156401819784</c:v>
                </c:pt>
                <c:pt idx="254">
                  <c:v>5724.1400897727444</c:v>
                </c:pt>
                <c:pt idx="255">
                  <c:v>6065.5218476788432</c:v>
                </c:pt>
                <c:pt idx="256">
                  <c:v>6097.0113566974997</c:v>
                </c:pt>
                <c:pt idx="257">
                  <c:v>5360.7283790135152</c:v>
                </c:pt>
                <c:pt idx="258">
                  <c:v>6103.0738619824388</c:v>
                </c:pt>
                <c:pt idx="259">
                  <c:v>6048.639233486032</c:v>
                </c:pt>
                <c:pt idx="260">
                  <c:v>6347.8397420664851</c:v>
                </c:pt>
                <c:pt idx="261">
                  <c:v>6019.9510312680522</c:v>
                </c:pt>
                <c:pt idx="262">
                  <c:v>6002.0302606438854</c:v>
                </c:pt>
                <c:pt idx="263">
                  <c:v>5699.4886509224471</c:v>
                </c:pt>
                <c:pt idx="264">
                  <c:v>6388.7804224455722</c:v>
                </c:pt>
                <c:pt idx="265">
                  <c:v>6641.9905785533774</c:v>
                </c:pt>
                <c:pt idx="266">
                  <c:v>6787.2514929658937</c:v>
                </c:pt>
                <c:pt idx="267">
                  <c:v>5491.99356727348</c:v>
                </c:pt>
                <c:pt idx="268">
                  <c:v>5815.5281605962591</c:v>
                </c:pt>
                <c:pt idx="269">
                  <c:v>7399.6413688103539</c:v>
                </c:pt>
                <c:pt idx="270">
                  <c:v>7231.6940752659011</c:v>
                </c:pt>
                <c:pt idx="271">
                  <c:v>6527.9657284307641</c:v>
                </c:pt>
                <c:pt idx="272">
                  <c:v>6523.6220397346688</c:v>
                </c:pt>
                <c:pt idx="273">
                  <c:v>7632.2208801534143</c:v>
                </c:pt>
                <c:pt idx="274">
                  <c:v>6779.234375196861</c:v>
                </c:pt>
                <c:pt idx="275">
                  <c:v>7977.7144686817373</c:v>
                </c:pt>
                <c:pt idx="276">
                  <c:v>7108.5668857324572</c:v>
                </c:pt>
                <c:pt idx="277">
                  <c:v>6586.7947050070825</c:v>
                </c:pt>
                <c:pt idx="278">
                  <c:v>7108.7188698565124</c:v>
                </c:pt>
                <c:pt idx="279">
                  <c:v>6674.353102869326</c:v>
                </c:pt>
                <c:pt idx="280">
                  <c:v>7632.0595836235243</c:v>
                </c:pt>
                <c:pt idx="281">
                  <c:v>7413.4222932625034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59-4896-9A09-0446F980B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908447"/>
        <c:axId val="1579909407"/>
      </c:scatterChart>
      <c:valAx>
        <c:axId val="1579908447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909407"/>
        <c:crosses val="autoZero"/>
        <c:crossBetween val="midCat"/>
      </c:valAx>
      <c:valAx>
        <c:axId val="1579909407"/>
        <c:scaling>
          <c:orientation val="minMax"/>
          <c:min val="4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90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インセンティブ実施率!$Y$1</c:f>
              <c:strCache>
                <c:ptCount val="1"/>
                <c:pt idx="0">
                  <c:v>（再掲）生活習慣病_入院外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インセンティブ実施率!$D$2:$D$283</c:f>
              <c:numCache>
                <c:formatCode>#,##0.0;[Red]\-#,##0.0</c:formatCode>
                <c:ptCount val="282"/>
                <c:pt idx="0">
                  <c:v>45.6</c:v>
                </c:pt>
                <c:pt idx="1">
                  <c:v>53.1</c:v>
                </c:pt>
                <c:pt idx="2">
                  <c:v>53.7</c:v>
                </c:pt>
                <c:pt idx="3">
                  <c:v>58.2</c:v>
                </c:pt>
                <c:pt idx="4">
                  <c:v>51.7</c:v>
                </c:pt>
                <c:pt idx="5">
                  <c:v>71.900000000000006</c:v>
                </c:pt>
                <c:pt idx="6">
                  <c:v>54.3</c:v>
                </c:pt>
                <c:pt idx="7">
                  <c:v>52.7</c:v>
                </c:pt>
                <c:pt idx="8">
                  <c:v>52.2</c:v>
                </c:pt>
                <c:pt idx="9">
                  <c:v>49.4</c:v>
                </c:pt>
                <c:pt idx="10">
                  <c:v>43.1</c:v>
                </c:pt>
                <c:pt idx="11">
                  <c:v>43</c:v>
                </c:pt>
                <c:pt idx="12">
                  <c:v>47.5</c:v>
                </c:pt>
                <c:pt idx="13">
                  <c:v>42.3</c:v>
                </c:pt>
                <c:pt idx="14">
                  <c:v>64.8</c:v>
                </c:pt>
                <c:pt idx="15">
                  <c:v>64.099999999999994</c:v>
                </c:pt>
                <c:pt idx="16">
                  <c:v>61.8</c:v>
                </c:pt>
                <c:pt idx="17">
                  <c:v>60</c:v>
                </c:pt>
                <c:pt idx="18">
                  <c:v>63.3</c:v>
                </c:pt>
                <c:pt idx="19">
                  <c:v>55.8</c:v>
                </c:pt>
                <c:pt idx="20">
                  <c:v>57.1</c:v>
                </c:pt>
                <c:pt idx="21">
                  <c:v>52</c:v>
                </c:pt>
                <c:pt idx="22">
                  <c:v>47.4</c:v>
                </c:pt>
                <c:pt idx="23">
                  <c:v>53.8</c:v>
                </c:pt>
                <c:pt idx="24">
                  <c:v>54</c:v>
                </c:pt>
                <c:pt idx="25">
                  <c:v>54.3</c:v>
                </c:pt>
                <c:pt idx="26">
                  <c:v>43.3</c:v>
                </c:pt>
                <c:pt idx="27">
                  <c:v>47.7</c:v>
                </c:pt>
                <c:pt idx="28">
                  <c:v>48.1</c:v>
                </c:pt>
                <c:pt idx="29">
                  <c:v>46.9</c:v>
                </c:pt>
                <c:pt idx="30">
                  <c:v>51.1</c:v>
                </c:pt>
                <c:pt idx="31">
                  <c:v>63.9</c:v>
                </c:pt>
                <c:pt idx="32">
                  <c:v>57.3</c:v>
                </c:pt>
                <c:pt idx="33">
                  <c:v>53.7</c:v>
                </c:pt>
                <c:pt idx="34">
                  <c:v>48.5</c:v>
                </c:pt>
                <c:pt idx="35">
                  <c:v>53.5</c:v>
                </c:pt>
                <c:pt idx="36">
                  <c:v>52.1</c:v>
                </c:pt>
                <c:pt idx="37">
                  <c:v>54.4</c:v>
                </c:pt>
                <c:pt idx="38">
                  <c:v>59.2</c:v>
                </c:pt>
                <c:pt idx="39">
                  <c:v>51.3</c:v>
                </c:pt>
                <c:pt idx="40">
                  <c:v>51.8</c:v>
                </c:pt>
                <c:pt idx="41">
                  <c:v>51.4</c:v>
                </c:pt>
                <c:pt idx="42">
                  <c:v>55.7</c:v>
                </c:pt>
                <c:pt idx="43">
                  <c:v>58.5</c:v>
                </c:pt>
                <c:pt idx="44">
                  <c:v>51.3</c:v>
                </c:pt>
                <c:pt idx="45">
                  <c:v>46.7</c:v>
                </c:pt>
                <c:pt idx="46">
                  <c:v>55.7</c:v>
                </c:pt>
                <c:pt idx="47">
                  <c:v>48</c:v>
                </c:pt>
                <c:pt idx="48">
                  <c:v>55.1</c:v>
                </c:pt>
                <c:pt idx="49">
                  <c:v>57.9</c:v>
                </c:pt>
                <c:pt idx="50">
                  <c:v>60</c:v>
                </c:pt>
                <c:pt idx="51">
                  <c:v>53.8</c:v>
                </c:pt>
                <c:pt idx="52">
                  <c:v>73.8</c:v>
                </c:pt>
                <c:pt idx="53">
                  <c:v>55</c:v>
                </c:pt>
                <c:pt idx="54">
                  <c:v>52.8</c:v>
                </c:pt>
                <c:pt idx="55">
                  <c:v>53.3</c:v>
                </c:pt>
                <c:pt idx="56">
                  <c:v>51.2</c:v>
                </c:pt>
                <c:pt idx="57">
                  <c:v>47</c:v>
                </c:pt>
                <c:pt idx="58">
                  <c:v>43.8</c:v>
                </c:pt>
                <c:pt idx="59">
                  <c:v>50.5</c:v>
                </c:pt>
                <c:pt idx="60">
                  <c:v>46.1</c:v>
                </c:pt>
                <c:pt idx="61">
                  <c:v>66.400000000000006</c:v>
                </c:pt>
                <c:pt idx="62">
                  <c:v>66.3</c:v>
                </c:pt>
                <c:pt idx="63">
                  <c:v>63.7</c:v>
                </c:pt>
                <c:pt idx="64">
                  <c:v>61.2</c:v>
                </c:pt>
                <c:pt idx="65">
                  <c:v>65.099999999999994</c:v>
                </c:pt>
                <c:pt idx="66">
                  <c:v>58.7</c:v>
                </c:pt>
                <c:pt idx="67">
                  <c:v>57</c:v>
                </c:pt>
                <c:pt idx="68">
                  <c:v>55.1</c:v>
                </c:pt>
                <c:pt idx="69">
                  <c:v>50.3</c:v>
                </c:pt>
                <c:pt idx="70">
                  <c:v>58.1</c:v>
                </c:pt>
                <c:pt idx="71">
                  <c:v>57.8</c:v>
                </c:pt>
                <c:pt idx="72">
                  <c:v>55.6</c:v>
                </c:pt>
                <c:pt idx="73">
                  <c:v>45.2</c:v>
                </c:pt>
                <c:pt idx="74">
                  <c:v>50.9</c:v>
                </c:pt>
                <c:pt idx="75">
                  <c:v>49.6</c:v>
                </c:pt>
                <c:pt idx="76">
                  <c:v>49.4</c:v>
                </c:pt>
                <c:pt idx="77">
                  <c:v>53.1</c:v>
                </c:pt>
                <c:pt idx="78">
                  <c:v>65.3</c:v>
                </c:pt>
                <c:pt idx="79">
                  <c:v>56.8</c:v>
                </c:pt>
                <c:pt idx="80">
                  <c:v>54.7</c:v>
                </c:pt>
                <c:pt idx="81">
                  <c:v>51.2</c:v>
                </c:pt>
                <c:pt idx="82">
                  <c:v>54.7</c:v>
                </c:pt>
                <c:pt idx="83">
                  <c:v>52.3</c:v>
                </c:pt>
                <c:pt idx="84">
                  <c:v>58.3</c:v>
                </c:pt>
                <c:pt idx="85">
                  <c:v>61.2</c:v>
                </c:pt>
                <c:pt idx="86">
                  <c:v>51.5</c:v>
                </c:pt>
                <c:pt idx="87">
                  <c:v>53.4</c:v>
                </c:pt>
                <c:pt idx="88">
                  <c:v>55.3</c:v>
                </c:pt>
                <c:pt idx="89">
                  <c:v>58.5</c:v>
                </c:pt>
                <c:pt idx="90">
                  <c:v>63.8</c:v>
                </c:pt>
                <c:pt idx="91">
                  <c:v>51.9</c:v>
                </c:pt>
                <c:pt idx="92">
                  <c:v>50.5</c:v>
                </c:pt>
                <c:pt idx="93">
                  <c:v>55.8</c:v>
                </c:pt>
                <c:pt idx="94">
                  <c:v>45</c:v>
                </c:pt>
                <c:pt idx="95">
                  <c:v>55.8</c:v>
                </c:pt>
                <c:pt idx="96">
                  <c:v>55.7</c:v>
                </c:pt>
                <c:pt idx="97">
                  <c:v>58.5</c:v>
                </c:pt>
                <c:pt idx="98">
                  <c:v>55.9</c:v>
                </c:pt>
                <c:pt idx="99">
                  <c:v>73</c:v>
                </c:pt>
                <c:pt idx="100">
                  <c:v>53.1</c:v>
                </c:pt>
                <c:pt idx="101">
                  <c:v>52.3</c:v>
                </c:pt>
                <c:pt idx="102">
                  <c:v>53.4</c:v>
                </c:pt>
                <c:pt idx="103">
                  <c:v>51.2</c:v>
                </c:pt>
                <c:pt idx="104">
                  <c:v>43</c:v>
                </c:pt>
                <c:pt idx="105">
                  <c:v>40</c:v>
                </c:pt>
                <c:pt idx="106">
                  <c:v>47.2</c:v>
                </c:pt>
                <c:pt idx="107">
                  <c:v>41.7</c:v>
                </c:pt>
                <c:pt idx="108">
                  <c:v>65.2</c:v>
                </c:pt>
                <c:pt idx="109">
                  <c:v>67.2</c:v>
                </c:pt>
                <c:pt idx="110">
                  <c:v>61.1</c:v>
                </c:pt>
                <c:pt idx="111">
                  <c:v>58.3</c:v>
                </c:pt>
                <c:pt idx="112">
                  <c:v>62.9</c:v>
                </c:pt>
                <c:pt idx="113">
                  <c:v>58.8</c:v>
                </c:pt>
                <c:pt idx="114">
                  <c:v>56.6</c:v>
                </c:pt>
                <c:pt idx="115">
                  <c:v>54.6</c:v>
                </c:pt>
                <c:pt idx="116">
                  <c:v>49.7</c:v>
                </c:pt>
                <c:pt idx="117">
                  <c:v>57.7</c:v>
                </c:pt>
                <c:pt idx="118">
                  <c:v>57</c:v>
                </c:pt>
                <c:pt idx="119">
                  <c:v>55.9</c:v>
                </c:pt>
                <c:pt idx="120">
                  <c:v>42.8</c:v>
                </c:pt>
                <c:pt idx="121">
                  <c:v>49.1</c:v>
                </c:pt>
                <c:pt idx="122">
                  <c:v>50.1</c:v>
                </c:pt>
                <c:pt idx="123">
                  <c:v>49.8</c:v>
                </c:pt>
                <c:pt idx="124">
                  <c:v>50</c:v>
                </c:pt>
                <c:pt idx="125">
                  <c:v>64.8</c:v>
                </c:pt>
                <c:pt idx="126">
                  <c:v>56</c:v>
                </c:pt>
                <c:pt idx="127">
                  <c:v>53.3</c:v>
                </c:pt>
                <c:pt idx="128">
                  <c:v>53.4</c:v>
                </c:pt>
                <c:pt idx="129">
                  <c:v>55.2</c:v>
                </c:pt>
                <c:pt idx="130">
                  <c:v>51.3</c:v>
                </c:pt>
                <c:pt idx="131">
                  <c:v>56.7</c:v>
                </c:pt>
                <c:pt idx="132">
                  <c:v>60.8</c:v>
                </c:pt>
                <c:pt idx="133">
                  <c:v>50.1</c:v>
                </c:pt>
                <c:pt idx="134">
                  <c:v>49.3</c:v>
                </c:pt>
                <c:pt idx="135">
                  <c:v>54</c:v>
                </c:pt>
                <c:pt idx="136">
                  <c:v>57.9</c:v>
                </c:pt>
                <c:pt idx="137">
                  <c:v>61</c:v>
                </c:pt>
                <c:pt idx="138">
                  <c:v>52.2</c:v>
                </c:pt>
                <c:pt idx="139">
                  <c:v>49.2</c:v>
                </c:pt>
                <c:pt idx="140">
                  <c:v>55.8</c:v>
                </c:pt>
                <c:pt idx="141">
                  <c:v>47.3</c:v>
                </c:pt>
                <c:pt idx="142">
                  <c:v>58.1</c:v>
                </c:pt>
                <c:pt idx="143">
                  <c:v>61.1</c:v>
                </c:pt>
                <c:pt idx="144">
                  <c:v>60.6</c:v>
                </c:pt>
                <c:pt idx="145">
                  <c:v>59.2</c:v>
                </c:pt>
                <c:pt idx="146">
                  <c:v>75.099999999999994</c:v>
                </c:pt>
                <c:pt idx="147">
                  <c:v>57.4</c:v>
                </c:pt>
                <c:pt idx="148">
                  <c:v>55.9</c:v>
                </c:pt>
                <c:pt idx="149">
                  <c:v>58.3</c:v>
                </c:pt>
                <c:pt idx="150">
                  <c:v>54.2</c:v>
                </c:pt>
                <c:pt idx="151">
                  <c:v>48</c:v>
                </c:pt>
                <c:pt idx="152">
                  <c:v>44.8</c:v>
                </c:pt>
                <c:pt idx="153">
                  <c:v>51.5</c:v>
                </c:pt>
                <c:pt idx="154">
                  <c:v>46.5</c:v>
                </c:pt>
                <c:pt idx="155">
                  <c:v>67.5</c:v>
                </c:pt>
                <c:pt idx="156">
                  <c:v>69.099999999999994</c:v>
                </c:pt>
                <c:pt idx="157">
                  <c:v>65.400000000000006</c:v>
                </c:pt>
                <c:pt idx="158">
                  <c:v>64.2</c:v>
                </c:pt>
                <c:pt idx="159">
                  <c:v>64.5</c:v>
                </c:pt>
                <c:pt idx="160">
                  <c:v>61.4</c:v>
                </c:pt>
                <c:pt idx="161">
                  <c:v>63.4</c:v>
                </c:pt>
                <c:pt idx="162">
                  <c:v>56.5</c:v>
                </c:pt>
                <c:pt idx="163">
                  <c:v>53.1</c:v>
                </c:pt>
                <c:pt idx="164">
                  <c:v>60.4</c:v>
                </c:pt>
                <c:pt idx="165">
                  <c:v>62.2</c:v>
                </c:pt>
                <c:pt idx="166">
                  <c:v>58.6</c:v>
                </c:pt>
                <c:pt idx="167">
                  <c:v>46.8</c:v>
                </c:pt>
                <c:pt idx="168">
                  <c:v>54</c:v>
                </c:pt>
                <c:pt idx="169">
                  <c:v>54.7</c:v>
                </c:pt>
                <c:pt idx="170">
                  <c:v>53.8</c:v>
                </c:pt>
                <c:pt idx="171">
                  <c:v>55.5</c:v>
                </c:pt>
                <c:pt idx="172">
                  <c:v>66.8</c:v>
                </c:pt>
                <c:pt idx="173">
                  <c:v>57.9</c:v>
                </c:pt>
                <c:pt idx="174">
                  <c:v>56.2</c:v>
                </c:pt>
                <c:pt idx="175">
                  <c:v>55.2</c:v>
                </c:pt>
                <c:pt idx="176">
                  <c:v>54.4</c:v>
                </c:pt>
                <c:pt idx="177">
                  <c:v>54.7</c:v>
                </c:pt>
                <c:pt idx="178">
                  <c:v>59.2</c:v>
                </c:pt>
                <c:pt idx="179">
                  <c:v>61.5</c:v>
                </c:pt>
                <c:pt idx="180">
                  <c:v>52.3</c:v>
                </c:pt>
                <c:pt idx="181">
                  <c:v>55.6</c:v>
                </c:pt>
                <c:pt idx="182">
                  <c:v>55.8</c:v>
                </c:pt>
                <c:pt idx="183">
                  <c:v>62</c:v>
                </c:pt>
                <c:pt idx="184">
                  <c:v>64.900000000000006</c:v>
                </c:pt>
                <c:pt idx="185">
                  <c:v>55.9</c:v>
                </c:pt>
                <c:pt idx="186">
                  <c:v>49</c:v>
                </c:pt>
                <c:pt idx="187">
                  <c:v>57.8</c:v>
                </c:pt>
                <c:pt idx="188">
                  <c:v>49.1</c:v>
                </c:pt>
                <c:pt idx="189">
                  <c:v>61.1</c:v>
                </c:pt>
                <c:pt idx="190">
                  <c:v>62.5</c:v>
                </c:pt>
                <c:pt idx="191">
                  <c:v>64.400000000000006</c:v>
                </c:pt>
                <c:pt idx="192">
                  <c:v>61.2</c:v>
                </c:pt>
                <c:pt idx="193">
                  <c:v>77.3</c:v>
                </c:pt>
                <c:pt idx="194">
                  <c:v>58.2</c:v>
                </c:pt>
                <c:pt idx="195">
                  <c:v>55.5</c:v>
                </c:pt>
                <c:pt idx="196">
                  <c:v>61</c:v>
                </c:pt>
                <c:pt idx="197">
                  <c:v>55.2</c:v>
                </c:pt>
                <c:pt idx="198">
                  <c:v>49.8</c:v>
                </c:pt>
                <c:pt idx="199">
                  <c:v>46.9</c:v>
                </c:pt>
                <c:pt idx="200">
                  <c:v>53.1</c:v>
                </c:pt>
                <c:pt idx="201">
                  <c:v>48.2</c:v>
                </c:pt>
                <c:pt idx="202">
                  <c:v>69.900000000000006</c:v>
                </c:pt>
                <c:pt idx="203">
                  <c:v>71.8</c:v>
                </c:pt>
                <c:pt idx="204">
                  <c:v>66.599999999999994</c:v>
                </c:pt>
                <c:pt idx="205">
                  <c:v>65.400000000000006</c:v>
                </c:pt>
                <c:pt idx="206">
                  <c:v>67.8</c:v>
                </c:pt>
                <c:pt idx="207">
                  <c:v>64</c:v>
                </c:pt>
                <c:pt idx="208">
                  <c:v>64.8</c:v>
                </c:pt>
                <c:pt idx="209">
                  <c:v>59.4</c:v>
                </c:pt>
                <c:pt idx="210">
                  <c:v>55.8</c:v>
                </c:pt>
                <c:pt idx="211">
                  <c:v>64.400000000000006</c:v>
                </c:pt>
                <c:pt idx="212">
                  <c:v>61.9</c:v>
                </c:pt>
                <c:pt idx="213">
                  <c:v>60.9</c:v>
                </c:pt>
                <c:pt idx="214">
                  <c:v>49.8</c:v>
                </c:pt>
                <c:pt idx="215">
                  <c:v>56.6</c:v>
                </c:pt>
                <c:pt idx="216">
                  <c:v>56.8</c:v>
                </c:pt>
                <c:pt idx="217">
                  <c:v>56.3</c:v>
                </c:pt>
                <c:pt idx="218">
                  <c:v>57.1</c:v>
                </c:pt>
                <c:pt idx="219">
                  <c:v>70.8</c:v>
                </c:pt>
                <c:pt idx="220">
                  <c:v>63.7</c:v>
                </c:pt>
                <c:pt idx="221">
                  <c:v>57.3</c:v>
                </c:pt>
                <c:pt idx="222">
                  <c:v>57</c:v>
                </c:pt>
                <c:pt idx="223">
                  <c:v>55.1</c:v>
                </c:pt>
                <c:pt idx="224">
                  <c:v>54.1</c:v>
                </c:pt>
                <c:pt idx="225">
                  <c:v>61.4</c:v>
                </c:pt>
                <c:pt idx="226">
                  <c:v>66.099999999999994</c:v>
                </c:pt>
                <c:pt idx="227">
                  <c:v>55.4</c:v>
                </c:pt>
                <c:pt idx="228">
                  <c:v>58.9</c:v>
                </c:pt>
                <c:pt idx="229">
                  <c:v>57.7</c:v>
                </c:pt>
                <c:pt idx="230">
                  <c:v>62.1</c:v>
                </c:pt>
                <c:pt idx="231">
                  <c:v>65.5</c:v>
                </c:pt>
                <c:pt idx="232">
                  <c:v>56.6</c:v>
                </c:pt>
                <c:pt idx="233">
                  <c:v>55.1</c:v>
                </c:pt>
                <c:pt idx="234">
                  <c:v>60.1</c:v>
                </c:pt>
                <c:pt idx="235">
                  <c:v>53.5</c:v>
                </c:pt>
                <c:pt idx="236">
                  <c:v>61.4</c:v>
                </c:pt>
                <c:pt idx="237">
                  <c:v>63.7</c:v>
                </c:pt>
                <c:pt idx="238">
                  <c:v>64.099999999999994</c:v>
                </c:pt>
                <c:pt idx="239">
                  <c:v>62.9</c:v>
                </c:pt>
                <c:pt idx="240">
                  <c:v>77.900000000000006</c:v>
                </c:pt>
                <c:pt idx="241">
                  <c:v>59.8</c:v>
                </c:pt>
                <c:pt idx="242">
                  <c:v>55.7</c:v>
                </c:pt>
                <c:pt idx="243">
                  <c:v>61.7</c:v>
                </c:pt>
                <c:pt idx="244">
                  <c:v>55.5</c:v>
                </c:pt>
                <c:pt idx="245">
                  <c:v>48.1</c:v>
                </c:pt>
                <c:pt idx="246">
                  <c:v>47.7</c:v>
                </c:pt>
                <c:pt idx="247">
                  <c:v>53.8</c:v>
                </c:pt>
                <c:pt idx="248">
                  <c:v>48.2</c:v>
                </c:pt>
                <c:pt idx="249">
                  <c:v>70.400000000000006</c:v>
                </c:pt>
                <c:pt idx="250">
                  <c:v>72.3</c:v>
                </c:pt>
                <c:pt idx="251">
                  <c:v>67</c:v>
                </c:pt>
                <c:pt idx="252">
                  <c:v>67.599999999999994</c:v>
                </c:pt>
                <c:pt idx="253">
                  <c:v>69</c:v>
                </c:pt>
                <c:pt idx="254">
                  <c:v>64.5</c:v>
                </c:pt>
                <c:pt idx="255">
                  <c:v>65.5</c:v>
                </c:pt>
                <c:pt idx="256">
                  <c:v>59.7</c:v>
                </c:pt>
                <c:pt idx="257">
                  <c:v>57</c:v>
                </c:pt>
                <c:pt idx="258">
                  <c:v>64.599999999999994</c:v>
                </c:pt>
                <c:pt idx="259">
                  <c:v>62.6</c:v>
                </c:pt>
                <c:pt idx="260">
                  <c:v>62.8</c:v>
                </c:pt>
                <c:pt idx="261">
                  <c:v>50.2</c:v>
                </c:pt>
                <c:pt idx="262">
                  <c:v>56.8</c:v>
                </c:pt>
                <c:pt idx="263">
                  <c:v>56.3</c:v>
                </c:pt>
                <c:pt idx="264">
                  <c:v>57.5</c:v>
                </c:pt>
                <c:pt idx="265">
                  <c:v>58</c:v>
                </c:pt>
                <c:pt idx="266">
                  <c:v>71.5</c:v>
                </c:pt>
                <c:pt idx="267">
                  <c:v>65</c:v>
                </c:pt>
                <c:pt idx="268">
                  <c:v>59.3</c:v>
                </c:pt>
                <c:pt idx="269">
                  <c:v>57.1</c:v>
                </c:pt>
                <c:pt idx="270">
                  <c:v>57</c:v>
                </c:pt>
                <c:pt idx="271">
                  <c:v>55</c:v>
                </c:pt>
                <c:pt idx="272">
                  <c:v>63</c:v>
                </c:pt>
                <c:pt idx="273">
                  <c:v>68</c:v>
                </c:pt>
                <c:pt idx="274">
                  <c:v>57.9</c:v>
                </c:pt>
                <c:pt idx="275">
                  <c:v>58.9</c:v>
                </c:pt>
                <c:pt idx="276">
                  <c:v>59.3</c:v>
                </c:pt>
                <c:pt idx="277">
                  <c:v>64.099999999999994</c:v>
                </c:pt>
                <c:pt idx="278">
                  <c:v>66.599999999999994</c:v>
                </c:pt>
                <c:pt idx="279">
                  <c:v>60.1</c:v>
                </c:pt>
                <c:pt idx="280">
                  <c:v>51.6</c:v>
                </c:pt>
                <c:pt idx="281">
                  <c:v>60.2</c:v>
                </c:pt>
              </c:numCache>
            </c:numRef>
          </c:xVal>
          <c:yVal>
            <c:numRef>
              <c:f>インセンティブ実施率!$Y$2:$Y$283</c:f>
              <c:numCache>
                <c:formatCode>#,##0.00_);[Red]\(#,##0.00\)</c:formatCode>
                <c:ptCount val="282"/>
                <c:pt idx="0">
                  <c:v>23206.538448812094</c:v>
                </c:pt>
                <c:pt idx="1">
                  <c:v>25714.879262786231</c:v>
                </c:pt>
                <c:pt idx="2">
                  <c:v>24283.541441139751</c:v>
                </c:pt>
                <c:pt idx="3">
                  <c:v>24977.514865600337</c:v>
                </c:pt>
                <c:pt idx="4">
                  <c:v>25547.624212939318</c:v>
                </c:pt>
                <c:pt idx="5">
                  <c:v>25132.778631424117</c:v>
                </c:pt>
                <c:pt idx="6">
                  <c:v>24988.804591420612</c:v>
                </c:pt>
                <c:pt idx="7">
                  <c:v>21607.896961390783</c:v>
                </c:pt>
                <c:pt idx="8">
                  <c:v>21907.605418906503</c:v>
                </c:pt>
                <c:pt idx="9">
                  <c:v>20526.547906792424</c:v>
                </c:pt>
                <c:pt idx="10">
                  <c:v>20537.230287107515</c:v>
                </c:pt>
                <c:pt idx="11">
                  <c:v>21108.187310575067</c:v>
                </c:pt>
                <c:pt idx="12">
                  <c:v>17865.11743432987</c:v>
                </c:pt>
                <c:pt idx="13">
                  <c:v>20026.082621548223</c:v>
                </c:pt>
                <c:pt idx="14">
                  <c:v>19392.177497480548</c:v>
                </c:pt>
                <c:pt idx="15">
                  <c:v>19487.744108242969</c:v>
                </c:pt>
                <c:pt idx="16">
                  <c:v>20082.446608414368</c:v>
                </c:pt>
                <c:pt idx="17">
                  <c:v>21257.865900563451</c:v>
                </c:pt>
                <c:pt idx="18">
                  <c:v>20906.550496157815</c:v>
                </c:pt>
                <c:pt idx="19">
                  <c:v>18478.193764182452</c:v>
                </c:pt>
                <c:pt idx="20">
                  <c:v>19910.901711601451</c:v>
                </c:pt>
                <c:pt idx="21">
                  <c:v>20040.322113131955</c:v>
                </c:pt>
                <c:pt idx="22">
                  <c:v>18570.766001488395</c:v>
                </c:pt>
                <c:pt idx="23">
                  <c:v>19956.444132512985</c:v>
                </c:pt>
                <c:pt idx="24">
                  <c:v>19323.848732359478</c:v>
                </c:pt>
                <c:pt idx="25">
                  <c:v>17149.419953795619</c:v>
                </c:pt>
                <c:pt idx="26">
                  <c:v>18141.91081279183</c:v>
                </c:pt>
                <c:pt idx="27">
                  <c:v>19385.838920159935</c:v>
                </c:pt>
                <c:pt idx="28">
                  <c:v>19978.599246652586</c:v>
                </c:pt>
                <c:pt idx="29">
                  <c:v>19817.578181419296</c:v>
                </c:pt>
                <c:pt idx="30">
                  <c:v>18354.681702523842</c:v>
                </c:pt>
                <c:pt idx="31">
                  <c:v>21610.905781042806</c:v>
                </c:pt>
                <c:pt idx="32">
                  <c:v>19956.967486263507</c:v>
                </c:pt>
                <c:pt idx="33">
                  <c:v>19663.455270675324</c:v>
                </c:pt>
                <c:pt idx="34">
                  <c:v>21751.168796547445</c:v>
                </c:pt>
                <c:pt idx="35">
                  <c:v>22830.382778119532</c:v>
                </c:pt>
                <c:pt idx="36">
                  <c:v>20328.168872273269</c:v>
                </c:pt>
                <c:pt idx="37">
                  <c:v>20057.058311496552</c:v>
                </c:pt>
                <c:pt idx="38">
                  <c:v>21539.237879299148</c:v>
                </c:pt>
                <c:pt idx="39">
                  <c:v>20051.713069308578</c:v>
                </c:pt>
                <c:pt idx="40">
                  <c:v>24604.601724438187</c:v>
                </c:pt>
                <c:pt idx="41">
                  <c:v>22030.962424892463</c:v>
                </c:pt>
                <c:pt idx="42">
                  <c:v>22270.723769092459</c:v>
                </c:pt>
                <c:pt idx="43">
                  <c:v>22353.31996481189</c:v>
                </c:pt>
                <c:pt idx="44">
                  <c:v>20618.644299878841</c:v>
                </c:pt>
                <c:pt idx="45">
                  <c:v>21550.61731798252</c:v>
                </c:pt>
                <c:pt idx="46">
                  <c:v>17057.83941919477</c:v>
                </c:pt>
                <c:pt idx="47">
                  <c:v>23996.004630208608</c:v>
                </c:pt>
                <c:pt idx="48">
                  <c:v>26639.235903648376</c:v>
                </c:pt>
                <c:pt idx="49">
                  <c:v>25375.782904575201</c:v>
                </c:pt>
                <c:pt idx="50">
                  <c:v>25675.13884225678</c:v>
                </c:pt>
                <c:pt idx="51">
                  <c:v>26807.362238643575</c:v>
                </c:pt>
                <c:pt idx="52">
                  <c:v>26229.343641149662</c:v>
                </c:pt>
                <c:pt idx="53">
                  <c:v>25902.843036323542</c:v>
                </c:pt>
                <c:pt idx="54">
                  <c:v>22488.638218809556</c:v>
                </c:pt>
                <c:pt idx="55">
                  <c:v>22723.499568847219</c:v>
                </c:pt>
                <c:pt idx="56">
                  <c:v>21224.159652777784</c:v>
                </c:pt>
                <c:pt idx="57">
                  <c:v>21194.20655620535</c:v>
                </c:pt>
                <c:pt idx="58">
                  <c:v>21908.047950706714</c:v>
                </c:pt>
                <c:pt idx="59">
                  <c:v>17424.340526644308</c:v>
                </c:pt>
                <c:pt idx="60">
                  <c:v>20712.614861476439</c:v>
                </c:pt>
                <c:pt idx="61">
                  <c:v>19924.735387001449</c:v>
                </c:pt>
                <c:pt idx="62">
                  <c:v>19896.444060164584</c:v>
                </c:pt>
                <c:pt idx="63">
                  <c:v>20640.326350610598</c:v>
                </c:pt>
                <c:pt idx="64">
                  <c:v>21945.569387045674</c:v>
                </c:pt>
                <c:pt idx="65">
                  <c:v>21285.870906052081</c:v>
                </c:pt>
                <c:pt idx="66">
                  <c:v>19189.766982983056</c:v>
                </c:pt>
                <c:pt idx="67">
                  <c:v>20717.661389531171</c:v>
                </c:pt>
                <c:pt idx="68">
                  <c:v>20535.730306119385</c:v>
                </c:pt>
                <c:pt idx="69">
                  <c:v>19182.042968858077</c:v>
                </c:pt>
                <c:pt idx="70">
                  <c:v>20604.252694880903</c:v>
                </c:pt>
                <c:pt idx="71">
                  <c:v>19753.826839552712</c:v>
                </c:pt>
                <c:pt idx="72">
                  <c:v>17551.804280054777</c:v>
                </c:pt>
                <c:pt idx="73">
                  <c:v>18603.168561908289</c:v>
                </c:pt>
                <c:pt idx="74">
                  <c:v>19992.574302025227</c:v>
                </c:pt>
                <c:pt idx="75">
                  <c:v>20713.90242232976</c:v>
                </c:pt>
                <c:pt idx="76">
                  <c:v>20599.300525193761</c:v>
                </c:pt>
                <c:pt idx="77">
                  <c:v>19297.223790431268</c:v>
                </c:pt>
                <c:pt idx="78">
                  <c:v>22377.363970382361</c:v>
                </c:pt>
                <c:pt idx="79">
                  <c:v>20549.583346912244</c:v>
                </c:pt>
                <c:pt idx="80">
                  <c:v>20107.774009170345</c:v>
                </c:pt>
                <c:pt idx="81">
                  <c:v>22598.269617952719</c:v>
                </c:pt>
                <c:pt idx="82">
                  <c:v>23569.515906207871</c:v>
                </c:pt>
                <c:pt idx="83">
                  <c:v>21037.891168977301</c:v>
                </c:pt>
                <c:pt idx="84">
                  <c:v>20762.33216721793</c:v>
                </c:pt>
                <c:pt idx="85">
                  <c:v>21972.279882201467</c:v>
                </c:pt>
                <c:pt idx="86">
                  <c:v>20726.230763232183</c:v>
                </c:pt>
                <c:pt idx="87">
                  <c:v>25880.180535850202</c:v>
                </c:pt>
                <c:pt idx="88">
                  <c:v>22798.223454257841</c:v>
                </c:pt>
                <c:pt idx="89">
                  <c:v>23194.141794466021</c:v>
                </c:pt>
                <c:pt idx="90">
                  <c:v>23472.853524902854</c:v>
                </c:pt>
                <c:pt idx="91">
                  <c:v>21104.434932178152</c:v>
                </c:pt>
                <c:pt idx="92">
                  <c:v>22499.389423065346</c:v>
                </c:pt>
                <c:pt idx="93">
                  <c:v>17933.371151086798</c:v>
                </c:pt>
                <c:pt idx="94">
                  <c:v>24131.240088952487</c:v>
                </c:pt>
                <c:pt idx="95">
                  <c:v>27131.077626520691</c:v>
                </c:pt>
                <c:pt idx="96">
                  <c:v>25950.363036327821</c:v>
                </c:pt>
                <c:pt idx="97">
                  <c:v>25803.941290270974</c:v>
                </c:pt>
                <c:pt idx="98">
                  <c:v>27109.735030741031</c:v>
                </c:pt>
                <c:pt idx="99">
                  <c:v>26418.056805402535</c:v>
                </c:pt>
                <c:pt idx="100">
                  <c:v>26107.358190224943</c:v>
                </c:pt>
                <c:pt idx="101">
                  <c:v>22632.798273292265</c:v>
                </c:pt>
                <c:pt idx="102">
                  <c:v>22676.552031207761</c:v>
                </c:pt>
                <c:pt idx="103">
                  <c:v>21108.590495381584</c:v>
                </c:pt>
                <c:pt idx="104">
                  <c:v>21109.670719541333</c:v>
                </c:pt>
                <c:pt idx="105">
                  <c:v>21812.48614953622</c:v>
                </c:pt>
                <c:pt idx="106">
                  <c:v>17405.883048810825</c:v>
                </c:pt>
                <c:pt idx="107">
                  <c:v>20821.951432492737</c:v>
                </c:pt>
                <c:pt idx="108">
                  <c:v>19939.760626740801</c:v>
                </c:pt>
                <c:pt idx="109">
                  <c:v>19987.631003383445</c:v>
                </c:pt>
                <c:pt idx="110">
                  <c:v>20663.06063599974</c:v>
                </c:pt>
                <c:pt idx="111">
                  <c:v>21740.189433063497</c:v>
                </c:pt>
                <c:pt idx="112">
                  <c:v>21354.006949937302</c:v>
                </c:pt>
                <c:pt idx="113">
                  <c:v>19456.047192126309</c:v>
                </c:pt>
                <c:pt idx="114">
                  <c:v>20931.481320679362</c:v>
                </c:pt>
                <c:pt idx="115">
                  <c:v>20685.418269531507</c:v>
                </c:pt>
                <c:pt idx="116">
                  <c:v>19366.817675651193</c:v>
                </c:pt>
                <c:pt idx="117">
                  <c:v>21043.827109787642</c:v>
                </c:pt>
                <c:pt idx="118">
                  <c:v>19687.042673048505</c:v>
                </c:pt>
                <c:pt idx="119">
                  <c:v>17440.623550597305</c:v>
                </c:pt>
                <c:pt idx="120">
                  <c:v>18718.195583777902</c:v>
                </c:pt>
                <c:pt idx="121">
                  <c:v>20049.448905795085</c:v>
                </c:pt>
                <c:pt idx="122">
                  <c:v>20768.258296819498</c:v>
                </c:pt>
                <c:pt idx="123">
                  <c:v>21209.998776554276</c:v>
                </c:pt>
                <c:pt idx="124">
                  <c:v>19421.257127973549</c:v>
                </c:pt>
                <c:pt idx="125">
                  <c:v>22650.060304509854</c:v>
                </c:pt>
                <c:pt idx="126">
                  <c:v>20640.480997160445</c:v>
                </c:pt>
                <c:pt idx="127">
                  <c:v>20117.363338581425</c:v>
                </c:pt>
                <c:pt idx="128">
                  <c:v>22601.701627888724</c:v>
                </c:pt>
                <c:pt idx="129">
                  <c:v>23577.65116953868</c:v>
                </c:pt>
                <c:pt idx="130">
                  <c:v>21125.727846504338</c:v>
                </c:pt>
                <c:pt idx="131">
                  <c:v>20816.584561504285</c:v>
                </c:pt>
                <c:pt idx="132">
                  <c:v>21975.638896785327</c:v>
                </c:pt>
                <c:pt idx="133">
                  <c:v>20824.413808780246</c:v>
                </c:pt>
                <c:pt idx="134">
                  <c:v>25982.991906457079</c:v>
                </c:pt>
                <c:pt idx="135">
                  <c:v>22927.12015377649</c:v>
                </c:pt>
                <c:pt idx="136">
                  <c:v>23559.603727996695</c:v>
                </c:pt>
                <c:pt idx="137">
                  <c:v>23913.469014089624</c:v>
                </c:pt>
                <c:pt idx="138">
                  <c:v>21439.019183828903</c:v>
                </c:pt>
                <c:pt idx="139">
                  <c:v>22918.892797578814</c:v>
                </c:pt>
                <c:pt idx="140">
                  <c:v>18064.71108575289</c:v>
                </c:pt>
                <c:pt idx="141">
                  <c:v>25021.381550028418</c:v>
                </c:pt>
                <c:pt idx="142">
                  <c:v>27996.638339623634</c:v>
                </c:pt>
                <c:pt idx="143">
                  <c:v>27013.896013718942</c:v>
                </c:pt>
                <c:pt idx="144">
                  <c:v>26975.960042625047</c:v>
                </c:pt>
                <c:pt idx="145">
                  <c:v>27990.734662888935</c:v>
                </c:pt>
                <c:pt idx="146">
                  <c:v>27541.542513238168</c:v>
                </c:pt>
                <c:pt idx="147">
                  <c:v>27047.138560906784</c:v>
                </c:pt>
                <c:pt idx="148">
                  <c:v>23451.962439422186</c:v>
                </c:pt>
                <c:pt idx="149">
                  <c:v>23620.173942927569</c:v>
                </c:pt>
                <c:pt idx="150">
                  <c:v>21898.131160228495</c:v>
                </c:pt>
                <c:pt idx="151">
                  <c:v>22062.202766482627</c:v>
                </c:pt>
                <c:pt idx="152">
                  <c:v>22831.836504756371</c:v>
                </c:pt>
                <c:pt idx="153">
                  <c:v>18151.295490067965</c:v>
                </c:pt>
                <c:pt idx="154">
                  <c:v>21894.634596874603</c:v>
                </c:pt>
                <c:pt idx="155">
                  <c:v>20601.895331066731</c:v>
                </c:pt>
                <c:pt idx="156">
                  <c:v>21029.263047003424</c:v>
                </c:pt>
                <c:pt idx="157">
                  <c:v>21375.061212145738</c:v>
                </c:pt>
                <c:pt idx="158">
                  <c:v>22594.763971075354</c:v>
                </c:pt>
                <c:pt idx="159">
                  <c:v>22279.55855209244</c:v>
                </c:pt>
                <c:pt idx="160">
                  <c:v>20221.08058736557</c:v>
                </c:pt>
                <c:pt idx="161">
                  <c:v>22074.475112767144</c:v>
                </c:pt>
                <c:pt idx="162">
                  <c:v>21632.81021979998</c:v>
                </c:pt>
                <c:pt idx="163">
                  <c:v>20202.226247906772</c:v>
                </c:pt>
                <c:pt idx="164">
                  <c:v>22130.259824558583</c:v>
                </c:pt>
                <c:pt idx="165">
                  <c:v>20445.13441027288</c:v>
                </c:pt>
                <c:pt idx="166">
                  <c:v>18275.362436888994</c:v>
                </c:pt>
                <c:pt idx="167">
                  <c:v>19671.058461297318</c:v>
                </c:pt>
                <c:pt idx="168">
                  <c:v>20978.259271504048</c:v>
                </c:pt>
                <c:pt idx="169">
                  <c:v>21719.868678794606</c:v>
                </c:pt>
                <c:pt idx="170">
                  <c:v>22322.76734423605</c:v>
                </c:pt>
                <c:pt idx="171">
                  <c:v>20062.063633609938</c:v>
                </c:pt>
                <c:pt idx="172">
                  <c:v>23669.191108868356</c:v>
                </c:pt>
                <c:pt idx="173">
                  <c:v>21315.195242686728</c:v>
                </c:pt>
                <c:pt idx="174">
                  <c:v>20883.584708859235</c:v>
                </c:pt>
                <c:pt idx="175">
                  <c:v>23273.669004107578</c:v>
                </c:pt>
                <c:pt idx="176">
                  <c:v>24439.661790533952</c:v>
                </c:pt>
                <c:pt idx="177">
                  <c:v>22112.555509559214</c:v>
                </c:pt>
                <c:pt idx="178">
                  <c:v>21631.623778970952</c:v>
                </c:pt>
                <c:pt idx="179">
                  <c:v>22386.139602998359</c:v>
                </c:pt>
                <c:pt idx="180">
                  <c:v>21809.17145560023</c:v>
                </c:pt>
                <c:pt idx="181">
                  <c:v>27190.934815109402</c:v>
                </c:pt>
                <c:pt idx="182">
                  <c:v>23773.920068150001</c:v>
                </c:pt>
                <c:pt idx="183">
                  <c:v>24686.911476451736</c:v>
                </c:pt>
                <c:pt idx="184">
                  <c:v>24802.241854877968</c:v>
                </c:pt>
                <c:pt idx="185">
                  <c:v>22399.932353178887</c:v>
                </c:pt>
                <c:pt idx="186">
                  <c:v>24014.979833048106</c:v>
                </c:pt>
                <c:pt idx="187">
                  <c:v>18923.44468003403</c:v>
                </c:pt>
                <c:pt idx="188">
                  <c:v>25160.956371617111</c:v>
                </c:pt>
                <c:pt idx="189">
                  <c:v>28366.567353714046</c:v>
                </c:pt>
                <c:pt idx="190">
                  <c:v>27505.724833405602</c:v>
                </c:pt>
                <c:pt idx="191">
                  <c:v>27295.075812003215</c:v>
                </c:pt>
                <c:pt idx="192">
                  <c:v>28304.561358525367</c:v>
                </c:pt>
                <c:pt idx="193">
                  <c:v>28201.461744661541</c:v>
                </c:pt>
                <c:pt idx="194">
                  <c:v>27255.116503597561</c:v>
                </c:pt>
                <c:pt idx="195">
                  <c:v>23545.562210454817</c:v>
                </c:pt>
                <c:pt idx="196">
                  <c:v>23800.394142674246</c:v>
                </c:pt>
                <c:pt idx="197">
                  <c:v>22151.627262964423</c:v>
                </c:pt>
                <c:pt idx="198">
                  <c:v>22003.938050314689</c:v>
                </c:pt>
                <c:pt idx="199">
                  <c:v>22687.33342725347</c:v>
                </c:pt>
                <c:pt idx="200">
                  <c:v>18011.619913466562</c:v>
                </c:pt>
                <c:pt idx="201">
                  <c:v>21854.371383979615</c:v>
                </c:pt>
                <c:pt idx="202">
                  <c:v>20723.248086919542</c:v>
                </c:pt>
                <c:pt idx="203">
                  <c:v>21100.568625846412</c:v>
                </c:pt>
                <c:pt idx="204">
                  <c:v>21302.784294773151</c:v>
                </c:pt>
                <c:pt idx="205">
                  <c:v>22803.854143841887</c:v>
                </c:pt>
                <c:pt idx="206">
                  <c:v>22254.451842458857</c:v>
                </c:pt>
                <c:pt idx="207">
                  <c:v>20355.370854426248</c:v>
                </c:pt>
                <c:pt idx="208">
                  <c:v>22251.104308457659</c:v>
                </c:pt>
                <c:pt idx="209">
                  <c:v>21921.265342381295</c:v>
                </c:pt>
                <c:pt idx="210">
                  <c:v>20403.07304718245</c:v>
                </c:pt>
                <c:pt idx="211">
                  <c:v>22175.644923590226</c:v>
                </c:pt>
                <c:pt idx="212">
                  <c:v>20296.072839968107</c:v>
                </c:pt>
                <c:pt idx="213">
                  <c:v>18316.558350014206</c:v>
                </c:pt>
                <c:pt idx="214">
                  <c:v>19705.72376036776</c:v>
                </c:pt>
                <c:pt idx="215">
                  <c:v>21050.964712927231</c:v>
                </c:pt>
                <c:pt idx="216">
                  <c:v>21822.645147166368</c:v>
                </c:pt>
                <c:pt idx="217">
                  <c:v>22349.290974246971</c:v>
                </c:pt>
                <c:pt idx="218">
                  <c:v>19937.864276958968</c:v>
                </c:pt>
                <c:pt idx="219">
                  <c:v>24018.42990379249</c:v>
                </c:pt>
                <c:pt idx="220">
                  <c:v>21207.1575359942</c:v>
                </c:pt>
                <c:pt idx="221">
                  <c:v>20908.892106831423</c:v>
                </c:pt>
                <c:pt idx="222">
                  <c:v>23234.29630107903</c:v>
                </c:pt>
                <c:pt idx="223">
                  <c:v>24488.537034825888</c:v>
                </c:pt>
                <c:pt idx="224">
                  <c:v>22188.043156993801</c:v>
                </c:pt>
                <c:pt idx="225">
                  <c:v>21784.1414221425</c:v>
                </c:pt>
                <c:pt idx="226">
                  <c:v>22504.911535594656</c:v>
                </c:pt>
                <c:pt idx="227">
                  <c:v>21879.425241856537</c:v>
                </c:pt>
                <c:pt idx="228">
                  <c:v>27560.046387397491</c:v>
                </c:pt>
                <c:pt idx="229">
                  <c:v>24132.300151697436</c:v>
                </c:pt>
                <c:pt idx="230">
                  <c:v>24821.617671434309</c:v>
                </c:pt>
                <c:pt idx="231">
                  <c:v>25033.381517199719</c:v>
                </c:pt>
                <c:pt idx="232">
                  <c:v>23318.464599552663</c:v>
                </c:pt>
                <c:pt idx="233">
                  <c:v>24388.350488892414</c:v>
                </c:pt>
                <c:pt idx="234">
                  <c:v>19050.364951091145</c:v>
                </c:pt>
                <c:pt idx="235">
                  <c:v>25521.595379746668</c:v>
                </c:pt>
                <c:pt idx="236">
                  <c:v>28810.925927112687</c:v>
                </c:pt>
                <c:pt idx="237">
                  <c:v>28149.50142503684</c:v>
                </c:pt>
                <c:pt idx="238">
                  <c:v>27337.927791901333</c:v>
                </c:pt>
                <c:pt idx="239">
                  <c:v>28877.155047290475</c:v>
                </c:pt>
                <c:pt idx="240">
                  <c:v>28476.301090471603</c:v>
                </c:pt>
                <c:pt idx="241">
                  <c:v>27296.163855286828</c:v>
                </c:pt>
                <c:pt idx="242">
                  <c:v>23625.345563463445</c:v>
                </c:pt>
                <c:pt idx="243">
                  <c:v>24079.670683780441</c:v>
                </c:pt>
                <c:pt idx="244">
                  <c:v>22213.658056718872</c:v>
                </c:pt>
                <c:pt idx="245">
                  <c:v>22249.554383718929</c:v>
                </c:pt>
                <c:pt idx="246">
                  <c:v>22978.064443960124</c:v>
                </c:pt>
                <c:pt idx="247">
                  <c:v>18146.452286846721</c:v>
                </c:pt>
                <c:pt idx="248">
                  <c:v>21969.130486662598</c:v>
                </c:pt>
                <c:pt idx="249">
                  <c:v>21081.522278188757</c:v>
                </c:pt>
                <c:pt idx="250">
                  <c:v>21576.979202551975</c:v>
                </c:pt>
                <c:pt idx="251">
                  <c:v>21504.520829268786</c:v>
                </c:pt>
                <c:pt idx="252">
                  <c:v>22794.327332147972</c:v>
                </c:pt>
                <c:pt idx="253">
                  <c:v>22264.640102073896</c:v>
                </c:pt>
                <c:pt idx="254">
                  <c:v>20642.432314496684</c:v>
                </c:pt>
                <c:pt idx="255">
                  <c:v>22325.534358032535</c:v>
                </c:pt>
                <c:pt idx="256">
                  <c:v>22359.441122507043</c:v>
                </c:pt>
                <c:pt idx="257">
                  <c:v>20595.889230557823</c:v>
                </c:pt>
                <c:pt idx="258">
                  <c:v>22456.119370872533</c:v>
                </c:pt>
                <c:pt idx="259">
                  <c:v>20304.76935093163</c:v>
                </c:pt>
                <c:pt idx="260">
                  <c:v>18334.866099599225</c:v>
                </c:pt>
                <c:pt idx="261">
                  <c:v>19888.998117925781</c:v>
                </c:pt>
                <c:pt idx="262">
                  <c:v>21103.862949822269</c:v>
                </c:pt>
                <c:pt idx="263">
                  <c:v>21651.483188204642</c:v>
                </c:pt>
                <c:pt idx="264">
                  <c:v>22533.700160255001</c:v>
                </c:pt>
                <c:pt idx="265">
                  <c:v>20331.862774846562</c:v>
                </c:pt>
                <c:pt idx="266">
                  <c:v>24032.618232371846</c:v>
                </c:pt>
                <c:pt idx="267">
                  <c:v>21553.706931032611</c:v>
                </c:pt>
                <c:pt idx="268">
                  <c:v>21083.648832282895</c:v>
                </c:pt>
                <c:pt idx="269">
                  <c:v>23442.111728790678</c:v>
                </c:pt>
                <c:pt idx="270">
                  <c:v>24495.174236399504</c:v>
                </c:pt>
                <c:pt idx="271">
                  <c:v>22082.238418055444</c:v>
                </c:pt>
                <c:pt idx="272">
                  <c:v>22007.257177381558</c:v>
                </c:pt>
                <c:pt idx="273">
                  <c:v>23109.862662179472</c:v>
                </c:pt>
                <c:pt idx="274">
                  <c:v>22116.688941105203</c:v>
                </c:pt>
                <c:pt idx="275">
                  <c:v>27450.295550694595</c:v>
                </c:pt>
                <c:pt idx="276">
                  <c:v>24342.890839306972</c:v>
                </c:pt>
                <c:pt idx="277">
                  <c:v>25060.59013102403</c:v>
                </c:pt>
                <c:pt idx="278">
                  <c:v>25671.979646635657</c:v>
                </c:pt>
                <c:pt idx="279">
                  <c:v>23252.535350725208</c:v>
                </c:pt>
                <c:pt idx="280">
                  <c:v>24809.295936046856</c:v>
                </c:pt>
                <c:pt idx="281">
                  <c:v>19465.610430459154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71-4B58-844F-2DCF3339D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908447"/>
        <c:axId val="1579909407"/>
      </c:scatterChart>
      <c:valAx>
        <c:axId val="1579908447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909407"/>
        <c:crosses val="autoZero"/>
        <c:crossBetween val="midCat"/>
      </c:valAx>
      <c:valAx>
        <c:axId val="1579909407"/>
        <c:scaling>
          <c:orientation val="minMax"/>
          <c:min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90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インセンティブ実施率!$S$1</c:f>
              <c:strCache>
                <c:ptCount val="1"/>
                <c:pt idx="0">
                  <c:v>１人当たり医療費_合計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インセンティブ実施率!$F$2:$F$283</c:f>
              <c:numCache>
                <c:formatCode>#,##0.0;[Red]\-#,##0.0</c:formatCode>
                <c:ptCount val="282"/>
                <c:pt idx="0">
                  <c:v>9.6999999999999993</c:v>
                </c:pt>
                <c:pt idx="1">
                  <c:v>21.6</c:v>
                </c:pt>
                <c:pt idx="2">
                  <c:v>17.600000000000001</c:v>
                </c:pt>
                <c:pt idx="3">
                  <c:v>27.2</c:v>
                </c:pt>
                <c:pt idx="4">
                  <c:v>29.5</c:v>
                </c:pt>
                <c:pt idx="5">
                  <c:v>28.3</c:v>
                </c:pt>
                <c:pt idx="6">
                  <c:v>24.9</c:v>
                </c:pt>
                <c:pt idx="7">
                  <c:v>18.7</c:v>
                </c:pt>
                <c:pt idx="8">
                  <c:v>21.5</c:v>
                </c:pt>
                <c:pt idx="9">
                  <c:v>12.5</c:v>
                </c:pt>
                <c:pt idx="10">
                  <c:v>9.1999999999999993</c:v>
                </c:pt>
                <c:pt idx="11">
                  <c:v>17.8</c:v>
                </c:pt>
                <c:pt idx="12">
                  <c:v>7.3</c:v>
                </c:pt>
                <c:pt idx="13">
                  <c:v>6.8</c:v>
                </c:pt>
                <c:pt idx="14">
                  <c:v>17.100000000000001</c:v>
                </c:pt>
                <c:pt idx="15">
                  <c:v>25.8</c:v>
                </c:pt>
                <c:pt idx="16">
                  <c:v>21.6</c:v>
                </c:pt>
                <c:pt idx="17">
                  <c:v>17.600000000000001</c:v>
                </c:pt>
                <c:pt idx="18">
                  <c:v>16.2</c:v>
                </c:pt>
                <c:pt idx="19">
                  <c:v>24.7</c:v>
                </c:pt>
                <c:pt idx="20">
                  <c:v>20.5</c:v>
                </c:pt>
                <c:pt idx="21">
                  <c:v>13.4</c:v>
                </c:pt>
                <c:pt idx="22">
                  <c:v>10.199999999999999</c:v>
                </c:pt>
                <c:pt idx="23">
                  <c:v>17.3</c:v>
                </c:pt>
                <c:pt idx="24">
                  <c:v>21.9</c:v>
                </c:pt>
                <c:pt idx="25">
                  <c:v>12.6</c:v>
                </c:pt>
                <c:pt idx="26">
                  <c:v>10</c:v>
                </c:pt>
                <c:pt idx="27">
                  <c:v>12.1</c:v>
                </c:pt>
                <c:pt idx="28">
                  <c:v>15.9</c:v>
                </c:pt>
                <c:pt idx="29">
                  <c:v>18.2</c:v>
                </c:pt>
                <c:pt idx="30">
                  <c:v>25.2</c:v>
                </c:pt>
                <c:pt idx="31">
                  <c:v>23.5</c:v>
                </c:pt>
                <c:pt idx="32">
                  <c:v>25.4</c:v>
                </c:pt>
                <c:pt idx="33">
                  <c:v>19.399999999999999</c:v>
                </c:pt>
                <c:pt idx="34">
                  <c:v>22.5</c:v>
                </c:pt>
                <c:pt idx="35">
                  <c:v>20.6</c:v>
                </c:pt>
                <c:pt idx="36">
                  <c:v>32.1</c:v>
                </c:pt>
                <c:pt idx="37">
                  <c:v>20.2</c:v>
                </c:pt>
                <c:pt idx="38">
                  <c:v>15</c:v>
                </c:pt>
                <c:pt idx="39">
                  <c:v>13.1</c:v>
                </c:pt>
                <c:pt idx="40">
                  <c:v>22.2</c:v>
                </c:pt>
                <c:pt idx="41">
                  <c:v>24.9</c:v>
                </c:pt>
                <c:pt idx="42">
                  <c:v>29.5</c:v>
                </c:pt>
                <c:pt idx="43">
                  <c:v>22</c:v>
                </c:pt>
                <c:pt idx="44">
                  <c:v>23.9</c:v>
                </c:pt>
                <c:pt idx="45">
                  <c:v>19.899999999999999</c:v>
                </c:pt>
                <c:pt idx="46">
                  <c:v>29.7</c:v>
                </c:pt>
                <c:pt idx="47">
                  <c:v>9.9</c:v>
                </c:pt>
                <c:pt idx="48">
                  <c:v>17.8</c:v>
                </c:pt>
                <c:pt idx="49">
                  <c:v>14.6</c:v>
                </c:pt>
                <c:pt idx="50">
                  <c:v>27.4</c:v>
                </c:pt>
                <c:pt idx="51">
                  <c:v>28.7</c:v>
                </c:pt>
                <c:pt idx="52">
                  <c:v>24</c:v>
                </c:pt>
                <c:pt idx="53">
                  <c:v>23.9</c:v>
                </c:pt>
                <c:pt idx="54">
                  <c:v>20.2</c:v>
                </c:pt>
                <c:pt idx="55">
                  <c:v>22.7</c:v>
                </c:pt>
                <c:pt idx="56">
                  <c:v>13.5</c:v>
                </c:pt>
                <c:pt idx="57">
                  <c:v>8.4</c:v>
                </c:pt>
                <c:pt idx="58">
                  <c:v>12.9</c:v>
                </c:pt>
                <c:pt idx="59">
                  <c:v>7.5</c:v>
                </c:pt>
                <c:pt idx="60">
                  <c:v>8.9</c:v>
                </c:pt>
                <c:pt idx="61">
                  <c:v>17.7</c:v>
                </c:pt>
                <c:pt idx="62">
                  <c:v>29.3</c:v>
                </c:pt>
                <c:pt idx="63">
                  <c:v>21.1</c:v>
                </c:pt>
                <c:pt idx="64">
                  <c:v>19.600000000000001</c:v>
                </c:pt>
                <c:pt idx="65">
                  <c:v>18.899999999999999</c:v>
                </c:pt>
                <c:pt idx="66">
                  <c:v>22.5</c:v>
                </c:pt>
                <c:pt idx="67">
                  <c:v>27.4</c:v>
                </c:pt>
                <c:pt idx="68">
                  <c:v>14.7</c:v>
                </c:pt>
                <c:pt idx="69">
                  <c:v>11.8</c:v>
                </c:pt>
                <c:pt idx="70">
                  <c:v>15.2</c:v>
                </c:pt>
                <c:pt idx="71">
                  <c:v>23.5</c:v>
                </c:pt>
                <c:pt idx="72">
                  <c:v>15.6</c:v>
                </c:pt>
                <c:pt idx="73">
                  <c:v>12.5</c:v>
                </c:pt>
                <c:pt idx="74">
                  <c:v>14.3</c:v>
                </c:pt>
                <c:pt idx="75">
                  <c:v>23.5</c:v>
                </c:pt>
                <c:pt idx="76">
                  <c:v>19.600000000000001</c:v>
                </c:pt>
                <c:pt idx="77">
                  <c:v>16.100000000000001</c:v>
                </c:pt>
                <c:pt idx="78">
                  <c:v>25.8</c:v>
                </c:pt>
                <c:pt idx="79">
                  <c:v>31.6</c:v>
                </c:pt>
                <c:pt idx="80">
                  <c:v>19.7</c:v>
                </c:pt>
                <c:pt idx="81">
                  <c:v>18.8</c:v>
                </c:pt>
                <c:pt idx="82">
                  <c:v>24.2</c:v>
                </c:pt>
                <c:pt idx="83">
                  <c:v>36.1</c:v>
                </c:pt>
                <c:pt idx="84">
                  <c:v>22.1</c:v>
                </c:pt>
                <c:pt idx="85">
                  <c:v>17.7</c:v>
                </c:pt>
                <c:pt idx="86">
                  <c:v>17.3</c:v>
                </c:pt>
                <c:pt idx="87">
                  <c:v>19.899999999999999</c:v>
                </c:pt>
                <c:pt idx="88">
                  <c:v>22.5</c:v>
                </c:pt>
                <c:pt idx="89">
                  <c:v>30.1</c:v>
                </c:pt>
                <c:pt idx="90">
                  <c:v>26.5</c:v>
                </c:pt>
                <c:pt idx="91">
                  <c:v>21.7</c:v>
                </c:pt>
                <c:pt idx="92">
                  <c:v>16.899999999999999</c:v>
                </c:pt>
                <c:pt idx="93">
                  <c:v>30.8</c:v>
                </c:pt>
                <c:pt idx="94">
                  <c:v>9.8000000000000007</c:v>
                </c:pt>
                <c:pt idx="95">
                  <c:v>17.600000000000001</c:v>
                </c:pt>
                <c:pt idx="96">
                  <c:v>14.5</c:v>
                </c:pt>
                <c:pt idx="97">
                  <c:v>22.9</c:v>
                </c:pt>
                <c:pt idx="98">
                  <c:v>24.4</c:v>
                </c:pt>
                <c:pt idx="99">
                  <c:v>22.7</c:v>
                </c:pt>
                <c:pt idx="100">
                  <c:v>24.9</c:v>
                </c:pt>
                <c:pt idx="101">
                  <c:v>13.9</c:v>
                </c:pt>
                <c:pt idx="102">
                  <c:v>23.5</c:v>
                </c:pt>
                <c:pt idx="103">
                  <c:v>10.6</c:v>
                </c:pt>
                <c:pt idx="104">
                  <c:v>6.6</c:v>
                </c:pt>
                <c:pt idx="105">
                  <c:v>12.6</c:v>
                </c:pt>
                <c:pt idx="106">
                  <c:v>7.7</c:v>
                </c:pt>
                <c:pt idx="107">
                  <c:v>8.9</c:v>
                </c:pt>
                <c:pt idx="108">
                  <c:v>17.5</c:v>
                </c:pt>
                <c:pt idx="109">
                  <c:v>27.6</c:v>
                </c:pt>
                <c:pt idx="110">
                  <c:v>15.4</c:v>
                </c:pt>
                <c:pt idx="111">
                  <c:v>17</c:v>
                </c:pt>
                <c:pt idx="112">
                  <c:v>16.2</c:v>
                </c:pt>
                <c:pt idx="113">
                  <c:v>18.7</c:v>
                </c:pt>
                <c:pt idx="114">
                  <c:v>21.8</c:v>
                </c:pt>
                <c:pt idx="115">
                  <c:v>15.6</c:v>
                </c:pt>
                <c:pt idx="116">
                  <c:v>11.2</c:v>
                </c:pt>
                <c:pt idx="117">
                  <c:v>14.4</c:v>
                </c:pt>
                <c:pt idx="118">
                  <c:v>19.8</c:v>
                </c:pt>
                <c:pt idx="119">
                  <c:v>11.3</c:v>
                </c:pt>
                <c:pt idx="120">
                  <c:v>11.7</c:v>
                </c:pt>
                <c:pt idx="121">
                  <c:v>11.5</c:v>
                </c:pt>
                <c:pt idx="122">
                  <c:v>17.8</c:v>
                </c:pt>
                <c:pt idx="123">
                  <c:v>13.7</c:v>
                </c:pt>
                <c:pt idx="124">
                  <c:v>15.8</c:v>
                </c:pt>
                <c:pt idx="125">
                  <c:v>23.2</c:v>
                </c:pt>
                <c:pt idx="126">
                  <c:v>28.8</c:v>
                </c:pt>
                <c:pt idx="127">
                  <c:v>15.4</c:v>
                </c:pt>
                <c:pt idx="128">
                  <c:v>17</c:v>
                </c:pt>
                <c:pt idx="129">
                  <c:v>20.3</c:v>
                </c:pt>
                <c:pt idx="130">
                  <c:v>29.1</c:v>
                </c:pt>
                <c:pt idx="131">
                  <c:v>16.100000000000001</c:v>
                </c:pt>
                <c:pt idx="132">
                  <c:v>14.2</c:v>
                </c:pt>
                <c:pt idx="133">
                  <c:v>14.3</c:v>
                </c:pt>
                <c:pt idx="134">
                  <c:v>17.899999999999999</c:v>
                </c:pt>
                <c:pt idx="135">
                  <c:v>21</c:v>
                </c:pt>
                <c:pt idx="136">
                  <c:v>29.1</c:v>
                </c:pt>
                <c:pt idx="137">
                  <c:v>24.3</c:v>
                </c:pt>
                <c:pt idx="138">
                  <c:v>14.6</c:v>
                </c:pt>
                <c:pt idx="139">
                  <c:v>12.9</c:v>
                </c:pt>
                <c:pt idx="140">
                  <c:v>25.9</c:v>
                </c:pt>
                <c:pt idx="141">
                  <c:v>11.6</c:v>
                </c:pt>
                <c:pt idx="142">
                  <c:v>19.2</c:v>
                </c:pt>
                <c:pt idx="143">
                  <c:v>17</c:v>
                </c:pt>
                <c:pt idx="144">
                  <c:v>24.3</c:v>
                </c:pt>
                <c:pt idx="145">
                  <c:v>36.200000000000003</c:v>
                </c:pt>
                <c:pt idx="146">
                  <c:v>27.3</c:v>
                </c:pt>
                <c:pt idx="147">
                  <c:v>26.4</c:v>
                </c:pt>
                <c:pt idx="148">
                  <c:v>14.9</c:v>
                </c:pt>
                <c:pt idx="149">
                  <c:v>23.9</c:v>
                </c:pt>
                <c:pt idx="150">
                  <c:v>12.4</c:v>
                </c:pt>
                <c:pt idx="151">
                  <c:v>9.4</c:v>
                </c:pt>
                <c:pt idx="152">
                  <c:v>14.5</c:v>
                </c:pt>
                <c:pt idx="153">
                  <c:v>8.9</c:v>
                </c:pt>
                <c:pt idx="154">
                  <c:v>10.5</c:v>
                </c:pt>
                <c:pt idx="155">
                  <c:v>21.9</c:v>
                </c:pt>
                <c:pt idx="156">
                  <c:v>33.1</c:v>
                </c:pt>
                <c:pt idx="157">
                  <c:v>22.5</c:v>
                </c:pt>
                <c:pt idx="158">
                  <c:v>20.8</c:v>
                </c:pt>
                <c:pt idx="159">
                  <c:v>21</c:v>
                </c:pt>
                <c:pt idx="160">
                  <c:v>29.8</c:v>
                </c:pt>
                <c:pt idx="161">
                  <c:v>26</c:v>
                </c:pt>
                <c:pt idx="162">
                  <c:v>16.7</c:v>
                </c:pt>
                <c:pt idx="163">
                  <c:v>13.6</c:v>
                </c:pt>
                <c:pt idx="164">
                  <c:v>18.399999999999999</c:v>
                </c:pt>
                <c:pt idx="165">
                  <c:v>20.100000000000001</c:v>
                </c:pt>
                <c:pt idx="166">
                  <c:v>17.600000000000001</c:v>
                </c:pt>
                <c:pt idx="167">
                  <c:v>12.6</c:v>
                </c:pt>
                <c:pt idx="168">
                  <c:v>15.9</c:v>
                </c:pt>
                <c:pt idx="169">
                  <c:v>21.4</c:v>
                </c:pt>
                <c:pt idx="170">
                  <c:v>17.899999999999999</c:v>
                </c:pt>
                <c:pt idx="171">
                  <c:v>20.399999999999999</c:v>
                </c:pt>
                <c:pt idx="172">
                  <c:v>23.5</c:v>
                </c:pt>
                <c:pt idx="173">
                  <c:v>35.200000000000003</c:v>
                </c:pt>
                <c:pt idx="174">
                  <c:v>18</c:v>
                </c:pt>
                <c:pt idx="175">
                  <c:v>19.5</c:v>
                </c:pt>
                <c:pt idx="176">
                  <c:v>27.3</c:v>
                </c:pt>
                <c:pt idx="177">
                  <c:v>35.9</c:v>
                </c:pt>
                <c:pt idx="178">
                  <c:v>18.899999999999999</c:v>
                </c:pt>
                <c:pt idx="179">
                  <c:v>16.5</c:v>
                </c:pt>
                <c:pt idx="180">
                  <c:v>14</c:v>
                </c:pt>
                <c:pt idx="181">
                  <c:v>18</c:v>
                </c:pt>
                <c:pt idx="182">
                  <c:v>28.1</c:v>
                </c:pt>
                <c:pt idx="183">
                  <c:v>31.1</c:v>
                </c:pt>
                <c:pt idx="184">
                  <c:v>29.1</c:v>
                </c:pt>
                <c:pt idx="185">
                  <c:v>15.7</c:v>
                </c:pt>
                <c:pt idx="186">
                  <c:v>16</c:v>
                </c:pt>
                <c:pt idx="187">
                  <c:v>28.9</c:v>
                </c:pt>
                <c:pt idx="188">
                  <c:v>11.7</c:v>
                </c:pt>
                <c:pt idx="189">
                  <c:v>22.2</c:v>
                </c:pt>
                <c:pt idx="190">
                  <c:v>21.7</c:v>
                </c:pt>
                <c:pt idx="191">
                  <c:v>22.9</c:v>
                </c:pt>
                <c:pt idx="192">
                  <c:v>31.9</c:v>
                </c:pt>
                <c:pt idx="193">
                  <c:v>25.7</c:v>
                </c:pt>
                <c:pt idx="194">
                  <c:v>26.7</c:v>
                </c:pt>
                <c:pt idx="195">
                  <c:v>15</c:v>
                </c:pt>
                <c:pt idx="196">
                  <c:v>25.4</c:v>
                </c:pt>
                <c:pt idx="197">
                  <c:v>13.2</c:v>
                </c:pt>
                <c:pt idx="198">
                  <c:v>8.4</c:v>
                </c:pt>
                <c:pt idx="199">
                  <c:v>14.4</c:v>
                </c:pt>
                <c:pt idx="200">
                  <c:v>9.5</c:v>
                </c:pt>
                <c:pt idx="201">
                  <c:v>10.4</c:v>
                </c:pt>
                <c:pt idx="202">
                  <c:v>22</c:v>
                </c:pt>
                <c:pt idx="203">
                  <c:v>31.9</c:v>
                </c:pt>
                <c:pt idx="204">
                  <c:v>23.7</c:v>
                </c:pt>
                <c:pt idx="205">
                  <c:v>21.9</c:v>
                </c:pt>
                <c:pt idx="206">
                  <c:v>18.7</c:v>
                </c:pt>
                <c:pt idx="207">
                  <c:v>29.4</c:v>
                </c:pt>
                <c:pt idx="208">
                  <c:v>25.5</c:v>
                </c:pt>
                <c:pt idx="209">
                  <c:v>16.7</c:v>
                </c:pt>
                <c:pt idx="210">
                  <c:v>14.5</c:v>
                </c:pt>
                <c:pt idx="211">
                  <c:v>15.4</c:v>
                </c:pt>
                <c:pt idx="212">
                  <c:v>20.2</c:v>
                </c:pt>
                <c:pt idx="213">
                  <c:v>17.100000000000001</c:v>
                </c:pt>
                <c:pt idx="214">
                  <c:v>12.8</c:v>
                </c:pt>
                <c:pt idx="215">
                  <c:v>15.2</c:v>
                </c:pt>
                <c:pt idx="216">
                  <c:v>22.6</c:v>
                </c:pt>
                <c:pt idx="217">
                  <c:v>15.3</c:v>
                </c:pt>
                <c:pt idx="218">
                  <c:v>21.9</c:v>
                </c:pt>
                <c:pt idx="219">
                  <c:v>19.600000000000001</c:v>
                </c:pt>
                <c:pt idx="220">
                  <c:v>33.1</c:v>
                </c:pt>
                <c:pt idx="221">
                  <c:v>18.600000000000001</c:v>
                </c:pt>
                <c:pt idx="222">
                  <c:v>18.2</c:v>
                </c:pt>
                <c:pt idx="223">
                  <c:v>24.8</c:v>
                </c:pt>
                <c:pt idx="224">
                  <c:v>33.700000000000003</c:v>
                </c:pt>
                <c:pt idx="225">
                  <c:v>18.3</c:v>
                </c:pt>
                <c:pt idx="226">
                  <c:v>15.5</c:v>
                </c:pt>
                <c:pt idx="227">
                  <c:v>19.3</c:v>
                </c:pt>
                <c:pt idx="228">
                  <c:v>26.2</c:v>
                </c:pt>
                <c:pt idx="229">
                  <c:v>26.8</c:v>
                </c:pt>
                <c:pt idx="230">
                  <c:v>36.200000000000003</c:v>
                </c:pt>
                <c:pt idx="231">
                  <c:v>29.4</c:v>
                </c:pt>
                <c:pt idx="232">
                  <c:v>19.3</c:v>
                </c:pt>
                <c:pt idx="233">
                  <c:v>19.600000000000001</c:v>
                </c:pt>
                <c:pt idx="234">
                  <c:v>24.5</c:v>
                </c:pt>
                <c:pt idx="235">
                  <c:v>13.5</c:v>
                </c:pt>
                <c:pt idx="236">
                  <c:v>28.4</c:v>
                </c:pt>
                <c:pt idx="237">
                  <c:v>22.2</c:v>
                </c:pt>
                <c:pt idx="238">
                  <c:v>24.4</c:v>
                </c:pt>
                <c:pt idx="239">
                  <c:v>32.299999999999997</c:v>
                </c:pt>
                <c:pt idx="240">
                  <c:v>29.1</c:v>
                </c:pt>
                <c:pt idx="241">
                  <c:v>27.9</c:v>
                </c:pt>
                <c:pt idx="242">
                  <c:v>17.2</c:v>
                </c:pt>
                <c:pt idx="243">
                  <c:v>27.6</c:v>
                </c:pt>
                <c:pt idx="244">
                  <c:v>14.5</c:v>
                </c:pt>
                <c:pt idx="245">
                  <c:v>9.6999999999999993</c:v>
                </c:pt>
                <c:pt idx="246">
                  <c:v>16</c:v>
                </c:pt>
                <c:pt idx="247">
                  <c:v>11.6</c:v>
                </c:pt>
                <c:pt idx="248">
                  <c:v>13.5</c:v>
                </c:pt>
                <c:pt idx="249">
                  <c:v>24.2</c:v>
                </c:pt>
                <c:pt idx="250">
                  <c:v>33.200000000000003</c:v>
                </c:pt>
                <c:pt idx="251">
                  <c:v>27.5</c:v>
                </c:pt>
                <c:pt idx="252">
                  <c:v>24.3</c:v>
                </c:pt>
                <c:pt idx="253">
                  <c:v>22.5</c:v>
                </c:pt>
                <c:pt idx="254">
                  <c:v>31.2</c:v>
                </c:pt>
                <c:pt idx="255">
                  <c:v>24.6</c:v>
                </c:pt>
                <c:pt idx="256">
                  <c:v>17.7</c:v>
                </c:pt>
                <c:pt idx="257">
                  <c:v>16.8</c:v>
                </c:pt>
                <c:pt idx="258">
                  <c:v>18.100000000000001</c:v>
                </c:pt>
                <c:pt idx="259">
                  <c:v>19.5</c:v>
                </c:pt>
                <c:pt idx="260">
                  <c:v>17.8</c:v>
                </c:pt>
                <c:pt idx="261">
                  <c:v>13.8</c:v>
                </c:pt>
                <c:pt idx="262">
                  <c:v>15.5</c:v>
                </c:pt>
                <c:pt idx="263">
                  <c:v>20.8</c:v>
                </c:pt>
                <c:pt idx="264">
                  <c:v>17.899999999999999</c:v>
                </c:pt>
                <c:pt idx="265">
                  <c:v>23.6</c:v>
                </c:pt>
                <c:pt idx="266">
                  <c:v>25.6</c:v>
                </c:pt>
                <c:pt idx="267">
                  <c:v>35.6</c:v>
                </c:pt>
                <c:pt idx="268">
                  <c:v>21.4</c:v>
                </c:pt>
                <c:pt idx="269">
                  <c:v>20.2</c:v>
                </c:pt>
                <c:pt idx="270">
                  <c:v>27.2</c:v>
                </c:pt>
                <c:pt idx="271">
                  <c:v>34.1</c:v>
                </c:pt>
                <c:pt idx="272">
                  <c:v>19.2</c:v>
                </c:pt>
                <c:pt idx="273">
                  <c:v>17.100000000000001</c:v>
                </c:pt>
                <c:pt idx="274">
                  <c:v>21.5</c:v>
                </c:pt>
                <c:pt idx="275">
                  <c:v>24.8</c:v>
                </c:pt>
                <c:pt idx="276">
                  <c:v>25.6</c:v>
                </c:pt>
                <c:pt idx="277">
                  <c:v>38.299999999999997</c:v>
                </c:pt>
                <c:pt idx="278">
                  <c:v>30.8</c:v>
                </c:pt>
                <c:pt idx="279">
                  <c:v>20.7</c:v>
                </c:pt>
                <c:pt idx="280">
                  <c:v>21.5</c:v>
                </c:pt>
                <c:pt idx="281">
                  <c:v>28.8</c:v>
                </c:pt>
              </c:numCache>
            </c:numRef>
          </c:xVal>
          <c:yVal>
            <c:numRef>
              <c:f>インセンティブ実施率!$S$2:$S$283</c:f>
              <c:numCache>
                <c:formatCode>#,##0.00_);[Red]\(#,##0.00\)</c:formatCode>
                <c:ptCount val="282"/>
                <c:pt idx="0">
                  <c:v>200328.13842484597</c:v>
                </c:pt>
                <c:pt idx="1">
                  <c:v>183584.04864537908</c:v>
                </c:pt>
                <c:pt idx="2">
                  <c:v>180918.61114933717</c:v>
                </c:pt>
                <c:pt idx="3">
                  <c:v>186421.82995245687</c:v>
                </c:pt>
                <c:pt idx="4">
                  <c:v>201895.20689506727</c:v>
                </c:pt>
                <c:pt idx="5">
                  <c:v>187418.28125584536</c:v>
                </c:pt>
                <c:pt idx="6">
                  <c:v>180158.69527141209</c:v>
                </c:pt>
                <c:pt idx="7">
                  <c:v>173353.01744875067</c:v>
                </c:pt>
                <c:pt idx="8">
                  <c:v>177157.54360052946</c:v>
                </c:pt>
                <c:pt idx="9">
                  <c:v>174276.51116383472</c:v>
                </c:pt>
                <c:pt idx="10">
                  <c:v>173420.95145355331</c:v>
                </c:pt>
                <c:pt idx="11">
                  <c:v>176894.05828610004</c:v>
                </c:pt>
                <c:pt idx="12">
                  <c:v>176545.57551723442</c:v>
                </c:pt>
                <c:pt idx="13">
                  <c:v>180117.83674599064</c:v>
                </c:pt>
                <c:pt idx="14">
                  <c:v>170367.91597181055</c:v>
                </c:pt>
                <c:pt idx="15">
                  <c:v>170325.99193442581</c:v>
                </c:pt>
                <c:pt idx="16">
                  <c:v>181402.31947230172</c:v>
                </c:pt>
                <c:pt idx="17">
                  <c:v>181296.40741054088</c:v>
                </c:pt>
                <c:pt idx="18">
                  <c:v>178931.18880099157</c:v>
                </c:pt>
                <c:pt idx="19">
                  <c:v>169786.52025813877</c:v>
                </c:pt>
                <c:pt idx="20">
                  <c:v>176404.28461893514</c:v>
                </c:pt>
                <c:pt idx="21">
                  <c:v>172633.80306953381</c:v>
                </c:pt>
                <c:pt idx="22">
                  <c:v>170814.24731478363</c:v>
                </c:pt>
                <c:pt idx="23">
                  <c:v>172643.04111975271</c:v>
                </c:pt>
                <c:pt idx="24">
                  <c:v>171754.93009281764</c:v>
                </c:pt>
                <c:pt idx="25">
                  <c:v>178716.02920727149</c:v>
                </c:pt>
                <c:pt idx="26">
                  <c:v>183788.60682368971</c:v>
                </c:pt>
                <c:pt idx="27">
                  <c:v>184724.16701878709</c:v>
                </c:pt>
                <c:pt idx="28">
                  <c:v>182840.59223571353</c:v>
                </c:pt>
                <c:pt idx="29">
                  <c:v>183371.94580241051</c:v>
                </c:pt>
                <c:pt idx="30">
                  <c:v>181725.81351979548</c:v>
                </c:pt>
                <c:pt idx="31">
                  <c:v>190952.64818458547</c:v>
                </c:pt>
                <c:pt idx="32">
                  <c:v>184222.41536567989</c:v>
                </c:pt>
                <c:pt idx="33">
                  <c:v>179985.23712391782</c:v>
                </c:pt>
                <c:pt idx="34">
                  <c:v>193592.0551324648</c:v>
                </c:pt>
                <c:pt idx="35">
                  <c:v>192780.49415141111</c:v>
                </c:pt>
                <c:pt idx="36">
                  <c:v>193134.58339845942</c:v>
                </c:pt>
                <c:pt idx="37">
                  <c:v>181011.61724346422</c:v>
                </c:pt>
                <c:pt idx="38">
                  <c:v>190854.86843351729</c:v>
                </c:pt>
                <c:pt idx="39">
                  <c:v>189417.2768334462</c:v>
                </c:pt>
                <c:pt idx="40">
                  <c:v>207176.4795478571</c:v>
                </c:pt>
                <c:pt idx="41">
                  <c:v>191730.31889642507</c:v>
                </c:pt>
                <c:pt idx="42">
                  <c:v>190212.85398978565</c:v>
                </c:pt>
                <c:pt idx="43">
                  <c:v>191844.31184673926</c:v>
                </c:pt>
                <c:pt idx="44">
                  <c:v>179166.35188839215</c:v>
                </c:pt>
                <c:pt idx="45">
                  <c:v>186343.54741803173</c:v>
                </c:pt>
                <c:pt idx="46">
                  <c:v>168307.87574352816</c:v>
                </c:pt>
                <c:pt idx="47">
                  <c:v>206677.6315571031</c:v>
                </c:pt>
                <c:pt idx="48">
                  <c:v>189846.65329006984</c:v>
                </c:pt>
                <c:pt idx="49">
                  <c:v>186056.8040524417</c:v>
                </c:pt>
                <c:pt idx="50">
                  <c:v>191227.3832113196</c:v>
                </c:pt>
                <c:pt idx="51">
                  <c:v>207061.34730914974</c:v>
                </c:pt>
                <c:pt idx="52">
                  <c:v>194064.71194683528</c:v>
                </c:pt>
                <c:pt idx="53">
                  <c:v>184276.21052165932</c:v>
                </c:pt>
                <c:pt idx="54">
                  <c:v>178153.10884976777</c:v>
                </c:pt>
                <c:pt idx="55">
                  <c:v>182310.95722036145</c:v>
                </c:pt>
                <c:pt idx="56">
                  <c:v>176581.3153635877</c:v>
                </c:pt>
                <c:pt idx="57">
                  <c:v>177218.73988704546</c:v>
                </c:pt>
                <c:pt idx="58">
                  <c:v>181356.26460835992</c:v>
                </c:pt>
                <c:pt idx="59">
                  <c:v>177350.19285018565</c:v>
                </c:pt>
                <c:pt idx="60">
                  <c:v>185918.24748797098</c:v>
                </c:pt>
                <c:pt idx="61">
                  <c:v>174138.30824651546</c:v>
                </c:pt>
                <c:pt idx="62">
                  <c:v>175833.75119391939</c:v>
                </c:pt>
                <c:pt idx="63">
                  <c:v>187098.49864819704</c:v>
                </c:pt>
                <c:pt idx="64">
                  <c:v>186395.32620019629</c:v>
                </c:pt>
                <c:pt idx="65">
                  <c:v>183950.46138953636</c:v>
                </c:pt>
                <c:pt idx="66">
                  <c:v>175086.42900908669</c:v>
                </c:pt>
                <c:pt idx="67">
                  <c:v>179707.57664784518</c:v>
                </c:pt>
                <c:pt idx="68">
                  <c:v>176994.79493686129</c:v>
                </c:pt>
                <c:pt idx="69">
                  <c:v>175111.96268022194</c:v>
                </c:pt>
                <c:pt idx="70">
                  <c:v>178412.0308486252</c:v>
                </c:pt>
                <c:pt idx="71">
                  <c:v>177059.56208009861</c:v>
                </c:pt>
                <c:pt idx="72">
                  <c:v>184384.89941114202</c:v>
                </c:pt>
                <c:pt idx="73">
                  <c:v>188847.58393137722</c:v>
                </c:pt>
                <c:pt idx="74">
                  <c:v>191287.69835882148</c:v>
                </c:pt>
                <c:pt idx="75">
                  <c:v>186904.80183241484</c:v>
                </c:pt>
                <c:pt idx="76">
                  <c:v>189429.71270895549</c:v>
                </c:pt>
                <c:pt idx="77">
                  <c:v>187029.3450560343</c:v>
                </c:pt>
                <c:pt idx="78">
                  <c:v>197446.37939856816</c:v>
                </c:pt>
                <c:pt idx="79">
                  <c:v>190069.56944656544</c:v>
                </c:pt>
                <c:pt idx="80">
                  <c:v>185389.16310094635</c:v>
                </c:pt>
                <c:pt idx="81">
                  <c:v>198520.92025315491</c:v>
                </c:pt>
                <c:pt idx="82">
                  <c:v>198586.0953740768</c:v>
                </c:pt>
                <c:pt idx="83">
                  <c:v>197805.98896808454</c:v>
                </c:pt>
                <c:pt idx="84">
                  <c:v>188510.8979890036</c:v>
                </c:pt>
                <c:pt idx="85">
                  <c:v>194340.71434730245</c:v>
                </c:pt>
                <c:pt idx="86">
                  <c:v>193249.30595098776</c:v>
                </c:pt>
                <c:pt idx="87">
                  <c:v>212575.55967476653</c:v>
                </c:pt>
                <c:pt idx="88">
                  <c:v>199743.72159430684</c:v>
                </c:pt>
                <c:pt idx="89">
                  <c:v>195351.55184150254</c:v>
                </c:pt>
                <c:pt idx="90">
                  <c:v>198577.17468236946</c:v>
                </c:pt>
                <c:pt idx="91">
                  <c:v>184653.09953358182</c:v>
                </c:pt>
                <c:pt idx="92">
                  <c:v>193541.71094605493</c:v>
                </c:pt>
                <c:pt idx="93">
                  <c:v>174452.28824652854</c:v>
                </c:pt>
                <c:pt idx="94">
                  <c:v>201779.85276831497</c:v>
                </c:pt>
                <c:pt idx="95">
                  <c:v>186476.73692133275</c:v>
                </c:pt>
                <c:pt idx="96">
                  <c:v>184277.74111695637</c:v>
                </c:pt>
                <c:pt idx="97">
                  <c:v>188766.56856061661</c:v>
                </c:pt>
                <c:pt idx="98">
                  <c:v>205305.14695259108</c:v>
                </c:pt>
                <c:pt idx="99">
                  <c:v>188703.94778775101</c:v>
                </c:pt>
                <c:pt idx="100">
                  <c:v>179237.44964058357</c:v>
                </c:pt>
                <c:pt idx="101">
                  <c:v>174142.73435449944</c:v>
                </c:pt>
                <c:pt idx="102">
                  <c:v>178606.3397000047</c:v>
                </c:pt>
                <c:pt idx="103">
                  <c:v>172839.12903544682</c:v>
                </c:pt>
                <c:pt idx="104">
                  <c:v>172250.86326253632</c:v>
                </c:pt>
                <c:pt idx="105">
                  <c:v>176096.2851709199</c:v>
                </c:pt>
                <c:pt idx="106">
                  <c:v>170452.42555604773</c:v>
                </c:pt>
                <c:pt idx="107">
                  <c:v>179204.60536641101</c:v>
                </c:pt>
                <c:pt idx="108">
                  <c:v>169496.80148399557</c:v>
                </c:pt>
                <c:pt idx="109">
                  <c:v>169711.22740488642</c:v>
                </c:pt>
                <c:pt idx="110">
                  <c:v>177989.48959386049</c:v>
                </c:pt>
                <c:pt idx="111">
                  <c:v>181135.96771392273</c:v>
                </c:pt>
                <c:pt idx="112">
                  <c:v>177920.46185129209</c:v>
                </c:pt>
                <c:pt idx="113">
                  <c:v>170560.87995150845</c:v>
                </c:pt>
                <c:pt idx="114">
                  <c:v>175296.53302120644</c:v>
                </c:pt>
                <c:pt idx="115">
                  <c:v>173048.36501810016</c:v>
                </c:pt>
                <c:pt idx="116">
                  <c:v>170836.11075319292</c:v>
                </c:pt>
                <c:pt idx="117">
                  <c:v>174292.31664723856</c:v>
                </c:pt>
                <c:pt idx="118">
                  <c:v>171105.42465278597</c:v>
                </c:pt>
                <c:pt idx="119">
                  <c:v>176860.22962917085</c:v>
                </c:pt>
                <c:pt idx="120">
                  <c:v>182938.22487882388</c:v>
                </c:pt>
                <c:pt idx="121">
                  <c:v>184056.00019816781</c:v>
                </c:pt>
                <c:pt idx="122">
                  <c:v>181182.18992287203</c:v>
                </c:pt>
                <c:pt idx="123">
                  <c:v>185646.29576305259</c:v>
                </c:pt>
                <c:pt idx="124">
                  <c:v>182258.88927513617</c:v>
                </c:pt>
                <c:pt idx="125">
                  <c:v>193728.08019212785</c:v>
                </c:pt>
                <c:pt idx="126">
                  <c:v>184030.72480536797</c:v>
                </c:pt>
                <c:pt idx="127">
                  <c:v>180342.75194049408</c:v>
                </c:pt>
                <c:pt idx="128">
                  <c:v>192505.99990229559</c:v>
                </c:pt>
                <c:pt idx="129">
                  <c:v>195294.90358463195</c:v>
                </c:pt>
                <c:pt idx="130">
                  <c:v>192253.58157314124</c:v>
                </c:pt>
                <c:pt idx="131">
                  <c:v>183392.76574427134</c:v>
                </c:pt>
                <c:pt idx="132">
                  <c:v>191287.67498242331</c:v>
                </c:pt>
                <c:pt idx="133">
                  <c:v>187248.78203292005</c:v>
                </c:pt>
                <c:pt idx="134">
                  <c:v>210045.96519033753</c:v>
                </c:pt>
                <c:pt idx="135">
                  <c:v>195730.18160843127</c:v>
                </c:pt>
                <c:pt idx="136">
                  <c:v>193039.57843833609</c:v>
                </c:pt>
                <c:pt idx="137">
                  <c:v>196396.94376934692</c:v>
                </c:pt>
                <c:pt idx="138">
                  <c:v>182343.1636382693</c:v>
                </c:pt>
                <c:pt idx="139">
                  <c:v>192076.77866897776</c:v>
                </c:pt>
                <c:pt idx="140">
                  <c:v>169757.52900286624</c:v>
                </c:pt>
                <c:pt idx="141">
                  <c:v>214201.03379849542</c:v>
                </c:pt>
                <c:pt idx="142">
                  <c:v>197551.19607369578</c:v>
                </c:pt>
                <c:pt idx="143">
                  <c:v>195313.92574063851</c:v>
                </c:pt>
                <c:pt idx="144">
                  <c:v>200635.4121696669</c:v>
                </c:pt>
                <c:pt idx="145">
                  <c:v>214586.19449065934</c:v>
                </c:pt>
                <c:pt idx="146">
                  <c:v>203167.74811212294</c:v>
                </c:pt>
                <c:pt idx="147">
                  <c:v>191405.86110114492</c:v>
                </c:pt>
                <c:pt idx="148">
                  <c:v>187490.09944794117</c:v>
                </c:pt>
                <c:pt idx="149">
                  <c:v>193394.47630625346</c:v>
                </c:pt>
                <c:pt idx="150">
                  <c:v>186282.60879277127</c:v>
                </c:pt>
                <c:pt idx="151">
                  <c:v>187685.77460819634</c:v>
                </c:pt>
                <c:pt idx="152">
                  <c:v>191447.10265730775</c:v>
                </c:pt>
                <c:pt idx="153">
                  <c:v>187455.31820223358</c:v>
                </c:pt>
                <c:pt idx="154">
                  <c:v>197032.73260335045</c:v>
                </c:pt>
                <c:pt idx="155">
                  <c:v>179616.25681622361</c:v>
                </c:pt>
                <c:pt idx="156">
                  <c:v>182297.11008330926</c:v>
                </c:pt>
                <c:pt idx="157">
                  <c:v>189766.62120727726</c:v>
                </c:pt>
                <c:pt idx="158">
                  <c:v>194930.49746844184</c:v>
                </c:pt>
                <c:pt idx="159">
                  <c:v>191443.46399855166</c:v>
                </c:pt>
                <c:pt idx="160">
                  <c:v>181814.61623640591</c:v>
                </c:pt>
                <c:pt idx="161">
                  <c:v>189228.63587666443</c:v>
                </c:pt>
                <c:pt idx="162">
                  <c:v>186607.23975035688</c:v>
                </c:pt>
                <c:pt idx="163">
                  <c:v>186268.2521704449</c:v>
                </c:pt>
                <c:pt idx="164">
                  <c:v>187605.42564312383</c:v>
                </c:pt>
                <c:pt idx="165">
                  <c:v>182745.69840647595</c:v>
                </c:pt>
                <c:pt idx="166">
                  <c:v>193793.01182564491</c:v>
                </c:pt>
                <c:pt idx="167">
                  <c:v>198436.29911134421</c:v>
                </c:pt>
                <c:pt idx="168">
                  <c:v>199942.74121024535</c:v>
                </c:pt>
                <c:pt idx="169">
                  <c:v>197718.85617719358</c:v>
                </c:pt>
                <c:pt idx="170">
                  <c:v>197179.92075310633</c:v>
                </c:pt>
                <c:pt idx="171">
                  <c:v>193058.5964786603</c:v>
                </c:pt>
                <c:pt idx="172">
                  <c:v>207243.06699811883</c:v>
                </c:pt>
                <c:pt idx="173">
                  <c:v>196052.46030116928</c:v>
                </c:pt>
                <c:pt idx="174">
                  <c:v>191698.3043214636</c:v>
                </c:pt>
                <c:pt idx="175">
                  <c:v>203338.08524527066</c:v>
                </c:pt>
                <c:pt idx="176">
                  <c:v>206379.37200081348</c:v>
                </c:pt>
                <c:pt idx="177">
                  <c:v>206185.00631486255</c:v>
                </c:pt>
                <c:pt idx="178">
                  <c:v>194478.96983857427</c:v>
                </c:pt>
                <c:pt idx="179">
                  <c:v>202024.69719552074</c:v>
                </c:pt>
                <c:pt idx="180">
                  <c:v>202677.73248875231</c:v>
                </c:pt>
                <c:pt idx="181">
                  <c:v>219653.74225122901</c:v>
                </c:pt>
                <c:pt idx="182">
                  <c:v>207094.84255839465</c:v>
                </c:pt>
                <c:pt idx="183">
                  <c:v>205635.74856654732</c:v>
                </c:pt>
                <c:pt idx="184">
                  <c:v>208218.40972588546</c:v>
                </c:pt>
                <c:pt idx="185">
                  <c:v>191813.96469807721</c:v>
                </c:pt>
                <c:pt idx="186">
                  <c:v>203290.96377522318</c:v>
                </c:pt>
                <c:pt idx="187">
                  <c:v>182627.12335706476</c:v>
                </c:pt>
                <c:pt idx="188">
                  <c:v>223683.67052101242</c:v>
                </c:pt>
                <c:pt idx="189">
                  <c:v>204424.68811193682</c:v>
                </c:pt>
                <c:pt idx="190">
                  <c:v>204937.65857043394</c:v>
                </c:pt>
                <c:pt idx="191">
                  <c:v>211072.98510298607</c:v>
                </c:pt>
                <c:pt idx="192">
                  <c:v>224344.69228145332</c:v>
                </c:pt>
                <c:pt idx="193">
                  <c:v>213688.41611708404</c:v>
                </c:pt>
                <c:pt idx="194">
                  <c:v>202444.13161993379</c:v>
                </c:pt>
                <c:pt idx="195">
                  <c:v>195546.09505787183</c:v>
                </c:pt>
                <c:pt idx="196">
                  <c:v>200987.9216050363</c:v>
                </c:pt>
                <c:pt idx="197">
                  <c:v>196137.66709101881</c:v>
                </c:pt>
                <c:pt idx="198">
                  <c:v>194767.42204633687</c:v>
                </c:pt>
                <c:pt idx="199">
                  <c:v>197550.82893746867</c:v>
                </c:pt>
                <c:pt idx="200">
                  <c:v>194926.06937838637</c:v>
                </c:pt>
                <c:pt idx="201">
                  <c:v>204398.69900130463</c:v>
                </c:pt>
                <c:pt idx="202">
                  <c:v>189541.81277244192</c:v>
                </c:pt>
                <c:pt idx="203">
                  <c:v>192009.48317475227</c:v>
                </c:pt>
                <c:pt idx="204">
                  <c:v>201160.85275436271</c:v>
                </c:pt>
                <c:pt idx="205">
                  <c:v>207921.67128944545</c:v>
                </c:pt>
                <c:pt idx="206">
                  <c:v>203272.12504186432</c:v>
                </c:pt>
                <c:pt idx="207">
                  <c:v>192175.26770484771</c:v>
                </c:pt>
                <c:pt idx="208">
                  <c:v>200314.84830477173</c:v>
                </c:pt>
                <c:pt idx="209">
                  <c:v>196994.81664767451</c:v>
                </c:pt>
                <c:pt idx="210">
                  <c:v>196469.23275248753</c:v>
                </c:pt>
                <c:pt idx="211">
                  <c:v>199775.87256418934</c:v>
                </c:pt>
                <c:pt idx="212">
                  <c:v>194853.59564442595</c:v>
                </c:pt>
                <c:pt idx="213">
                  <c:v>203866.04762333454</c:v>
                </c:pt>
                <c:pt idx="214">
                  <c:v>209387.59976174269</c:v>
                </c:pt>
                <c:pt idx="215">
                  <c:v>209710.59118505323</c:v>
                </c:pt>
                <c:pt idx="216">
                  <c:v>209265.95605666935</c:v>
                </c:pt>
                <c:pt idx="217">
                  <c:v>208524.32110081281</c:v>
                </c:pt>
                <c:pt idx="218">
                  <c:v>201013.69902847361</c:v>
                </c:pt>
                <c:pt idx="219">
                  <c:v>216228.06992751776</c:v>
                </c:pt>
                <c:pt idx="220">
                  <c:v>205803.50675242062</c:v>
                </c:pt>
                <c:pt idx="221">
                  <c:v>202506.0493687554</c:v>
                </c:pt>
                <c:pt idx="222">
                  <c:v>216411.32898266896</c:v>
                </c:pt>
                <c:pt idx="223">
                  <c:v>218293.4527376231</c:v>
                </c:pt>
                <c:pt idx="224">
                  <c:v>217238.85697369103</c:v>
                </c:pt>
                <c:pt idx="225">
                  <c:v>206133.91518794617</c:v>
                </c:pt>
                <c:pt idx="226">
                  <c:v>210485.54130011614</c:v>
                </c:pt>
                <c:pt idx="227">
                  <c:v>214331.24552119809</c:v>
                </c:pt>
                <c:pt idx="228">
                  <c:v>234186.97758294203</c:v>
                </c:pt>
                <c:pt idx="229">
                  <c:v>219595.3632123977</c:v>
                </c:pt>
                <c:pt idx="230">
                  <c:v>217907.64875285586</c:v>
                </c:pt>
                <c:pt idx="231">
                  <c:v>220513.48634695142</c:v>
                </c:pt>
                <c:pt idx="232">
                  <c:v>206090.68991486172</c:v>
                </c:pt>
                <c:pt idx="233">
                  <c:v>215188.84971442743</c:v>
                </c:pt>
                <c:pt idx="234">
                  <c:v>189357.27507801124</c:v>
                </c:pt>
                <c:pt idx="235">
                  <c:v>232288.06371134004</c:v>
                </c:pt>
                <c:pt idx="236">
                  <c:v>215115.73292000353</c:v>
                </c:pt>
                <c:pt idx="237">
                  <c:v>209984.98152340626</c:v>
                </c:pt>
                <c:pt idx="238">
                  <c:v>218088.38252095212</c:v>
                </c:pt>
                <c:pt idx="239">
                  <c:v>231413.68012724604</c:v>
                </c:pt>
                <c:pt idx="240">
                  <c:v>218927.93064044023</c:v>
                </c:pt>
                <c:pt idx="241">
                  <c:v>207510.72234257241</c:v>
                </c:pt>
                <c:pt idx="242">
                  <c:v>200177.46662306634</c:v>
                </c:pt>
                <c:pt idx="243">
                  <c:v>207947.26868030214</c:v>
                </c:pt>
                <c:pt idx="244">
                  <c:v>201405.9765240899</c:v>
                </c:pt>
                <c:pt idx="245">
                  <c:v>201472.52666019063</c:v>
                </c:pt>
                <c:pt idx="246">
                  <c:v>204922.5076620827</c:v>
                </c:pt>
                <c:pt idx="247">
                  <c:v>201573.80583287464</c:v>
                </c:pt>
                <c:pt idx="248">
                  <c:v>211462.57007907942</c:v>
                </c:pt>
                <c:pt idx="249">
                  <c:v>196851.79282312747</c:v>
                </c:pt>
                <c:pt idx="250">
                  <c:v>197899.00656784099</c:v>
                </c:pt>
                <c:pt idx="251">
                  <c:v>204548.61362814371</c:v>
                </c:pt>
                <c:pt idx="252">
                  <c:v>211226.08202880507</c:v>
                </c:pt>
                <c:pt idx="253">
                  <c:v>207888.8411638978</c:v>
                </c:pt>
                <c:pt idx="254">
                  <c:v>199763.98524279031</c:v>
                </c:pt>
                <c:pt idx="255">
                  <c:v>207529.7239277311</c:v>
                </c:pt>
                <c:pt idx="256">
                  <c:v>202970.41237336665</c:v>
                </c:pt>
                <c:pt idx="257">
                  <c:v>203573.01586068043</c:v>
                </c:pt>
                <c:pt idx="258">
                  <c:v>205751.74051951533</c:v>
                </c:pt>
                <c:pt idx="259">
                  <c:v>200824.09716970369</c:v>
                </c:pt>
                <c:pt idx="260">
                  <c:v>208080.55399449298</c:v>
                </c:pt>
                <c:pt idx="261">
                  <c:v>214924.81569629005</c:v>
                </c:pt>
                <c:pt idx="262">
                  <c:v>215713.65996515274</c:v>
                </c:pt>
                <c:pt idx="263">
                  <c:v>210978.28339390183</c:v>
                </c:pt>
                <c:pt idx="264">
                  <c:v>216890.84844429954</c:v>
                </c:pt>
                <c:pt idx="265">
                  <c:v>210732.00379877025</c:v>
                </c:pt>
                <c:pt idx="266">
                  <c:v>220828.69636819066</c:v>
                </c:pt>
                <c:pt idx="267">
                  <c:v>212126.78133491473</c:v>
                </c:pt>
                <c:pt idx="268">
                  <c:v>206743.22704760678</c:v>
                </c:pt>
                <c:pt idx="269">
                  <c:v>224047.2257557807</c:v>
                </c:pt>
                <c:pt idx="270">
                  <c:v>227283.55462517642</c:v>
                </c:pt>
                <c:pt idx="271">
                  <c:v>220844.93950604455</c:v>
                </c:pt>
                <c:pt idx="272">
                  <c:v>213612.38187672407</c:v>
                </c:pt>
                <c:pt idx="273">
                  <c:v>218577.43568004912</c:v>
                </c:pt>
                <c:pt idx="274">
                  <c:v>219292.18924331604</c:v>
                </c:pt>
                <c:pt idx="275">
                  <c:v>238790.8479635402</c:v>
                </c:pt>
                <c:pt idx="276">
                  <c:v>228076.20771980908</c:v>
                </c:pt>
                <c:pt idx="277">
                  <c:v>221926.06824668543</c:v>
                </c:pt>
                <c:pt idx="278">
                  <c:v>225649.45036350674</c:v>
                </c:pt>
                <c:pt idx="279">
                  <c:v>213632.69809678179</c:v>
                </c:pt>
                <c:pt idx="280">
                  <c:v>221192.2848456855</c:v>
                </c:pt>
                <c:pt idx="281">
                  <c:v>194294.42052924327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AD-4DD3-B9AE-188F1BAF7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456031"/>
        <c:axId val="427456991"/>
      </c:scatterChart>
      <c:valAx>
        <c:axId val="42745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456991"/>
        <c:crosses val="autoZero"/>
        <c:crossBetween val="midCat"/>
      </c:valAx>
      <c:valAx>
        <c:axId val="427456991"/>
        <c:scaling>
          <c:orientation val="minMax"/>
          <c:min val="1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456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インセンティブ実施率!$T$1</c:f>
              <c:strCache>
                <c:ptCount val="1"/>
                <c:pt idx="0">
                  <c:v>１人当たり医療費_入院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インセンティブ実施率!$F$2:$F$283</c:f>
              <c:numCache>
                <c:formatCode>#,##0.0;[Red]\-#,##0.0</c:formatCode>
                <c:ptCount val="282"/>
                <c:pt idx="0">
                  <c:v>9.6999999999999993</c:v>
                </c:pt>
                <c:pt idx="1">
                  <c:v>21.6</c:v>
                </c:pt>
                <c:pt idx="2">
                  <c:v>17.600000000000001</c:v>
                </c:pt>
                <c:pt idx="3">
                  <c:v>27.2</c:v>
                </c:pt>
                <c:pt idx="4">
                  <c:v>29.5</c:v>
                </c:pt>
                <c:pt idx="5">
                  <c:v>28.3</c:v>
                </c:pt>
                <c:pt idx="6">
                  <c:v>24.9</c:v>
                </c:pt>
                <c:pt idx="7">
                  <c:v>18.7</c:v>
                </c:pt>
                <c:pt idx="8">
                  <c:v>21.5</c:v>
                </c:pt>
                <c:pt idx="9">
                  <c:v>12.5</c:v>
                </c:pt>
                <c:pt idx="10">
                  <c:v>9.1999999999999993</c:v>
                </c:pt>
                <c:pt idx="11">
                  <c:v>17.8</c:v>
                </c:pt>
                <c:pt idx="12">
                  <c:v>7.3</c:v>
                </c:pt>
                <c:pt idx="13">
                  <c:v>6.8</c:v>
                </c:pt>
                <c:pt idx="14">
                  <c:v>17.100000000000001</c:v>
                </c:pt>
                <c:pt idx="15">
                  <c:v>25.8</c:v>
                </c:pt>
                <c:pt idx="16">
                  <c:v>21.6</c:v>
                </c:pt>
                <c:pt idx="17">
                  <c:v>17.600000000000001</c:v>
                </c:pt>
                <c:pt idx="18">
                  <c:v>16.2</c:v>
                </c:pt>
                <c:pt idx="19">
                  <c:v>24.7</c:v>
                </c:pt>
                <c:pt idx="20">
                  <c:v>20.5</c:v>
                </c:pt>
                <c:pt idx="21">
                  <c:v>13.4</c:v>
                </c:pt>
                <c:pt idx="22">
                  <c:v>10.199999999999999</c:v>
                </c:pt>
                <c:pt idx="23">
                  <c:v>17.3</c:v>
                </c:pt>
                <c:pt idx="24">
                  <c:v>21.9</c:v>
                </c:pt>
                <c:pt idx="25">
                  <c:v>12.6</c:v>
                </c:pt>
                <c:pt idx="26">
                  <c:v>10</c:v>
                </c:pt>
                <c:pt idx="27">
                  <c:v>12.1</c:v>
                </c:pt>
                <c:pt idx="28">
                  <c:v>15.9</c:v>
                </c:pt>
                <c:pt idx="29">
                  <c:v>18.2</c:v>
                </c:pt>
                <c:pt idx="30">
                  <c:v>25.2</c:v>
                </c:pt>
                <c:pt idx="31">
                  <c:v>23.5</c:v>
                </c:pt>
                <c:pt idx="32">
                  <c:v>25.4</c:v>
                </c:pt>
                <c:pt idx="33">
                  <c:v>19.399999999999999</c:v>
                </c:pt>
                <c:pt idx="34">
                  <c:v>22.5</c:v>
                </c:pt>
                <c:pt idx="35">
                  <c:v>20.6</c:v>
                </c:pt>
                <c:pt idx="36">
                  <c:v>32.1</c:v>
                </c:pt>
                <c:pt idx="37">
                  <c:v>20.2</c:v>
                </c:pt>
                <c:pt idx="38">
                  <c:v>15</c:v>
                </c:pt>
                <c:pt idx="39">
                  <c:v>13.1</c:v>
                </c:pt>
                <c:pt idx="40">
                  <c:v>22.2</c:v>
                </c:pt>
                <c:pt idx="41">
                  <c:v>24.9</c:v>
                </c:pt>
                <c:pt idx="42">
                  <c:v>29.5</c:v>
                </c:pt>
                <c:pt idx="43">
                  <c:v>22</c:v>
                </c:pt>
                <c:pt idx="44">
                  <c:v>23.9</c:v>
                </c:pt>
                <c:pt idx="45">
                  <c:v>19.899999999999999</c:v>
                </c:pt>
                <c:pt idx="46">
                  <c:v>29.7</c:v>
                </c:pt>
                <c:pt idx="47">
                  <c:v>9.9</c:v>
                </c:pt>
                <c:pt idx="48">
                  <c:v>17.8</c:v>
                </c:pt>
                <c:pt idx="49">
                  <c:v>14.6</c:v>
                </c:pt>
                <c:pt idx="50">
                  <c:v>27.4</c:v>
                </c:pt>
                <c:pt idx="51">
                  <c:v>28.7</c:v>
                </c:pt>
                <c:pt idx="52">
                  <c:v>24</c:v>
                </c:pt>
                <c:pt idx="53">
                  <c:v>23.9</c:v>
                </c:pt>
                <c:pt idx="54">
                  <c:v>20.2</c:v>
                </c:pt>
                <c:pt idx="55">
                  <c:v>22.7</c:v>
                </c:pt>
                <c:pt idx="56">
                  <c:v>13.5</c:v>
                </c:pt>
                <c:pt idx="57">
                  <c:v>8.4</c:v>
                </c:pt>
                <c:pt idx="58">
                  <c:v>12.9</c:v>
                </c:pt>
                <c:pt idx="59">
                  <c:v>7.5</c:v>
                </c:pt>
                <c:pt idx="60">
                  <c:v>8.9</c:v>
                </c:pt>
                <c:pt idx="61">
                  <c:v>17.7</c:v>
                </c:pt>
                <c:pt idx="62">
                  <c:v>29.3</c:v>
                </c:pt>
                <c:pt idx="63">
                  <c:v>21.1</c:v>
                </c:pt>
                <c:pt idx="64">
                  <c:v>19.600000000000001</c:v>
                </c:pt>
                <c:pt idx="65">
                  <c:v>18.899999999999999</c:v>
                </c:pt>
                <c:pt idx="66">
                  <c:v>22.5</c:v>
                </c:pt>
                <c:pt idx="67">
                  <c:v>27.4</c:v>
                </c:pt>
                <c:pt idx="68">
                  <c:v>14.7</c:v>
                </c:pt>
                <c:pt idx="69">
                  <c:v>11.8</c:v>
                </c:pt>
                <c:pt idx="70">
                  <c:v>15.2</c:v>
                </c:pt>
                <c:pt idx="71">
                  <c:v>23.5</c:v>
                </c:pt>
                <c:pt idx="72">
                  <c:v>15.6</c:v>
                </c:pt>
                <c:pt idx="73">
                  <c:v>12.5</c:v>
                </c:pt>
                <c:pt idx="74">
                  <c:v>14.3</c:v>
                </c:pt>
                <c:pt idx="75">
                  <c:v>23.5</c:v>
                </c:pt>
                <c:pt idx="76">
                  <c:v>19.600000000000001</c:v>
                </c:pt>
                <c:pt idx="77">
                  <c:v>16.100000000000001</c:v>
                </c:pt>
                <c:pt idx="78">
                  <c:v>25.8</c:v>
                </c:pt>
                <c:pt idx="79">
                  <c:v>31.6</c:v>
                </c:pt>
                <c:pt idx="80">
                  <c:v>19.7</c:v>
                </c:pt>
                <c:pt idx="81">
                  <c:v>18.8</c:v>
                </c:pt>
                <c:pt idx="82">
                  <c:v>24.2</c:v>
                </c:pt>
                <c:pt idx="83">
                  <c:v>36.1</c:v>
                </c:pt>
                <c:pt idx="84">
                  <c:v>22.1</c:v>
                </c:pt>
                <c:pt idx="85">
                  <c:v>17.7</c:v>
                </c:pt>
                <c:pt idx="86">
                  <c:v>17.3</c:v>
                </c:pt>
                <c:pt idx="87">
                  <c:v>19.899999999999999</c:v>
                </c:pt>
                <c:pt idx="88">
                  <c:v>22.5</c:v>
                </c:pt>
                <c:pt idx="89">
                  <c:v>30.1</c:v>
                </c:pt>
                <c:pt idx="90">
                  <c:v>26.5</c:v>
                </c:pt>
                <c:pt idx="91">
                  <c:v>21.7</c:v>
                </c:pt>
                <c:pt idx="92">
                  <c:v>16.899999999999999</c:v>
                </c:pt>
                <c:pt idx="93">
                  <c:v>30.8</c:v>
                </c:pt>
                <c:pt idx="94">
                  <c:v>9.8000000000000007</c:v>
                </c:pt>
                <c:pt idx="95">
                  <c:v>17.600000000000001</c:v>
                </c:pt>
                <c:pt idx="96">
                  <c:v>14.5</c:v>
                </c:pt>
                <c:pt idx="97">
                  <c:v>22.9</c:v>
                </c:pt>
                <c:pt idx="98">
                  <c:v>24.4</c:v>
                </c:pt>
                <c:pt idx="99">
                  <c:v>22.7</c:v>
                </c:pt>
                <c:pt idx="100">
                  <c:v>24.9</c:v>
                </c:pt>
                <c:pt idx="101">
                  <c:v>13.9</c:v>
                </c:pt>
                <c:pt idx="102">
                  <c:v>23.5</c:v>
                </c:pt>
                <c:pt idx="103">
                  <c:v>10.6</c:v>
                </c:pt>
                <c:pt idx="104">
                  <c:v>6.6</c:v>
                </c:pt>
                <c:pt idx="105">
                  <c:v>12.6</c:v>
                </c:pt>
                <c:pt idx="106">
                  <c:v>7.7</c:v>
                </c:pt>
                <c:pt idx="107">
                  <c:v>8.9</c:v>
                </c:pt>
                <c:pt idx="108">
                  <c:v>17.5</c:v>
                </c:pt>
                <c:pt idx="109">
                  <c:v>27.6</c:v>
                </c:pt>
                <c:pt idx="110">
                  <c:v>15.4</c:v>
                </c:pt>
                <c:pt idx="111">
                  <c:v>17</c:v>
                </c:pt>
                <c:pt idx="112">
                  <c:v>16.2</c:v>
                </c:pt>
                <c:pt idx="113">
                  <c:v>18.7</c:v>
                </c:pt>
                <c:pt idx="114">
                  <c:v>21.8</c:v>
                </c:pt>
                <c:pt idx="115">
                  <c:v>15.6</c:v>
                </c:pt>
                <c:pt idx="116">
                  <c:v>11.2</c:v>
                </c:pt>
                <c:pt idx="117">
                  <c:v>14.4</c:v>
                </c:pt>
                <c:pt idx="118">
                  <c:v>19.8</c:v>
                </c:pt>
                <c:pt idx="119">
                  <c:v>11.3</c:v>
                </c:pt>
                <c:pt idx="120">
                  <c:v>11.7</c:v>
                </c:pt>
                <c:pt idx="121">
                  <c:v>11.5</c:v>
                </c:pt>
                <c:pt idx="122">
                  <c:v>17.8</c:v>
                </c:pt>
                <c:pt idx="123">
                  <c:v>13.7</c:v>
                </c:pt>
                <c:pt idx="124">
                  <c:v>15.8</c:v>
                </c:pt>
                <c:pt idx="125">
                  <c:v>23.2</c:v>
                </c:pt>
                <c:pt idx="126">
                  <c:v>28.8</c:v>
                </c:pt>
                <c:pt idx="127">
                  <c:v>15.4</c:v>
                </c:pt>
                <c:pt idx="128">
                  <c:v>17</c:v>
                </c:pt>
                <c:pt idx="129">
                  <c:v>20.3</c:v>
                </c:pt>
                <c:pt idx="130">
                  <c:v>29.1</c:v>
                </c:pt>
                <c:pt idx="131">
                  <c:v>16.100000000000001</c:v>
                </c:pt>
                <c:pt idx="132">
                  <c:v>14.2</c:v>
                </c:pt>
                <c:pt idx="133">
                  <c:v>14.3</c:v>
                </c:pt>
                <c:pt idx="134">
                  <c:v>17.899999999999999</c:v>
                </c:pt>
                <c:pt idx="135">
                  <c:v>21</c:v>
                </c:pt>
                <c:pt idx="136">
                  <c:v>29.1</c:v>
                </c:pt>
                <c:pt idx="137">
                  <c:v>24.3</c:v>
                </c:pt>
                <c:pt idx="138">
                  <c:v>14.6</c:v>
                </c:pt>
                <c:pt idx="139">
                  <c:v>12.9</c:v>
                </c:pt>
                <c:pt idx="140">
                  <c:v>25.9</c:v>
                </c:pt>
                <c:pt idx="141">
                  <c:v>11.6</c:v>
                </c:pt>
                <c:pt idx="142">
                  <c:v>19.2</c:v>
                </c:pt>
                <c:pt idx="143">
                  <c:v>17</c:v>
                </c:pt>
                <c:pt idx="144">
                  <c:v>24.3</c:v>
                </c:pt>
                <c:pt idx="145">
                  <c:v>36.200000000000003</c:v>
                </c:pt>
                <c:pt idx="146">
                  <c:v>27.3</c:v>
                </c:pt>
                <c:pt idx="147">
                  <c:v>26.4</c:v>
                </c:pt>
                <c:pt idx="148">
                  <c:v>14.9</c:v>
                </c:pt>
                <c:pt idx="149">
                  <c:v>23.9</c:v>
                </c:pt>
                <c:pt idx="150">
                  <c:v>12.4</c:v>
                </c:pt>
                <c:pt idx="151">
                  <c:v>9.4</c:v>
                </c:pt>
                <c:pt idx="152">
                  <c:v>14.5</c:v>
                </c:pt>
                <c:pt idx="153">
                  <c:v>8.9</c:v>
                </c:pt>
                <c:pt idx="154">
                  <c:v>10.5</c:v>
                </c:pt>
                <c:pt idx="155">
                  <c:v>21.9</c:v>
                </c:pt>
                <c:pt idx="156">
                  <c:v>33.1</c:v>
                </c:pt>
                <c:pt idx="157">
                  <c:v>22.5</c:v>
                </c:pt>
                <c:pt idx="158">
                  <c:v>20.8</c:v>
                </c:pt>
                <c:pt idx="159">
                  <c:v>21</c:v>
                </c:pt>
                <c:pt idx="160">
                  <c:v>29.8</c:v>
                </c:pt>
                <c:pt idx="161">
                  <c:v>26</c:v>
                </c:pt>
                <c:pt idx="162">
                  <c:v>16.7</c:v>
                </c:pt>
                <c:pt idx="163">
                  <c:v>13.6</c:v>
                </c:pt>
                <c:pt idx="164">
                  <c:v>18.399999999999999</c:v>
                </c:pt>
                <c:pt idx="165">
                  <c:v>20.100000000000001</c:v>
                </c:pt>
                <c:pt idx="166">
                  <c:v>17.600000000000001</c:v>
                </c:pt>
                <c:pt idx="167">
                  <c:v>12.6</c:v>
                </c:pt>
                <c:pt idx="168">
                  <c:v>15.9</c:v>
                </c:pt>
                <c:pt idx="169">
                  <c:v>21.4</c:v>
                </c:pt>
                <c:pt idx="170">
                  <c:v>17.899999999999999</c:v>
                </c:pt>
                <c:pt idx="171">
                  <c:v>20.399999999999999</c:v>
                </c:pt>
                <c:pt idx="172">
                  <c:v>23.5</c:v>
                </c:pt>
                <c:pt idx="173">
                  <c:v>35.200000000000003</c:v>
                </c:pt>
                <c:pt idx="174">
                  <c:v>18</c:v>
                </c:pt>
                <c:pt idx="175">
                  <c:v>19.5</c:v>
                </c:pt>
                <c:pt idx="176">
                  <c:v>27.3</c:v>
                </c:pt>
                <c:pt idx="177">
                  <c:v>35.9</c:v>
                </c:pt>
                <c:pt idx="178">
                  <c:v>18.899999999999999</c:v>
                </c:pt>
                <c:pt idx="179">
                  <c:v>16.5</c:v>
                </c:pt>
                <c:pt idx="180">
                  <c:v>14</c:v>
                </c:pt>
                <c:pt idx="181">
                  <c:v>18</c:v>
                </c:pt>
                <c:pt idx="182">
                  <c:v>28.1</c:v>
                </c:pt>
                <c:pt idx="183">
                  <c:v>31.1</c:v>
                </c:pt>
                <c:pt idx="184">
                  <c:v>29.1</c:v>
                </c:pt>
                <c:pt idx="185">
                  <c:v>15.7</c:v>
                </c:pt>
                <c:pt idx="186">
                  <c:v>16</c:v>
                </c:pt>
                <c:pt idx="187">
                  <c:v>28.9</c:v>
                </c:pt>
                <c:pt idx="188">
                  <c:v>11.7</c:v>
                </c:pt>
                <c:pt idx="189">
                  <c:v>22.2</c:v>
                </c:pt>
                <c:pt idx="190">
                  <c:v>21.7</c:v>
                </c:pt>
                <c:pt idx="191">
                  <c:v>22.9</c:v>
                </c:pt>
                <c:pt idx="192">
                  <c:v>31.9</c:v>
                </c:pt>
                <c:pt idx="193">
                  <c:v>25.7</c:v>
                </c:pt>
                <c:pt idx="194">
                  <c:v>26.7</c:v>
                </c:pt>
                <c:pt idx="195">
                  <c:v>15</c:v>
                </c:pt>
                <c:pt idx="196">
                  <c:v>25.4</c:v>
                </c:pt>
                <c:pt idx="197">
                  <c:v>13.2</c:v>
                </c:pt>
                <c:pt idx="198">
                  <c:v>8.4</c:v>
                </c:pt>
                <c:pt idx="199">
                  <c:v>14.4</c:v>
                </c:pt>
                <c:pt idx="200">
                  <c:v>9.5</c:v>
                </c:pt>
                <c:pt idx="201">
                  <c:v>10.4</c:v>
                </c:pt>
                <c:pt idx="202">
                  <c:v>22</c:v>
                </c:pt>
                <c:pt idx="203">
                  <c:v>31.9</c:v>
                </c:pt>
                <c:pt idx="204">
                  <c:v>23.7</c:v>
                </c:pt>
                <c:pt idx="205">
                  <c:v>21.9</c:v>
                </c:pt>
                <c:pt idx="206">
                  <c:v>18.7</c:v>
                </c:pt>
                <c:pt idx="207">
                  <c:v>29.4</c:v>
                </c:pt>
                <c:pt idx="208">
                  <c:v>25.5</c:v>
                </c:pt>
                <c:pt idx="209">
                  <c:v>16.7</c:v>
                </c:pt>
                <c:pt idx="210">
                  <c:v>14.5</c:v>
                </c:pt>
                <c:pt idx="211">
                  <c:v>15.4</c:v>
                </c:pt>
                <c:pt idx="212">
                  <c:v>20.2</c:v>
                </c:pt>
                <c:pt idx="213">
                  <c:v>17.100000000000001</c:v>
                </c:pt>
                <c:pt idx="214">
                  <c:v>12.8</c:v>
                </c:pt>
                <c:pt idx="215">
                  <c:v>15.2</c:v>
                </c:pt>
                <c:pt idx="216">
                  <c:v>22.6</c:v>
                </c:pt>
                <c:pt idx="217">
                  <c:v>15.3</c:v>
                </c:pt>
                <c:pt idx="218">
                  <c:v>21.9</c:v>
                </c:pt>
                <c:pt idx="219">
                  <c:v>19.600000000000001</c:v>
                </c:pt>
                <c:pt idx="220">
                  <c:v>33.1</c:v>
                </c:pt>
                <c:pt idx="221">
                  <c:v>18.600000000000001</c:v>
                </c:pt>
                <c:pt idx="222">
                  <c:v>18.2</c:v>
                </c:pt>
                <c:pt idx="223">
                  <c:v>24.8</c:v>
                </c:pt>
                <c:pt idx="224">
                  <c:v>33.700000000000003</c:v>
                </c:pt>
                <c:pt idx="225">
                  <c:v>18.3</c:v>
                </c:pt>
                <c:pt idx="226">
                  <c:v>15.5</c:v>
                </c:pt>
                <c:pt idx="227">
                  <c:v>19.3</c:v>
                </c:pt>
                <c:pt idx="228">
                  <c:v>26.2</c:v>
                </c:pt>
                <c:pt idx="229">
                  <c:v>26.8</c:v>
                </c:pt>
                <c:pt idx="230">
                  <c:v>36.200000000000003</c:v>
                </c:pt>
                <c:pt idx="231">
                  <c:v>29.4</c:v>
                </c:pt>
                <c:pt idx="232">
                  <c:v>19.3</c:v>
                </c:pt>
                <c:pt idx="233">
                  <c:v>19.600000000000001</c:v>
                </c:pt>
                <c:pt idx="234">
                  <c:v>24.5</c:v>
                </c:pt>
                <c:pt idx="235">
                  <c:v>13.5</c:v>
                </c:pt>
                <c:pt idx="236">
                  <c:v>28.4</c:v>
                </c:pt>
                <c:pt idx="237">
                  <c:v>22.2</c:v>
                </c:pt>
                <c:pt idx="238">
                  <c:v>24.4</c:v>
                </c:pt>
                <c:pt idx="239">
                  <c:v>32.299999999999997</c:v>
                </c:pt>
                <c:pt idx="240">
                  <c:v>29.1</c:v>
                </c:pt>
                <c:pt idx="241">
                  <c:v>27.9</c:v>
                </c:pt>
                <c:pt idx="242">
                  <c:v>17.2</c:v>
                </c:pt>
                <c:pt idx="243">
                  <c:v>27.6</c:v>
                </c:pt>
                <c:pt idx="244">
                  <c:v>14.5</c:v>
                </c:pt>
                <c:pt idx="245">
                  <c:v>9.6999999999999993</c:v>
                </c:pt>
                <c:pt idx="246">
                  <c:v>16</c:v>
                </c:pt>
                <c:pt idx="247">
                  <c:v>11.6</c:v>
                </c:pt>
                <c:pt idx="248">
                  <c:v>13.5</c:v>
                </c:pt>
                <c:pt idx="249">
                  <c:v>24.2</c:v>
                </c:pt>
                <c:pt idx="250">
                  <c:v>33.200000000000003</c:v>
                </c:pt>
                <c:pt idx="251">
                  <c:v>27.5</c:v>
                </c:pt>
                <c:pt idx="252">
                  <c:v>24.3</c:v>
                </c:pt>
                <c:pt idx="253">
                  <c:v>22.5</c:v>
                </c:pt>
                <c:pt idx="254">
                  <c:v>31.2</c:v>
                </c:pt>
                <c:pt idx="255">
                  <c:v>24.6</c:v>
                </c:pt>
                <c:pt idx="256">
                  <c:v>17.7</c:v>
                </c:pt>
                <c:pt idx="257">
                  <c:v>16.8</c:v>
                </c:pt>
                <c:pt idx="258">
                  <c:v>18.100000000000001</c:v>
                </c:pt>
                <c:pt idx="259">
                  <c:v>19.5</c:v>
                </c:pt>
                <c:pt idx="260">
                  <c:v>17.8</c:v>
                </c:pt>
                <c:pt idx="261">
                  <c:v>13.8</c:v>
                </c:pt>
                <c:pt idx="262">
                  <c:v>15.5</c:v>
                </c:pt>
                <c:pt idx="263">
                  <c:v>20.8</c:v>
                </c:pt>
                <c:pt idx="264">
                  <c:v>17.899999999999999</c:v>
                </c:pt>
                <c:pt idx="265">
                  <c:v>23.6</c:v>
                </c:pt>
                <c:pt idx="266">
                  <c:v>25.6</c:v>
                </c:pt>
                <c:pt idx="267">
                  <c:v>35.6</c:v>
                </c:pt>
                <c:pt idx="268">
                  <c:v>21.4</c:v>
                </c:pt>
                <c:pt idx="269">
                  <c:v>20.2</c:v>
                </c:pt>
                <c:pt idx="270">
                  <c:v>27.2</c:v>
                </c:pt>
                <c:pt idx="271">
                  <c:v>34.1</c:v>
                </c:pt>
                <c:pt idx="272">
                  <c:v>19.2</c:v>
                </c:pt>
                <c:pt idx="273">
                  <c:v>17.100000000000001</c:v>
                </c:pt>
                <c:pt idx="274">
                  <c:v>21.5</c:v>
                </c:pt>
                <c:pt idx="275">
                  <c:v>24.8</c:v>
                </c:pt>
                <c:pt idx="276">
                  <c:v>25.6</c:v>
                </c:pt>
                <c:pt idx="277">
                  <c:v>38.299999999999997</c:v>
                </c:pt>
                <c:pt idx="278">
                  <c:v>30.8</c:v>
                </c:pt>
                <c:pt idx="279">
                  <c:v>20.7</c:v>
                </c:pt>
                <c:pt idx="280">
                  <c:v>21.5</c:v>
                </c:pt>
                <c:pt idx="281">
                  <c:v>28.8</c:v>
                </c:pt>
              </c:numCache>
            </c:numRef>
          </c:xVal>
          <c:yVal>
            <c:numRef>
              <c:f>インセンティブ実施率!$T$2:$T$283</c:f>
              <c:numCache>
                <c:formatCode>#,##0.00_);[Red]\(#,##0.00\)</c:formatCode>
                <c:ptCount val="282"/>
                <c:pt idx="0">
                  <c:v>63191.903068920721</c:v>
                </c:pt>
                <c:pt idx="1">
                  <c:v>50845.923199383411</c:v>
                </c:pt>
                <c:pt idx="2">
                  <c:v>50928.679134681646</c:v>
                </c:pt>
                <c:pt idx="3">
                  <c:v>51405.359141418579</c:v>
                </c:pt>
                <c:pt idx="4">
                  <c:v>59700.083611445218</c:v>
                </c:pt>
                <c:pt idx="5">
                  <c:v>53041.724981840809</c:v>
                </c:pt>
                <c:pt idx="6">
                  <c:v>50487.212900750892</c:v>
                </c:pt>
                <c:pt idx="7">
                  <c:v>46261.680976787567</c:v>
                </c:pt>
                <c:pt idx="8">
                  <c:v>46438.623140139905</c:v>
                </c:pt>
                <c:pt idx="9">
                  <c:v>47982.377641172498</c:v>
                </c:pt>
                <c:pt idx="10">
                  <c:v>46132.467781731641</c:v>
                </c:pt>
                <c:pt idx="11">
                  <c:v>47850.993305556854</c:v>
                </c:pt>
                <c:pt idx="12">
                  <c:v>44900.862841260787</c:v>
                </c:pt>
                <c:pt idx="13">
                  <c:v>47412.128186673639</c:v>
                </c:pt>
                <c:pt idx="14">
                  <c:v>46521.551824080649</c:v>
                </c:pt>
                <c:pt idx="15">
                  <c:v>49060.545540172025</c:v>
                </c:pt>
                <c:pt idx="16">
                  <c:v>54866.361039295109</c:v>
                </c:pt>
                <c:pt idx="17">
                  <c:v>55395.53715846932</c:v>
                </c:pt>
                <c:pt idx="18">
                  <c:v>49099.93436184802</c:v>
                </c:pt>
                <c:pt idx="19">
                  <c:v>48785.337860332605</c:v>
                </c:pt>
                <c:pt idx="20">
                  <c:v>46436.48803050899</c:v>
                </c:pt>
                <c:pt idx="21">
                  <c:v>44989.784615284654</c:v>
                </c:pt>
                <c:pt idx="22">
                  <c:v>42586.584550755768</c:v>
                </c:pt>
                <c:pt idx="23">
                  <c:v>46640.340854376613</c:v>
                </c:pt>
                <c:pt idx="24">
                  <c:v>49425.871212442617</c:v>
                </c:pt>
                <c:pt idx="25">
                  <c:v>50115.685966766992</c:v>
                </c:pt>
                <c:pt idx="26">
                  <c:v>48694.681633515902</c:v>
                </c:pt>
                <c:pt idx="27">
                  <c:v>50298.803847895295</c:v>
                </c:pt>
                <c:pt idx="28">
                  <c:v>53063.738410397025</c:v>
                </c:pt>
                <c:pt idx="29">
                  <c:v>48924.955562066607</c:v>
                </c:pt>
                <c:pt idx="30">
                  <c:v>56662.857203377403</c:v>
                </c:pt>
                <c:pt idx="31">
                  <c:v>59845.05695254256</c:v>
                </c:pt>
                <c:pt idx="32">
                  <c:v>51612.865751962978</c:v>
                </c:pt>
                <c:pt idx="33">
                  <c:v>49698.70250934759</c:v>
                </c:pt>
                <c:pt idx="34">
                  <c:v>57346.27060817802</c:v>
                </c:pt>
                <c:pt idx="35">
                  <c:v>54231.906166092034</c:v>
                </c:pt>
                <c:pt idx="36">
                  <c:v>55053.879066266942</c:v>
                </c:pt>
                <c:pt idx="37">
                  <c:v>52066.760110568903</c:v>
                </c:pt>
                <c:pt idx="38">
                  <c:v>59156.064588592999</c:v>
                </c:pt>
                <c:pt idx="39">
                  <c:v>56372.932196361311</c:v>
                </c:pt>
                <c:pt idx="40">
                  <c:v>65172.195631485658</c:v>
                </c:pt>
                <c:pt idx="41">
                  <c:v>60119.89478741942</c:v>
                </c:pt>
                <c:pt idx="42">
                  <c:v>58106.871129666593</c:v>
                </c:pt>
                <c:pt idx="43">
                  <c:v>58501.735154509726</c:v>
                </c:pt>
                <c:pt idx="44">
                  <c:v>53750.178854206293</c:v>
                </c:pt>
                <c:pt idx="45">
                  <c:v>58391.461767594126</c:v>
                </c:pt>
                <c:pt idx="46">
                  <c:v>54939.673939333639</c:v>
                </c:pt>
                <c:pt idx="47">
                  <c:v>64231.920968520382</c:v>
                </c:pt>
                <c:pt idx="48">
                  <c:v>51907.511353973139</c:v>
                </c:pt>
                <c:pt idx="49">
                  <c:v>51936.55124564968</c:v>
                </c:pt>
                <c:pt idx="50">
                  <c:v>52199.613179616943</c:v>
                </c:pt>
                <c:pt idx="51">
                  <c:v>59286.718296229519</c:v>
                </c:pt>
                <c:pt idx="52">
                  <c:v>55107.192711629767</c:v>
                </c:pt>
                <c:pt idx="53">
                  <c:v>51417.28223125395</c:v>
                </c:pt>
                <c:pt idx="54">
                  <c:v>47356.51550556541</c:v>
                </c:pt>
                <c:pt idx="55">
                  <c:v>48147.117050870511</c:v>
                </c:pt>
                <c:pt idx="56">
                  <c:v>47350.856386380197</c:v>
                </c:pt>
                <c:pt idx="57">
                  <c:v>46754.659043918808</c:v>
                </c:pt>
                <c:pt idx="58">
                  <c:v>49078.396755525544</c:v>
                </c:pt>
                <c:pt idx="59">
                  <c:v>44383.599458815122</c:v>
                </c:pt>
                <c:pt idx="60">
                  <c:v>48944.451119863683</c:v>
                </c:pt>
                <c:pt idx="61">
                  <c:v>46710.68122793558</c:v>
                </c:pt>
                <c:pt idx="62">
                  <c:v>50848.021827489247</c:v>
                </c:pt>
                <c:pt idx="63">
                  <c:v>56770.824478508199</c:v>
                </c:pt>
                <c:pt idx="64">
                  <c:v>56532.153714969609</c:v>
                </c:pt>
                <c:pt idx="65">
                  <c:v>50278.722371872653</c:v>
                </c:pt>
                <c:pt idx="66">
                  <c:v>50498.567503371989</c:v>
                </c:pt>
                <c:pt idx="67">
                  <c:v>46394.472353543846</c:v>
                </c:pt>
                <c:pt idx="68">
                  <c:v>46073.644275763159</c:v>
                </c:pt>
                <c:pt idx="69">
                  <c:v>43580.181311815591</c:v>
                </c:pt>
                <c:pt idx="70">
                  <c:v>47775.478880979674</c:v>
                </c:pt>
                <c:pt idx="71">
                  <c:v>50106.950504308516</c:v>
                </c:pt>
                <c:pt idx="72">
                  <c:v>51220.931945630015</c:v>
                </c:pt>
                <c:pt idx="73">
                  <c:v>50149.482416518411</c:v>
                </c:pt>
                <c:pt idx="74">
                  <c:v>51811.322214768348</c:v>
                </c:pt>
                <c:pt idx="75">
                  <c:v>53094.30890635206</c:v>
                </c:pt>
                <c:pt idx="76">
                  <c:v>50408.749821216632</c:v>
                </c:pt>
                <c:pt idx="77">
                  <c:v>57965.232317014234</c:v>
                </c:pt>
                <c:pt idx="78">
                  <c:v>60669.162024720303</c:v>
                </c:pt>
                <c:pt idx="79">
                  <c:v>53431.24492075642</c:v>
                </c:pt>
                <c:pt idx="80">
                  <c:v>50330.01990027952</c:v>
                </c:pt>
                <c:pt idx="81">
                  <c:v>58162.827887145926</c:v>
                </c:pt>
                <c:pt idx="82">
                  <c:v>55260.213205938388</c:v>
                </c:pt>
                <c:pt idx="83">
                  <c:v>55745.212848737719</c:v>
                </c:pt>
                <c:pt idx="84">
                  <c:v>54164.669422588508</c:v>
                </c:pt>
                <c:pt idx="85">
                  <c:v>59134.228073420221</c:v>
                </c:pt>
                <c:pt idx="86">
                  <c:v>56705.60689796981</c:v>
                </c:pt>
                <c:pt idx="87">
                  <c:v>65523.854883335633</c:v>
                </c:pt>
                <c:pt idx="88">
                  <c:v>62997.988322387682</c:v>
                </c:pt>
                <c:pt idx="89">
                  <c:v>59150.65736875718</c:v>
                </c:pt>
                <c:pt idx="90">
                  <c:v>61118.23091227909</c:v>
                </c:pt>
                <c:pt idx="91">
                  <c:v>54861.681053030334</c:v>
                </c:pt>
                <c:pt idx="92">
                  <c:v>60651.685626103179</c:v>
                </c:pt>
                <c:pt idx="93">
                  <c:v>55494.30956992336</c:v>
                </c:pt>
                <c:pt idx="94">
                  <c:v>61643.307363378975</c:v>
                </c:pt>
                <c:pt idx="95">
                  <c:v>51181.771704412997</c:v>
                </c:pt>
                <c:pt idx="96">
                  <c:v>50621.28285082303</c:v>
                </c:pt>
                <c:pt idx="97">
                  <c:v>52522.485942057632</c:v>
                </c:pt>
                <c:pt idx="98">
                  <c:v>58657.578229827282</c:v>
                </c:pt>
                <c:pt idx="99">
                  <c:v>52221.9256817961</c:v>
                </c:pt>
                <c:pt idx="100">
                  <c:v>48859.130044563746</c:v>
                </c:pt>
                <c:pt idx="101">
                  <c:v>45942.307788423757</c:v>
                </c:pt>
                <c:pt idx="102">
                  <c:v>47247.603953563121</c:v>
                </c:pt>
                <c:pt idx="103">
                  <c:v>46952.555264039154</c:v>
                </c:pt>
                <c:pt idx="104">
                  <c:v>45148.718666916386</c:v>
                </c:pt>
                <c:pt idx="105">
                  <c:v>47668.477274631165</c:v>
                </c:pt>
                <c:pt idx="106">
                  <c:v>42935.762396210812</c:v>
                </c:pt>
                <c:pt idx="107">
                  <c:v>45926.881641184576</c:v>
                </c:pt>
                <c:pt idx="108">
                  <c:v>45542.483623141765</c:v>
                </c:pt>
                <c:pt idx="109">
                  <c:v>49053.366119814971</c:v>
                </c:pt>
                <c:pt idx="110">
                  <c:v>52104.651691366453</c:v>
                </c:pt>
                <c:pt idx="111">
                  <c:v>55832.263135659297</c:v>
                </c:pt>
                <c:pt idx="112">
                  <c:v>47521.60040854886</c:v>
                </c:pt>
                <c:pt idx="113">
                  <c:v>48570.126532798778</c:v>
                </c:pt>
                <c:pt idx="114">
                  <c:v>45834.353308520025</c:v>
                </c:pt>
                <c:pt idx="115">
                  <c:v>44638.675023824391</c:v>
                </c:pt>
                <c:pt idx="116">
                  <c:v>42426.606560380867</c:v>
                </c:pt>
                <c:pt idx="117">
                  <c:v>46323.364260856601</c:v>
                </c:pt>
                <c:pt idx="118">
                  <c:v>48060.511264948094</c:v>
                </c:pt>
                <c:pt idx="119">
                  <c:v>47953.696514170064</c:v>
                </c:pt>
                <c:pt idx="120">
                  <c:v>48217.717955893262</c:v>
                </c:pt>
                <c:pt idx="121">
                  <c:v>49006.376457590675</c:v>
                </c:pt>
                <c:pt idx="122">
                  <c:v>49805.508425370019</c:v>
                </c:pt>
                <c:pt idx="123">
                  <c:v>49755.416612936533</c:v>
                </c:pt>
                <c:pt idx="124">
                  <c:v>56601.133094901277</c:v>
                </c:pt>
                <c:pt idx="125">
                  <c:v>59008.712283905312</c:v>
                </c:pt>
                <c:pt idx="126">
                  <c:v>50894.708669496322</c:v>
                </c:pt>
                <c:pt idx="127">
                  <c:v>49001.011043388971</c:v>
                </c:pt>
                <c:pt idx="128">
                  <c:v>55300.876936757995</c:v>
                </c:pt>
                <c:pt idx="129">
                  <c:v>55683.339250083249</c:v>
                </c:pt>
                <c:pt idx="130">
                  <c:v>53521.643814236813</c:v>
                </c:pt>
                <c:pt idx="131">
                  <c:v>52279.651454118692</c:v>
                </c:pt>
                <c:pt idx="132">
                  <c:v>59008.749844851678</c:v>
                </c:pt>
                <c:pt idx="133">
                  <c:v>54698.54821805247</c:v>
                </c:pt>
                <c:pt idx="134">
                  <c:v>64854.414540184189</c:v>
                </c:pt>
                <c:pt idx="135">
                  <c:v>60564.243681918066</c:v>
                </c:pt>
                <c:pt idx="136">
                  <c:v>59180.942671463177</c:v>
                </c:pt>
                <c:pt idx="137">
                  <c:v>61810.49337633713</c:v>
                </c:pt>
                <c:pt idx="138">
                  <c:v>53745.815413169214</c:v>
                </c:pt>
                <c:pt idx="139">
                  <c:v>59591.635566128309</c:v>
                </c:pt>
                <c:pt idx="140">
                  <c:v>54478.2043806027</c:v>
                </c:pt>
                <c:pt idx="141">
                  <c:v>65002.901529937059</c:v>
                </c:pt>
                <c:pt idx="142">
                  <c:v>54303.058152079982</c:v>
                </c:pt>
                <c:pt idx="143">
                  <c:v>53509.466355470948</c:v>
                </c:pt>
                <c:pt idx="144">
                  <c:v>54079.38506041823</c:v>
                </c:pt>
                <c:pt idx="145">
                  <c:v>61540.136618883385</c:v>
                </c:pt>
                <c:pt idx="146">
                  <c:v>55527.327856639582</c:v>
                </c:pt>
                <c:pt idx="147">
                  <c:v>51221.274603723272</c:v>
                </c:pt>
                <c:pt idx="148">
                  <c:v>48634.675476510281</c:v>
                </c:pt>
                <c:pt idx="149">
                  <c:v>50674.170865629741</c:v>
                </c:pt>
                <c:pt idx="150">
                  <c:v>49899.483084763604</c:v>
                </c:pt>
                <c:pt idx="151">
                  <c:v>48596.641724822461</c:v>
                </c:pt>
                <c:pt idx="152">
                  <c:v>50975.71596462273</c:v>
                </c:pt>
                <c:pt idx="153">
                  <c:v>46661.567826338636</c:v>
                </c:pt>
                <c:pt idx="154">
                  <c:v>50771.297313446899</c:v>
                </c:pt>
                <c:pt idx="155">
                  <c:v>47157.68160351328</c:v>
                </c:pt>
                <c:pt idx="156">
                  <c:v>50975.347158424593</c:v>
                </c:pt>
                <c:pt idx="157">
                  <c:v>54095.017278716536</c:v>
                </c:pt>
                <c:pt idx="158">
                  <c:v>58282.921336337815</c:v>
                </c:pt>
                <c:pt idx="159">
                  <c:v>51897.327384510631</c:v>
                </c:pt>
                <c:pt idx="160">
                  <c:v>50584.697535780062</c:v>
                </c:pt>
                <c:pt idx="161">
                  <c:v>48953.428848538097</c:v>
                </c:pt>
                <c:pt idx="162">
                  <c:v>47702.525798044873</c:v>
                </c:pt>
                <c:pt idx="163">
                  <c:v>45083.558970841834</c:v>
                </c:pt>
                <c:pt idx="164">
                  <c:v>49115.578278615896</c:v>
                </c:pt>
                <c:pt idx="165">
                  <c:v>50331.291104230317</c:v>
                </c:pt>
                <c:pt idx="166">
                  <c:v>52378.915450630528</c:v>
                </c:pt>
                <c:pt idx="167">
                  <c:v>51047.620375138678</c:v>
                </c:pt>
                <c:pt idx="168">
                  <c:v>52493.758511375978</c:v>
                </c:pt>
                <c:pt idx="169">
                  <c:v>54848.362851332779</c:v>
                </c:pt>
                <c:pt idx="170">
                  <c:v>51894.819520822442</c:v>
                </c:pt>
                <c:pt idx="171">
                  <c:v>59427.557812803985</c:v>
                </c:pt>
                <c:pt idx="172">
                  <c:v>63645.137013914005</c:v>
                </c:pt>
                <c:pt idx="173">
                  <c:v>53314.767682212754</c:v>
                </c:pt>
                <c:pt idx="174">
                  <c:v>51160.29588910185</c:v>
                </c:pt>
                <c:pt idx="175">
                  <c:v>56883.818909138601</c:v>
                </c:pt>
                <c:pt idx="176">
                  <c:v>57053.677137662235</c:v>
                </c:pt>
                <c:pt idx="177">
                  <c:v>56080.241768454594</c:v>
                </c:pt>
                <c:pt idx="178">
                  <c:v>54929.977577083882</c:v>
                </c:pt>
                <c:pt idx="179">
                  <c:v>61708.817923009439</c:v>
                </c:pt>
                <c:pt idx="180">
                  <c:v>57875.220565519659</c:v>
                </c:pt>
                <c:pt idx="181">
                  <c:v>64412.252086151238</c:v>
                </c:pt>
                <c:pt idx="182">
                  <c:v>62859.107869699066</c:v>
                </c:pt>
                <c:pt idx="183">
                  <c:v>61006.34426239723</c:v>
                </c:pt>
                <c:pt idx="184">
                  <c:v>63390.012128123177</c:v>
                </c:pt>
                <c:pt idx="185">
                  <c:v>54786.775265294258</c:v>
                </c:pt>
                <c:pt idx="186">
                  <c:v>61762.911568903335</c:v>
                </c:pt>
                <c:pt idx="187">
                  <c:v>56872.318766334683</c:v>
                </c:pt>
                <c:pt idx="188">
                  <c:v>64917.131232199514</c:v>
                </c:pt>
                <c:pt idx="189">
                  <c:v>53761.394866500872</c:v>
                </c:pt>
                <c:pt idx="190">
                  <c:v>52810.07958383744</c:v>
                </c:pt>
                <c:pt idx="191">
                  <c:v>55076.163601855049</c:v>
                </c:pt>
                <c:pt idx="192">
                  <c:v>61062.849472568778</c:v>
                </c:pt>
                <c:pt idx="193">
                  <c:v>56406.711657718493</c:v>
                </c:pt>
                <c:pt idx="194">
                  <c:v>52109.079306792257</c:v>
                </c:pt>
                <c:pt idx="195">
                  <c:v>48198.286592211429</c:v>
                </c:pt>
                <c:pt idx="196">
                  <c:v>49821.861021998804</c:v>
                </c:pt>
                <c:pt idx="197">
                  <c:v>49540.230649852259</c:v>
                </c:pt>
                <c:pt idx="198">
                  <c:v>47756.524782506778</c:v>
                </c:pt>
                <c:pt idx="199">
                  <c:v>50301.261601990249</c:v>
                </c:pt>
                <c:pt idx="200">
                  <c:v>45872.879594260732</c:v>
                </c:pt>
                <c:pt idx="201">
                  <c:v>50633.770750714015</c:v>
                </c:pt>
                <c:pt idx="202">
                  <c:v>48240.33708674676</c:v>
                </c:pt>
                <c:pt idx="203">
                  <c:v>51764.485224256197</c:v>
                </c:pt>
                <c:pt idx="204">
                  <c:v>54390.23216997819</c:v>
                </c:pt>
                <c:pt idx="205">
                  <c:v>58743.554650319114</c:v>
                </c:pt>
                <c:pt idx="206">
                  <c:v>53646.162741833599</c:v>
                </c:pt>
                <c:pt idx="207">
                  <c:v>49277.363359873227</c:v>
                </c:pt>
                <c:pt idx="208">
                  <c:v>48503.077383644588</c:v>
                </c:pt>
                <c:pt idx="209">
                  <c:v>47983.22099005121</c:v>
                </c:pt>
                <c:pt idx="210">
                  <c:v>44717.773037667132</c:v>
                </c:pt>
                <c:pt idx="211">
                  <c:v>50565.311478822827</c:v>
                </c:pt>
                <c:pt idx="212">
                  <c:v>50582.5574118738</c:v>
                </c:pt>
                <c:pt idx="213">
                  <c:v>52586.978290399667</c:v>
                </c:pt>
                <c:pt idx="214">
                  <c:v>50836.31212609967</c:v>
                </c:pt>
                <c:pt idx="215">
                  <c:v>52071.325087476856</c:v>
                </c:pt>
                <c:pt idx="216">
                  <c:v>54350.472395001925</c:v>
                </c:pt>
                <c:pt idx="217">
                  <c:v>51349.30881206815</c:v>
                </c:pt>
                <c:pt idx="218">
                  <c:v>59031.681296466973</c:v>
                </c:pt>
                <c:pt idx="219">
                  <c:v>61428.018439324318</c:v>
                </c:pt>
                <c:pt idx="220">
                  <c:v>52327.69674014581</c:v>
                </c:pt>
                <c:pt idx="221">
                  <c:v>51050.782272800949</c:v>
                </c:pt>
                <c:pt idx="222">
                  <c:v>59004.346993463376</c:v>
                </c:pt>
                <c:pt idx="223">
                  <c:v>56857.96336640048</c:v>
                </c:pt>
                <c:pt idx="224">
                  <c:v>55867.337915264798</c:v>
                </c:pt>
                <c:pt idx="225">
                  <c:v>55217.291423079849</c:v>
                </c:pt>
                <c:pt idx="226">
                  <c:v>61465.732821395475</c:v>
                </c:pt>
                <c:pt idx="227">
                  <c:v>57410.882670210238</c:v>
                </c:pt>
                <c:pt idx="228">
                  <c:v>65252.064370210639</c:v>
                </c:pt>
                <c:pt idx="229">
                  <c:v>63913.950695119172</c:v>
                </c:pt>
                <c:pt idx="230">
                  <c:v>60516.579339660471</c:v>
                </c:pt>
                <c:pt idx="231">
                  <c:v>63063.36524735581</c:v>
                </c:pt>
                <c:pt idx="232">
                  <c:v>54828.981283445966</c:v>
                </c:pt>
                <c:pt idx="233">
                  <c:v>61254.50225681594</c:v>
                </c:pt>
                <c:pt idx="234">
                  <c:v>53966.218179768126</c:v>
                </c:pt>
                <c:pt idx="235">
                  <c:v>67505.210689343119</c:v>
                </c:pt>
                <c:pt idx="236">
                  <c:v>56151.59272821778</c:v>
                </c:pt>
                <c:pt idx="237">
                  <c:v>53145.528751008664</c:v>
                </c:pt>
                <c:pt idx="238">
                  <c:v>57348.604767816731</c:v>
                </c:pt>
                <c:pt idx="239">
                  <c:v>63999.061547372919</c:v>
                </c:pt>
                <c:pt idx="240">
                  <c:v>56623.701633337587</c:v>
                </c:pt>
                <c:pt idx="241">
                  <c:v>54482.035454304503</c:v>
                </c:pt>
                <c:pt idx="242">
                  <c:v>50320.872712446195</c:v>
                </c:pt>
                <c:pt idx="243">
                  <c:v>52988.360325925983</c:v>
                </c:pt>
                <c:pt idx="244">
                  <c:v>50867.378512894255</c:v>
                </c:pt>
                <c:pt idx="245">
                  <c:v>50517.464334582641</c:v>
                </c:pt>
                <c:pt idx="246">
                  <c:v>52398.581525592715</c:v>
                </c:pt>
                <c:pt idx="247">
                  <c:v>46724.7480140357</c:v>
                </c:pt>
                <c:pt idx="248">
                  <c:v>51549.375791095903</c:v>
                </c:pt>
                <c:pt idx="249">
                  <c:v>49885.673630342011</c:v>
                </c:pt>
                <c:pt idx="250">
                  <c:v>52690.412735843995</c:v>
                </c:pt>
                <c:pt idx="251">
                  <c:v>55471.204968103149</c:v>
                </c:pt>
                <c:pt idx="252">
                  <c:v>59847.234463744535</c:v>
                </c:pt>
                <c:pt idx="253">
                  <c:v>53781.029468805602</c:v>
                </c:pt>
                <c:pt idx="254">
                  <c:v>53374.16100037071</c:v>
                </c:pt>
                <c:pt idx="255">
                  <c:v>50964.696420513494</c:v>
                </c:pt>
                <c:pt idx="256">
                  <c:v>49824.500306560389</c:v>
                </c:pt>
                <c:pt idx="257">
                  <c:v>46940.104795947984</c:v>
                </c:pt>
                <c:pt idx="258">
                  <c:v>53600.510666159302</c:v>
                </c:pt>
                <c:pt idx="259">
                  <c:v>53634.272667955556</c:v>
                </c:pt>
                <c:pt idx="260">
                  <c:v>54182.083624490035</c:v>
                </c:pt>
                <c:pt idx="261">
                  <c:v>52528.892079866622</c:v>
                </c:pt>
                <c:pt idx="262">
                  <c:v>53847.861339209856</c:v>
                </c:pt>
                <c:pt idx="263">
                  <c:v>55510.838518534336</c:v>
                </c:pt>
                <c:pt idx="264">
                  <c:v>54343.967871429304</c:v>
                </c:pt>
                <c:pt idx="265">
                  <c:v>61875.908256162438</c:v>
                </c:pt>
                <c:pt idx="266">
                  <c:v>62316.990204735164</c:v>
                </c:pt>
                <c:pt idx="267">
                  <c:v>55296.420018863639</c:v>
                </c:pt>
                <c:pt idx="268">
                  <c:v>52204.143136114348</c:v>
                </c:pt>
                <c:pt idx="269">
                  <c:v>61510.888264931418</c:v>
                </c:pt>
                <c:pt idx="270">
                  <c:v>61297.129786410427</c:v>
                </c:pt>
                <c:pt idx="271">
                  <c:v>56911.388223588947</c:v>
                </c:pt>
                <c:pt idx="272">
                  <c:v>56948.765794338287</c:v>
                </c:pt>
                <c:pt idx="273">
                  <c:v>64461.896296477418</c:v>
                </c:pt>
                <c:pt idx="274">
                  <c:v>59495.877500457384</c:v>
                </c:pt>
                <c:pt idx="275">
                  <c:v>68563.872173188196</c:v>
                </c:pt>
                <c:pt idx="276">
                  <c:v>67345.451336875965</c:v>
                </c:pt>
                <c:pt idx="277">
                  <c:v>62153.455287983365</c:v>
                </c:pt>
                <c:pt idx="278">
                  <c:v>64192.96900319132</c:v>
                </c:pt>
                <c:pt idx="279">
                  <c:v>58409.486075670749</c:v>
                </c:pt>
                <c:pt idx="280">
                  <c:v>64202.202318248841</c:v>
                </c:pt>
                <c:pt idx="281">
                  <c:v>57866.488064573517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E9-4123-A86F-E6FFCAFA8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456031"/>
        <c:axId val="427456991"/>
      </c:scatterChart>
      <c:valAx>
        <c:axId val="42745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456991"/>
        <c:crosses val="autoZero"/>
        <c:crossBetween val="midCat"/>
      </c:valAx>
      <c:valAx>
        <c:axId val="427456991"/>
        <c:scaling>
          <c:orientation val="minMax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456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インセンティブ実施率!$U$1</c:f>
              <c:strCache>
                <c:ptCount val="1"/>
                <c:pt idx="0">
                  <c:v>１人当たり医療費_入院外（調剤を含む）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インセンティブ実施率!$F$2:$F$283</c:f>
              <c:numCache>
                <c:formatCode>#,##0.0;[Red]\-#,##0.0</c:formatCode>
                <c:ptCount val="282"/>
                <c:pt idx="0">
                  <c:v>9.6999999999999993</c:v>
                </c:pt>
                <c:pt idx="1">
                  <c:v>21.6</c:v>
                </c:pt>
                <c:pt idx="2">
                  <c:v>17.600000000000001</c:v>
                </c:pt>
                <c:pt idx="3">
                  <c:v>27.2</c:v>
                </c:pt>
                <c:pt idx="4">
                  <c:v>29.5</c:v>
                </c:pt>
                <c:pt idx="5">
                  <c:v>28.3</c:v>
                </c:pt>
                <c:pt idx="6">
                  <c:v>24.9</c:v>
                </c:pt>
                <c:pt idx="7">
                  <c:v>18.7</c:v>
                </c:pt>
                <c:pt idx="8">
                  <c:v>21.5</c:v>
                </c:pt>
                <c:pt idx="9">
                  <c:v>12.5</c:v>
                </c:pt>
                <c:pt idx="10">
                  <c:v>9.1999999999999993</c:v>
                </c:pt>
                <c:pt idx="11">
                  <c:v>17.8</c:v>
                </c:pt>
                <c:pt idx="12">
                  <c:v>7.3</c:v>
                </c:pt>
                <c:pt idx="13">
                  <c:v>6.8</c:v>
                </c:pt>
                <c:pt idx="14">
                  <c:v>17.100000000000001</c:v>
                </c:pt>
                <c:pt idx="15">
                  <c:v>25.8</c:v>
                </c:pt>
                <c:pt idx="16">
                  <c:v>21.6</c:v>
                </c:pt>
                <c:pt idx="17">
                  <c:v>17.600000000000001</c:v>
                </c:pt>
                <c:pt idx="18">
                  <c:v>16.2</c:v>
                </c:pt>
                <c:pt idx="19">
                  <c:v>24.7</c:v>
                </c:pt>
                <c:pt idx="20">
                  <c:v>20.5</c:v>
                </c:pt>
                <c:pt idx="21">
                  <c:v>13.4</c:v>
                </c:pt>
                <c:pt idx="22">
                  <c:v>10.199999999999999</c:v>
                </c:pt>
                <c:pt idx="23">
                  <c:v>17.3</c:v>
                </c:pt>
                <c:pt idx="24">
                  <c:v>21.9</c:v>
                </c:pt>
                <c:pt idx="25">
                  <c:v>12.6</c:v>
                </c:pt>
                <c:pt idx="26">
                  <c:v>10</c:v>
                </c:pt>
                <c:pt idx="27">
                  <c:v>12.1</c:v>
                </c:pt>
                <c:pt idx="28">
                  <c:v>15.9</c:v>
                </c:pt>
                <c:pt idx="29">
                  <c:v>18.2</c:v>
                </c:pt>
                <c:pt idx="30">
                  <c:v>25.2</c:v>
                </c:pt>
                <c:pt idx="31">
                  <c:v>23.5</c:v>
                </c:pt>
                <c:pt idx="32">
                  <c:v>25.4</c:v>
                </c:pt>
                <c:pt idx="33">
                  <c:v>19.399999999999999</c:v>
                </c:pt>
                <c:pt idx="34">
                  <c:v>22.5</c:v>
                </c:pt>
                <c:pt idx="35">
                  <c:v>20.6</c:v>
                </c:pt>
                <c:pt idx="36">
                  <c:v>32.1</c:v>
                </c:pt>
                <c:pt idx="37">
                  <c:v>20.2</c:v>
                </c:pt>
                <c:pt idx="38">
                  <c:v>15</c:v>
                </c:pt>
                <c:pt idx="39">
                  <c:v>13.1</c:v>
                </c:pt>
                <c:pt idx="40">
                  <c:v>22.2</c:v>
                </c:pt>
                <c:pt idx="41">
                  <c:v>24.9</c:v>
                </c:pt>
                <c:pt idx="42">
                  <c:v>29.5</c:v>
                </c:pt>
                <c:pt idx="43">
                  <c:v>22</c:v>
                </c:pt>
                <c:pt idx="44">
                  <c:v>23.9</c:v>
                </c:pt>
                <c:pt idx="45">
                  <c:v>19.899999999999999</c:v>
                </c:pt>
                <c:pt idx="46">
                  <c:v>29.7</c:v>
                </c:pt>
                <c:pt idx="47">
                  <c:v>9.9</c:v>
                </c:pt>
                <c:pt idx="48">
                  <c:v>17.8</c:v>
                </c:pt>
                <c:pt idx="49">
                  <c:v>14.6</c:v>
                </c:pt>
                <c:pt idx="50">
                  <c:v>27.4</c:v>
                </c:pt>
                <c:pt idx="51">
                  <c:v>28.7</c:v>
                </c:pt>
                <c:pt idx="52">
                  <c:v>24</c:v>
                </c:pt>
                <c:pt idx="53">
                  <c:v>23.9</c:v>
                </c:pt>
                <c:pt idx="54">
                  <c:v>20.2</c:v>
                </c:pt>
                <c:pt idx="55">
                  <c:v>22.7</c:v>
                </c:pt>
                <c:pt idx="56">
                  <c:v>13.5</c:v>
                </c:pt>
                <c:pt idx="57">
                  <c:v>8.4</c:v>
                </c:pt>
                <c:pt idx="58">
                  <c:v>12.9</c:v>
                </c:pt>
                <c:pt idx="59">
                  <c:v>7.5</c:v>
                </c:pt>
                <c:pt idx="60">
                  <c:v>8.9</c:v>
                </c:pt>
                <c:pt idx="61">
                  <c:v>17.7</c:v>
                </c:pt>
                <c:pt idx="62">
                  <c:v>29.3</c:v>
                </c:pt>
                <c:pt idx="63">
                  <c:v>21.1</c:v>
                </c:pt>
                <c:pt idx="64">
                  <c:v>19.600000000000001</c:v>
                </c:pt>
                <c:pt idx="65">
                  <c:v>18.899999999999999</c:v>
                </c:pt>
                <c:pt idx="66">
                  <c:v>22.5</c:v>
                </c:pt>
                <c:pt idx="67">
                  <c:v>27.4</c:v>
                </c:pt>
                <c:pt idx="68">
                  <c:v>14.7</c:v>
                </c:pt>
                <c:pt idx="69">
                  <c:v>11.8</c:v>
                </c:pt>
                <c:pt idx="70">
                  <c:v>15.2</c:v>
                </c:pt>
                <c:pt idx="71">
                  <c:v>23.5</c:v>
                </c:pt>
                <c:pt idx="72">
                  <c:v>15.6</c:v>
                </c:pt>
                <c:pt idx="73">
                  <c:v>12.5</c:v>
                </c:pt>
                <c:pt idx="74">
                  <c:v>14.3</c:v>
                </c:pt>
                <c:pt idx="75">
                  <c:v>23.5</c:v>
                </c:pt>
                <c:pt idx="76">
                  <c:v>19.600000000000001</c:v>
                </c:pt>
                <c:pt idx="77">
                  <c:v>16.100000000000001</c:v>
                </c:pt>
                <c:pt idx="78">
                  <c:v>25.8</c:v>
                </c:pt>
                <c:pt idx="79">
                  <c:v>31.6</c:v>
                </c:pt>
                <c:pt idx="80">
                  <c:v>19.7</c:v>
                </c:pt>
                <c:pt idx="81">
                  <c:v>18.8</c:v>
                </c:pt>
                <c:pt idx="82">
                  <c:v>24.2</c:v>
                </c:pt>
                <c:pt idx="83">
                  <c:v>36.1</c:v>
                </c:pt>
                <c:pt idx="84">
                  <c:v>22.1</c:v>
                </c:pt>
                <c:pt idx="85">
                  <c:v>17.7</c:v>
                </c:pt>
                <c:pt idx="86">
                  <c:v>17.3</c:v>
                </c:pt>
                <c:pt idx="87">
                  <c:v>19.899999999999999</c:v>
                </c:pt>
                <c:pt idx="88">
                  <c:v>22.5</c:v>
                </c:pt>
                <c:pt idx="89">
                  <c:v>30.1</c:v>
                </c:pt>
                <c:pt idx="90">
                  <c:v>26.5</c:v>
                </c:pt>
                <c:pt idx="91">
                  <c:v>21.7</c:v>
                </c:pt>
                <c:pt idx="92">
                  <c:v>16.899999999999999</c:v>
                </c:pt>
                <c:pt idx="93">
                  <c:v>30.8</c:v>
                </c:pt>
                <c:pt idx="94">
                  <c:v>9.8000000000000007</c:v>
                </c:pt>
                <c:pt idx="95">
                  <c:v>17.600000000000001</c:v>
                </c:pt>
                <c:pt idx="96">
                  <c:v>14.5</c:v>
                </c:pt>
                <c:pt idx="97">
                  <c:v>22.9</c:v>
                </c:pt>
                <c:pt idx="98">
                  <c:v>24.4</c:v>
                </c:pt>
                <c:pt idx="99">
                  <c:v>22.7</c:v>
                </c:pt>
                <c:pt idx="100">
                  <c:v>24.9</c:v>
                </c:pt>
                <c:pt idx="101">
                  <c:v>13.9</c:v>
                </c:pt>
                <c:pt idx="102">
                  <c:v>23.5</c:v>
                </c:pt>
                <c:pt idx="103">
                  <c:v>10.6</c:v>
                </c:pt>
                <c:pt idx="104">
                  <c:v>6.6</c:v>
                </c:pt>
                <c:pt idx="105">
                  <c:v>12.6</c:v>
                </c:pt>
                <c:pt idx="106">
                  <c:v>7.7</c:v>
                </c:pt>
                <c:pt idx="107">
                  <c:v>8.9</c:v>
                </c:pt>
                <c:pt idx="108">
                  <c:v>17.5</c:v>
                </c:pt>
                <c:pt idx="109">
                  <c:v>27.6</c:v>
                </c:pt>
                <c:pt idx="110">
                  <c:v>15.4</c:v>
                </c:pt>
                <c:pt idx="111">
                  <c:v>17</c:v>
                </c:pt>
                <c:pt idx="112">
                  <c:v>16.2</c:v>
                </c:pt>
                <c:pt idx="113">
                  <c:v>18.7</c:v>
                </c:pt>
                <c:pt idx="114">
                  <c:v>21.8</c:v>
                </c:pt>
                <c:pt idx="115">
                  <c:v>15.6</c:v>
                </c:pt>
                <c:pt idx="116">
                  <c:v>11.2</c:v>
                </c:pt>
                <c:pt idx="117">
                  <c:v>14.4</c:v>
                </c:pt>
                <c:pt idx="118">
                  <c:v>19.8</c:v>
                </c:pt>
                <c:pt idx="119">
                  <c:v>11.3</c:v>
                </c:pt>
                <c:pt idx="120">
                  <c:v>11.7</c:v>
                </c:pt>
                <c:pt idx="121">
                  <c:v>11.5</c:v>
                </c:pt>
                <c:pt idx="122">
                  <c:v>17.8</c:v>
                </c:pt>
                <c:pt idx="123">
                  <c:v>13.7</c:v>
                </c:pt>
                <c:pt idx="124">
                  <c:v>15.8</c:v>
                </c:pt>
                <c:pt idx="125">
                  <c:v>23.2</c:v>
                </c:pt>
                <c:pt idx="126">
                  <c:v>28.8</c:v>
                </c:pt>
                <c:pt idx="127">
                  <c:v>15.4</c:v>
                </c:pt>
                <c:pt idx="128">
                  <c:v>17</c:v>
                </c:pt>
                <c:pt idx="129">
                  <c:v>20.3</c:v>
                </c:pt>
                <c:pt idx="130">
                  <c:v>29.1</c:v>
                </c:pt>
                <c:pt idx="131">
                  <c:v>16.100000000000001</c:v>
                </c:pt>
                <c:pt idx="132">
                  <c:v>14.2</c:v>
                </c:pt>
                <c:pt idx="133">
                  <c:v>14.3</c:v>
                </c:pt>
                <c:pt idx="134">
                  <c:v>17.899999999999999</c:v>
                </c:pt>
                <c:pt idx="135">
                  <c:v>21</c:v>
                </c:pt>
                <c:pt idx="136">
                  <c:v>29.1</c:v>
                </c:pt>
                <c:pt idx="137">
                  <c:v>24.3</c:v>
                </c:pt>
                <c:pt idx="138">
                  <c:v>14.6</c:v>
                </c:pt>
                <c:pt idx="139">
                  <c:v>12.9</c:v>
                </c:pt>
                <c:pt idx="140">
                  <c:v>25.9</c:v>
                </c:pt>
                <c:pt idx="141">
                  <c:v>11.6</c:v>
                </c:pt>
                <c:pt idx="142">
                  <c:v>19.2</c:v>
                </c:pt>
                <c:pt idx="143">
                  <c:v>17</c:v>
                </c:pt>
                <c:pt idx="144">
                  <c:v>24.3</c:v>
                </c:pt>
                <c:pt idx="145">
                  <c:v>36.200000000000003</c:v>
                </c:pt>
                <c:pt idx="146">
                  <c:v>27.3</c:v>
                </c:pt>
                <c:pt idx="147">
                  <c:v>26.4</c:v>
                </c:pt>
                <c:pt idx="148">
                  <c:v>14.9</c:v>
                </c:pt>
                <c:pt idx="149">
                  <c:v>23.9</c:v>
                </c:pt>
                <c:pt idx="150">
                  <c:v>12.4</c:v>
                </c:pt>
                <c:pt idx="151">
                  <c:v>9.4</c:v>
                </c:pt>
                <c:pt idx="152">
                  <c:v>14.5</c:v>
                </c:pt>
                <c:pt idx="153">
                  <c:v>8.9</c:v>
                </c:pt>
                <c:pt idx="154">
                  <c:v>10.5</c:v>
                </c:pt>
                <c:pt idx="155">
                  <c:v>21.9</c:v>
                </c:pt>
                <c:pt idx="156">
                  <c:v>33.1</c:v>
                </c:pt>
                <c:pt idx="157">
                  <c:v>22.5</c:v>
                </c:pt>
                <c:pt idx="158">
                  <c:v>20.8</c:v>
                </c:pt>
                <c:pt idx="159">
                  <c:v>21</c:v>
                </c:pt>
                <c:pt idx="160">
                  <c:v>29.8</c:v>
                </c:pt>
                <c:pt idx="161">
                  <c:v>26</c:v>
                </c:pt>
                <c:pt idx="162">
                  <c:v>16.7</c:v>
                </c:pt>
                <c:pt idx="163">
                  <c:v>13.6</c:v>
                </c:pt>
                <c:pt idx="164">
                  <c:v>18.399999999999999</c:v>
                </c:pt>
                <c:pt idx="165">
                  <c:v>20.100000000000001</c:v>
                </c:pt>
                <c:pt idx="166">
                  <c:v>17.600000000000001</c:v>
                </c:pt>
                <c:pt idx="167">
                  <c:v>12.6</c:v>
                </c:pt>
                <c:pt idx="168">
                  <c:v>15.9</c:v>
                </c:pt>
                <c:pt idx="169">
                  <c:v>21.4</c:v>
                </c:pt>
                <c:pt idx="170">
                  <c:v>17.899999999999999</c:v>
                </c:pt>
                <c:pt idx="171">
                  <c:v>20.399999999999999</c:v>
                </c:pt>
                <c:pt idx="172">
                  <c:v>23.5</c:v>
                </c:pt>
                <c:pt idx="173">
                  <c:v>35.200000000000003</c:v>
                </c:pt>
                <c:pt idx="174">
                  <c:v>18</c:v>
                </c:pt>
                <c:pt idx="175">
                  <c:v>19.5</c:v>
                </c:pt>
                <c:pt idx="176">
                  <c:v>27.3</c:v>
                </c:pt>
                <c:pt idx="177">
                  <c:v>35.9</c:v>
                </c:pt>
                <c:pt idx="178">
                  <c:v>18.899999999999999</c:v>
                </c:pt>
                <c:pt idx="179">
                  <c:v>16.5</c:v>
                </c:pt>
                <c:pt idx="180">
                  <c:v>14</c:v>
                </c:pt>
                <c:pt idx="181">
                  <c:v>18</c:v>
                </c:pt>
                <c:pt idx="182">
                  <c:v>28.1</c:v>
                </c:pt>
                <c:pt idx="183">
                  <c:v>31.1</c:v>
                </c:pt>
                <c:pt idx="184">
                  <c:v>29.1</c:v>
                </c:pt>
                <c:pt idx="185">
                  <c:v>15.7</c:v>
                </c:pt>
                <c:pt idx="186">
                  <c:v>16</c:v>
                </c:pt>
                <c:pt idx="187">
                  <c:v>28.9</c:v>
                </c:pt>
                <c:pt idx="188">
                  <c:v>11.7</c:v>
                </c:pt>
                <c:pt idx="189">
                  <c:v>22.2</c:v>
                </c:pt>
                <c:pt idx="190">
                  <c:v>21.7</c:v>
                </c:pt>
                <c:pt idx="191">
                  <c:v>22.9</c:v>
                </c:pt>
                <c:pt idx="192">
                  <c:v>31.9</c:v>
                </c:pt>
                <c:pt idx="193">
                  <c:v>25.7</c:v>
                </c:pt>
                <c:pt idx="194">
                  <c:v>26.7</c:v>
                </c:pt>
                <c:pt idx="195">
                  <c:v>15</c:v>
                </c:pt>
                <c:pt idx="196">
                  <c:v>25.4</c:v>
                </c:pt>
                <c:pt idx="197">
                  <c:v>13.2</c:v>
                </c:pt>
                <c:pt idx="198">
                  <c:v>8.4</c:v>
                </c:pt>
                <c:pt idx="199">
                  <c:v>14.4</c:v>
                </c:pt>
                <c:pt idx="200">
                  <c:v>9.5</c:v>
                </c:pt>
                <c:pt idx="201">
                  <c:v>10.4</c:v>
                </c:pt>
                <c:pt idx="202">
                  <c:v>22</c:v>
                </c:pt>
                <c:pt idx="203">
                  <c:v>31.9</c:v>
                </c:pt>
                <c:pt idx="204">
                  <c:v>23.7</c:v>
                </c:pt>
                <c:pt idx="205">
                  <c:v>21.9</c:v>
                </c:pt>
                <c:pt idx="206">
                  <c:v>18.7</c:v>
                </c:pt>
                <c:pt idx="207">
                  <c:v>29.4</c:v>
                </c:pt>
                <c:pt idx="208">
                  <c:v>25.5</c:v>
                </c:pt>
                <c:pt idx="209">
                  <c:v>16.7</c:v>
                </c:pt>
                <c:pt idx="210">
                  <c:v>14.5</c:v>
                </c:pt>
                <c:pt idx="211">
                  <c:v>15.4</c:v>
                </c:pt>
                <c:pt idx="212">
                  <c:v>20.2</c:v>
                </c:pt>
                <c:pt idx="213">
                  <c:v>17.100000000000001</c:v>
                </c:pt>
                <c:pt idx="214">
                  <c:v>12.8</c:v>
                </c:pt>
                <c:pt idx="215">
                  <c:v>15.2</c:v>
                </c:pt>
                <c:pt idx="216">
                  <c:v>22.6</c:v>
                </c:pt>
                <c:pt idx="217">
                  <c:v>15.3</c:v>
                </c:pt>
                <c:pt idx="218">
                  <c:v>21.9</c:v>
                </c:pt>
                <c:pt idx="219">
                  <c:v>19.600000000000001</c:v>
                </c:pt>
                <c:pt idx="220">
                  <c:v>33.1</c:v>
                </c:pt>
                <c:pt idx="221">
                  <c:v>18.600000000000001</c:v>
                </c:pt>
                <c:pt idx="222">
                  <c:v>18.2</c:v>
                </c:pt>
                <c:pt idx="223">
                  <c:v>24.8</c:v>
                </c:pt>
                <c:pt idx="224">
                  <c:v>33.700000000000003</c:v>
                </c:pt>
                <c:pt idx="225">
                  <c:v>18.3</c:v>
                </c:pt>
                <c:pt idx="226">
                  <c:v>15.5</c:v>
                </c:pt>
                <c:pt idx="227">
                  <c:v>19.3</c:v>
                </c:pt>
                <c:pt idx="228">
                  <c:v>26.2</c:v>
                </c:pt>
                <c:pt idx="229">
                  <c:v>26.8</c:v>
                </c:pt>
                <c:pt idx="230">
                  <c:v>36.200000000000003</c:v>
                </c:pt>
                <c:pt idx="231">
                  <c:v>29.4</c:v>
                </c:pt>
                <c:pt idx="232">
                  <c:v>19.3</c:v>
                </c:pt>
                <c:pt idx="233">
                  <c:v>19.600000000000001</c:v>
                </c:pt>
                <c:pt idx="234">
                  <c:v>24.5</c:v>
                </c:pt>
                <c:pt idx="235">
                  <c:v>13.5</c:v>
                </c:pt>
                <c:pt idx="236">
                  <c:v>28.4</c:v>
                </c:pt>
                <c:pt idx="237">
                  <c:v>22.2</c:v>
                </c:pt>
                <c:pt idx="238">
                  <c:v>24.4</c:v>
                </c:pt>
                <c:pt idx="239">
                  <c:v>32.299999999999997</c:v>
                </c:pt>
                <c:pt idx="240">
                  <c:v>29.1</c:v>
                </c:pt>
                <c:pt idx="241">
                  <c:v>27.9</c:v>
                </c:pt>
                <c:pt idx="242">
                  <c:v>17.2</c:v>
                </c:pt>
                <c:pt idx="243">
                  <c:v>27.6</c:v>
                </c:pt>
                <c:pt idx="244">
                  <c:v>14.5</c:v>
                </c:pt>
                <c:pt idx="245">
                  <c:v>9.6999999999999993</c:v>
                </c:pt>
                <c:pt idx="246">
                  <c:v>16</c:v>
                </c:pt>
                <c:pt idx="247">
                  <c:v>11.6</c:v>
                </c:pt>
                <c:pt idx="248">
                  <c:v>13.5</c:v>
                </c:pt>
                <c:pt idx="249">
                  <c:v>24.2</c:v>
                </c:pt>
                <c:pt idx="250">
                  <c:v>33.200000000000003</c:v>
                </c:pt>
                <c:pt idx="251">
                  <c:v>27.5</c:v>
                </c:pt>
                <c:pt idx="252">
                  <c:v>24.3</c:v>
                </c:pt>
                <c:pt idx="253">
                  <c:v>22.5</c:v>
                </c:pt>
                <c:pt idx="254">
                  <c:v>31.2</c:v>
                </c:pt>
                <c:pt idx="255">
                  <c:v>24.6</c:v>
                </c:pt>
                <c:pt idx="256">
                  <c:v>17.7</c:v>
                </c:pt>
                <c:pt idx="257">
                  <c:v>16.8</c:v>
                </c:pt>
                <c:pt idx="258">
                  <c:v>18.100000000000001</c:v>
                </c:pt>
                <c:pt idx="259">
                  <c:v>19.5</c:v>
                </c:pt>
                <c:pt idx="260">
                  <c:v>17.8</c:v>
                </c:pt>
                <c:pt idx="261">
                  <c:v>13.8</c:v>
                </c:pt>
                <c:pt idx="262">
                  <c:v>15.5</c:v>
                </c:pt>
                <c:pt idx="263">
                  <c:v>20.8</c:v>
                </c:pt>
                <c:pt idx="264">
                  <c:v>17.899999999999999</c:v>
                </c:pt>
                <c:pt idx="265">
                  <c:v>23.6</c:v>
                </c:pt>
                <c:pt idx="266">
                  <c:v>25.6</c:v>
                </c:pt>
                <c:pt idx="267">
                  <c:v>35.6</c:v>
                </c:pt>
                <c:pt idx="268">
                  <c:v>21.4</c:v>
                </c:pt>
                <c:pt idx="269">
                  <c:v>20.2</c:v>
                </c:pt>
                <c:pt idx="270">
                  <c:v>27.2</c:v>
                </c:pt>
                <c:pt idx="271">
                  <c:v>34.1</c:v>
                </c:pt>
                <c:pt idx="272">
                  <c:v>19.2</c:v>
                </c:pt>
                <c:pt idx="273">
                  <c:v>17.100000000000001</c:v>
                </c:pt>
                <c:pt idx="274">
                  <c:v>21.5</c:v>
                </c:pt>
                <c:pt idx="275">
                  <c:v>24.8</c:v>
                </c:pt>
                <c:pt idx="276">
                  <c:v>25.6</c:v>
                </c:pt>
                <c:pt idx="277">
                  <c:v>38.299999999999997</c:v>
                </c:pt>
                <c:pt idx="278">
                  <c:v>30.8</c:v>
                </c:pt>
                <c:pt idx="279">
                  <c:v>20.7</c:v>
                </c:pt>
                <c:pt idx="280">
                  <c:v>21.5</c:v>
                </c:pt>
                <c:pt idx="281">
                  <c:v>28.8</c:v>
                </c:pt>
              </c:numCache>
            </c:numRef>
          </c:xVal>
          <c:yVal>
            <c:numRef>
              <c:f>インセンティブ実施率!$U$2:$U$283</c:f>
              <c:numCache>
                <c:formatCode>#,##0.00_);[Red]\(#,##0.00\)</c:formatCode>
                <c:ptCount val="282"/>
                <c:pt idx="0">
                  <c:v>112323.35697301815</c:v>
                </c:pt>
                <c:pt idx="1">
                  <c:v>111752.0528067376</c:v>
                </c:pt>
                <c:pt idx="2">
                  <c:v>107802.0992245356</c:v>
                </c:pt>
                <c:pt idx="3">
                  <c:v>112299.01727242164</c:v>
                </c:pt>
                <c:pt idx="4">
                  <c:v>118296.64468769089</c:v>
                </c:pt>
                <c:pt idx="5">
                  <c:v>112224.63063992414</c:v>
                </c:pt>
                <c:pt idx="6">
                  <c:v>107946.44513942057</c:v>
                </c:pt>
                <c:pt idx="7">
                  <c:v>105209.57425961045</c:v>
                </c:pt>
                <c:pt idx="8">
                  <c:v>108328.47711437917</c:v>
                </c:pt>
                <c:pt idx="9">
                  <c:v>103988.05813679103</c:v>
                </c:pt>
                <c:pt idx="10">
                  <c:v>103391.76343718852</c:v>
                </c:pt>
                <c:pt idx="11">
                  <c:v>104961.47397385682</c:v>
                </c:pt>
                <c:pt idx="12">
                  <c:v>106029.65103297262</c:v>
                </c:pt>
                <c:pt idx="13">
                  <c:v>107754.64110093167</c:v>
                </c:pt>
                <c:pt idx="14">
                  <c:v>102125.89279983405</c:v>
                </c:pt>
                <c:pt idx="15">
                  <c:v>99176.629878613516</c:v>
                </c:pt>
                <c:pt idx="16">
                  <c:v>104564.34147841761</c:v>
                </c:pt>
                <c:pt idx="17">
                  <c:v>104302.11041581299</c:v>
                </c:pt>
                <c:pt idx="18">
                  <c:v>106418.5933051446</c:v>
                </c:pt>
                <c:pt idx="19">
                  <c:v>99664.243376121362</c:v>
                </c:pt>
                <c:pt idx="20">
                  <c:v>104736.14606899276</c:v>
                </c:pt>
                <c:pt idx="21">
                  <c:v>106480.40528214326</c:v>
                </c:pt>
                <c:pt idx="22">
                  <c:v>103053.34166729436</c:v>
                </c:pt>
                <c:pt idx="23">
                  <c:v>103244.23227625563</c:v>
                </c:pt>
                <c:pt idx="24">
                  <c:v>99745.415786332698</c:v>
                </c:pt>
                <c:pt idx="25">
                  <c:v>103285.81161809243</c:v>
                </c:pt>
                <c:pt idx="26">
                  <c:v>105025.26318755405</c:v>
                </c:pt>
                <c:pt idx="27">
                  <c:v>108005.14877886875</c:v>
                </c:pt>
                <c:pt idx="28">
                  <c:v>105305.71116590293</c:v>
                </c:pt>
                <c:pt idx="29">
                  <c:v>108400.718887553</c:v>
                </c:pt>
                <c:pt idx="30">
                  <c:v>103222.55335442851</c:v>
                </c:pt>
                <c:pt idx="31">
                  <c:v>110129.06683675208</c:v>
                </c:pt>
                <c:pt idx="32">
                  <c:v>107933.57001194604</c:v>
                </c:pt>
                <c:pt idx="33">
                  <c:v>106754.5586458078</c:v>
                </c:pt>
                <c:pt idx="34">
                  <c:v>112345.32871361454</c:v>
                </c:pt>
                <c:pt idx="35">
                  <c:v>111537.83749381668</c:v>
                </c:pt>
                <c:pt idx="36">
                  <c:v>112593.66673783229</c:v>
                </c:pt>
                <c:pt idx="37">
                  <c:v>106693.01350116296</c:v>
                </c:pt>
                <c:pt idx="38">
                  <c:v>108699.68733520433</c:v>
                </c:pt>
                <c:pt idx="39">
                  <c:v>105944.14036792726</c:v>
                </c:pt>
                <c:pt idx="40">
                  <c:v>116467.58356998159</c:v>
                </c:pt>
                <c:pt idx="41">
                  <c:v>106347.94061464153</c:v>
                </c:pt>
                <c:pt idx="42">
                  <c:v>109348.27425034851</c:v>
                </c:pt>
                <c:pt idx="43">
                  <c:v>110889.39064155136</c:v>
                </c:pt>
                <c:pt idx="44">
                  <c:v>103153.71343084692</c:v>
                </c:pt>
                <c:pt idx="45">
                  <c:v>105259.89004776964</c:v>
                </c:pt>
                <c:pt idx="46">
                  <c:v>92077.629576007923</c:v>
                </c:pt>
                <c:pt idx="47">
                  <c:v>117370.47800910196</c:v>
                </c:pt>
                <c:pt idx="48">
                  <c:v>116589.82753105834</c:v>
                </c:pt>
                <c:pt idx="49">
                  <c:v>111817.68874621049</c:v>
                </c:pt>
                <c:pt idx="50">
                  <c:v>116003.33155743568</c:v>
                </c:pt>
                <c:pt idx="51">
                  <c:v>123264.73522303406</c:v>
                </c:pt>
                <c:pt idx="52">
                  <c:v>116260.9026283221</c:v>
                </c:pt>
                <c:pt idx="53">
                  <c:v>110882.88196730528</c:v>
                </c:pt>
                <c:pt idx="54">
                  <c:v>108571.6032525927</c:v>
                </c:pt>
                <c:pt idx="55">
                  <c:v>111355.23114883235</c:v>
                </c:pt>
                <c:pt idx="56">
                  <c:v>106656.49611359782</c:v>
                </c:pt>
                <c:pt idx="57">
                  <c:v>106319.00023517046</c:v>
                </c:pt>
                <c:pt idx="58">
                  <c:v>108031.62297609836</c:v>
                </c:pt>
                <c:pt idx="59">
                  <c:v>107302.49936921187</c:v>
                </c:pt>
                <c:pt idx="60">
                  <c:v>111652.63093561042</c:v>
                </c:pt>
                <c:pt idx="61">
                  <c:v>105319.8089927632</c:v>
                </c:pt>
                <c:pt idx="62">
                  <c:v>102481.07594884535</c:v>
                </c:pt>
                <c:pt idx="63">
                  <c:v>107972.03246346577</c:v>
                </c:pt>
                <c:pt idx="64">
                  <c:v>107552.52119303436</c:v>
                </c:pt>
                <c:pt idx="65">
                  <c:v>109846.99086019155</c:v>
                </c:pt>
                <c:pt idx="66">
                  <c:v>102589.09990755476</c:v>
                </c:pt>
                <c:pt idx="67">
                  <c:v>107376.2172097752</c:v>
                </c:pt>
                <c:pt idx="68">
                  <c:v>109117.73764589988</c:v>
                </c:pt>
                <c:pt idx="69">
                  <c:v>105848.16248612087</c:v>
                </c:pt>
                <c:pt idx="70">
                  <c:v>107181.29315828026</c:v>
                </c:pt>
                <c:pt idx="71">
                  <c:v>103804.38426554634</c:v>
                </c:pt>
                <c:pt idx="72">
                  <c:v>106930.01366281342</c:v>
                </c:pt>
                <c:pt idx="73">
                  <c:v>108354.32193035859</c:v>
                </c:pt>
                <c:pt idx="74">
                  <c:v>112189.62938908245</c:v>
                </c:pt>
                <c:pt idx="75">
                  <c:v>108673.64811878423</c:v>
                </c:pt>
                <c:pt idx="76">
                  <c:v>112105.89080957291</c:v>
                </c:pt>
                <c:pt idx="77">
                  <c:v>107111.963384847</c:v>
                </c:pt>
                <c:pt idx="78">
                  <c:v>115144.22718231601</c:v>
                </c:pt>
                <c:pt idx="79">
                  <c:v>111243.97001885583</c:v>
                </c:pt>
                <c:pt idx="80">
                  <c:v>110972.73595067652</c:v>
                </c:pt>
                <c:pt idx="81">
                  <c:v>115978.33472768417</c:v>
                </c:pt>
                <c:pt idx="82">
                  <c:v>115789.57569974358</c:v>
                </c:pt>
                <c:pt idx="83">
                  <c:v>115694.38692174332</c:v>
                </c:pt>
                <c:pt idx="84">
                  <c:v>111383.92213920048</c:v>
                </c:pt>
                <c:pt idx="85">
                  <c:v>111668.07228812572</c:v>
                </c:pt>
                <c:pt idx="86">
                  <c:v>108819.59296264465</c:v>
                </c:pt>
                <c:pt idx="87">
                  <c:v>120890.35450220644</c:v>
                </c:pt>
                <c:pt idx="88">
                  <c:v>110790.92896866069</c:v>
                </c:pt>
                <c:pt idx="89">
                  <c:v>112703.12788939309</c:v>
                </c:pt>
                <c:pt idx="90">
                  <c:v>114464.69899848942</c:v>
                </c:pt>
                <c:pt idx="91">
                  <c:v>106772.97646324705</c:v>
                </c:pt>
                <c:pt idx="92">
                  <c:v>109506.21909946525</c:v>
                </c:pt>
                <c:pt idx="93">
                  <c:v>97202.308990321151</c:v>
                </c:pt>
                <c:pt idx="94">
                  <c:v>114276.53453266762</c:v>
                </c:pt>
                <c:pt idx="95">
                  <c:v>112917.36050103065</c:v>
                </c:pt>
                <c:pt idx="96">
                  <c:v>110075.85755655954</c:v>
                </c:pt>
                <c:pt idx="97">
                  <c:v>112632.89503915588</c:v>
                </c:pt>
                <c:pt idx="98">
                  <c:v>121445.1691837402</c:v>
                </c:pt>
                <c:pt idx="99">
                  <c:v>113126.21207794914</c:v>
                </c:pt>
                <c:pt idx="100">
                  <c:v>107702.6261204253</c:v>
                </c:pt>
                <c:pt idx="101">
                  <c:v>105596.49217123065</c:v>
                </c:pt>
                <c:pt idx="102">
                  <c:v>108095.66264758496</c:v>
                </c:pt>
                <c:pt idx="103">
                  <c:v>102837.0339281147</c:v>
                </c:pt>
                <c:pt idx="104">
                  <c:v>102977.26035905447</c:v>
                </c:pt>
                <c:pt idx="105">
                  <c:v>104189.2034921625</c:v>
                </c:pt>
                <c:pt idx="106">
                  <c:v>102001.18744681851</c:v>
                </c:pt>
                <c:pt idx="107">
                  <c:v>107949.72889581625</c:v>
                </c:pt>
                <c:pt idx="108">
                  <c:v>101273.39541312343</c:v>
                </c:pt>
                <c:pt idx="109">
                  <c:v>98028.844119417932</c:v>
                </c:pt>
                <c:pt idx="110">
                  <c:v>103790.39226816779</c:v>
                </c:pt>
                <c:pt idx="111">
                  <c:v>102831.40961481207</c:v>
                </c:pt>
                <c:pt idx="112">
                  <c:v>106158.62660983748</c:v>
                </c:pt>
                <c:pt idx="113">
                  <c:v>99189.917224562043</c:v>
                </c:pt>
                <c:pt idx="114">
                  <c:v>103167.96744384714</c:v>
                </c:pt>
                <c:pt idx="115">
                  <c:v>105875.61558829511</c:v>
                </c:pt>
                <c:pt idx="116">
                  <c:v>102212.74761122701</c:v>
                </c:pt>
                <c:pt idx="117">
                  <c:v>104045.87874172915</c:v>
                </c:pt>
                <c:pt idx="118">
                  <c:v>99821.390067993503</c:v>
                </c:pt>
                <c:pt idx="119">
                  <c:v>102719.02028864261</c:v>
                </c:pt>
                <c:pt idx="120">
                  <c:v>103821.40675009541</c:v>
                </c:pt>
                <c:pt idx="121">
                  <c:v>107666.82253030463</c:v>
                </c:pt>
                <c:pt idx="122">
                  <c:v>105986.83220352208</c:v>
                </c:pt>
                <c:pt idx="123">
                  <c:v>108723.72994180289</c:v>
                </c:pt>
                <c:pt idx="124">
                  <c:v>102979.34249402971</c:v>
                </c:pt>
                <c:pt idx="125">
                  <c:v>112417.79988034496</c:v>
                </c:pt>
                <c:pt idx="126">
                  <c:v>106829.89420934257</c:v>
                </c:pt>
                <c:pt idx="127">
                  <c:v>106828.70794794448</c:v>
                </c:pt>
                <c:pt idx="128">
                  <c:v>111702.03908892047</c:v>
                </c:pt>
                <c:pt idx="129">
                  <c:v>111116.83803961135</c:v>
                </c:pt>
                <c:pt idx="130">
                  <c:v>111912.34583857925</c:v>
                </c:pt>
                <c:pt idx="131">
                  <c:v>107272.78941705768</c:v>
                </c:pt>
                <c:pt idx="132">
                  <c:v>108489.88240758165</c:v>
                </c:pt>
                <c:pt idx="133">
                  <c:v>104629.13366134132</c:v>
                </c:pt>
                <c:pt idx="134">
                  <c:v>117894.4920427727</c:v>
                </c:pt>
                <c:pt idx="135">
                  <c:v>108377.83401273428</c:v>
                </c:pt>
                <c:pt idx="136">
                  <c:v>108872.42124797442</c:v>
                </c:pt>
                <c:pt idx="137">
                  <c:v>111009.84802108223</c:v>
                </c:pt>
                <c:pt idx="138">
                  <c:v>104556.46036654124</c:v>
                </c:pt>
                <c:pt idx="139">
                  <c:v>107794.80695702448</c:v>
                </c:pt>
                <c:pt idx="140">
                  <c:v>93338.144650351955</c:v>
                </c:pt>
                <c:pt idx="141">
                  <c:v>122908.10703956946</c:v>
                </c:pt>
                <c:pt idx="142">
                  <c:v>120740.78849490749</c:v>
                </c:pt>
                <c:pt idx="143">
                  <c:v>117717.44199446125</c:v>
                </c:pt>
                <c:pt idx="144">
                  <c:v>122033.72440423013</c:v>
                </c:pt>
                <c:pt idx="145">
                  <c:v>127367.97856168357</c:v>
                </c:pt>
                <c:pt idx="146">
                  <c:v>123103.34809480722</c:v>
                </c:pt>
                <c:pt idx="147">
                  <c:v>116751.97848539293</c:v>
                </c:pt>
                <c:pt idx="148">
                  <c:v>115444.06854206533</c:v>
                </c:pt>
                <c:pt idx="149">
                  <c:v>118599.68976970152</c:v>
                </c:pt>
                <c:pt idx="150">
                  <c:v>112452.22333527234</c:v>
                </c:pt>
                <c:pt idx="151">
                  <c:v>113830.14339984169</c:v>
                </c:pt>
                <c:pt idx="152">
                  <c:v>114882.83746194238</c:v>
                </c:pt>
                <c:pt idx="153">
                  <c:v>113840.13239053542</c:v>
                </c:pt>
                <c:pt idx="154">
                  <c:v>119479.4854642495</c:v>
                </c:pt>
                <c:pt idx="155">
                  <c:v>108914.26578945403</c:v>
                </c:pt>
                <c:pt idx="156">
                  <c:v>107654.07880474659</c:v>
                </c:pt>
                <c:pt idx="157">
                  <c:v>112509.47777400067</c:v>
                </c:pt>
                <c:pt idx="158">
                  <c:v>113028.54650109916</c:v>
                </c:pt>
                <c:pt idx="159">
                  <c:v>114203.19395563719</c:v>
                </c:pt>
                <c:pt idx="160">
                  <c:v>107446.74986118844</c:v>
                </c:pt>
                <c:pt idx="161">
                  <c:v>112625.12578712053</c:v>
                </c:pt>
                <c:pt idx="162">
                  <c:v>115414.51290277726</c:v>
                </c:pt>
                <c:pt idx="163">
                  <c:v>113564.68449623011</c:v>
                </c:pt>
                <c:pt idx="164">
                  <c:v>113506.57188201908</c:v>
                </c:pt>
                <c:pt idx="165">
                  <c:v>108187.38251398776</c:v>
                </c:pt>
                <c:pt idx="166">
                  <c:v>113871.16439021489</c:v>
                </c:pt>
                <c:pt idx="167">
                  <c:v>115474.41156048352</c:v>
                </c:pt>
                <c:pt idx="168">
                  <c:v>118685.1729446823</c:v>
                </c:pt>
                <c:pt idx="169">
                  <c:v>116167.49637809236</c:v>
                </c:pt>
                <c:pt idx="170">
                  <c:v>117050.30399827025</c:v>
                </c:pt>
                <c:pt idx="171">
                  <c:v>110090.35458081972</c:v>
                </c:pt>
                <c:pt idx="172">
                  <c:v>120446.57817276123</c:v>
                </c:pt>
                <c:pt idx="173">
                  <c:v>115475.32869453316</c:v>
                </c:pt>
                <c:pt idx="174">
                  <c:v>115082.72066284457</c:v>
                </c:pt>
                <c:pt idx="175">
                  <c:v>119922.52139335516</c:v>
                </c:pt>
                <c:pt idx="176">
                  <c:v>120144.12789168715</c:v>
                </c:pt>
                <c:pt idx="177">
                  <c:v>122033.1627456187</c:v>
                </c:pt>
                <c:pt idx="178">
                  <c:v>114593.19844304815</c:v>
                </c:pt>
                <c:pt idx="179">
                  <c:v>115913.89236123866</c:v>
                </c:pt>
                <c:pt idx="180">
                  <c:v>115290.7504967983</c:v>
                </c:pt>
                <c:pt idx="181">
                  <c:v>127176.26888019573</c:v>
                </c:pt>
                <c:pt idx="182">
                  <c:v>116531.88669013146</c:v>
                </c:pt>
                <c:pt idx="183">
                  <c:v>118370.00665152549</c:v>
                </c:pt>
                <c:pt idx="184">
                  <c:v>120450.75968589928</c:v>
                </c:pt>
                <c:pt idx="185">
                  <c:v>112206.35541357812</c:v>
                </c:pt>
                <c:pt idx="186">
                  <c:v>116316.53346131447</c:v>
                </c:pt>
                <c:pt idx="187">
                  <c:v>103430.94596748284</c:v>
                </c:pt>
                <c:pt idx="188">
                  <c:v>132159.87161694292</c:v>
                </c:pt>
                <c:pt idx="189">
                  <c:v>128267.35369058233</c:v>
                </c:pt>
                <c:pt idx="190">
                  <c:v>127898.94671618244</c:v>
                </c:pt>
                <c:pt idx="191">
                  <c:v>131202.70073633516</c:v>
                </c:pt>
                <c:pt idx="192">
                  <c:v>137315.24581284518</c:v>
                </c:pt>
                <c:pt idx="193">
                  <c:v>132436.36083467095</c:v>
                </c:pt>
                <c:pt idx="194">
                  <c:v>126708.22162834203</c:v>
                </c:pt>
                <c:pt idx="195">
                  <c:v>123844.40840772033</c:v>
                </c:pt>
                <c:pt idx="196">
                  <c:v>127153.29718357787</c:v>
                </c:pt>
                <c:pt idx="197">
                  <c:v>122421.80822929577</c:v>
                </c:pt>
                <c:pt idx="198">
                  <c:v>121518.78776082821</c:v>
                </c:pt>
                <c:pt idx="199">
                  <c:v>121460.28755818389</c:v>
                </c:pt>
                <c:pt idx="200">
                  <c:v>121969.48038651979</c:v>
                </c:pt>
                <c:pt idx="201">
                  <c:v>126742.63780021585</c:v>
                </c:pt>
                <c:pt idx="202">
                  <c:v>117625.82645547579</c:v>
                </c:pt>
                <c:pt idx="203">
                  <c:v>116109.31535183778</c:v>
                </c:pt>
                <c:pt idx="204">
                  <c:v>123425.12876431296</c:v>
                </c:pt>
                <c:pt idx="205">
                  <c:v>125293.19764190546</c:v>
                </c:pt>
                <c:pt idx="206">
                  <c:v>123948.14302041734</c:v>
                </c:pt>
                <c:pt idx="207">
                  <c:v>118861.45704530619</c:v>
                </c:pt>
                <c:pt idx="208">
                  <c:v>123892.16727515291</c:v>
                </c:pt>
                <c:pt idx="209">
                  <c:v>125288.80952694644</c:v>
                </c:pt>
                <c:pt idx="210">
                  <c:v>123742.59987165702</c:v>
                </c:pt>
                <c:pt idx="211">
                  <c:v>123961.10094936636</c:v>
                </c:pt>
                <c:pt idx="212">
                  <c:v>119658.38426710534</c:v>
                </c:pt>
                <c:pt idx="213">
                  <c:v>123298.22899483654</c:v>
                </c:pt>
                <c:pt idx="214">
                  <c:v>125838.04248522519</c:v>
                </c:pt>
                <c:pt idx="215">
                  <c:v>128396.82936571552</c:v>
                </c:pt>
                <c:pt idx="216">
                  <c:v>127759.16986057922</c:v>
                </c:pt>
                <c:pt idx="217">
                  <c:v>128611.04668447278</c:v>
                </c:pt>
                <c:pt idx="218">
                  <c:v>118092.59625383625</c:v>
                </c:pt>
                <c:pt idx="219">
                  <c:v>131523.62119597534</c:v>
                </c:pt>
                <c:pt idx="220">
                  <c:v>125892.84577035441</c:v>
                </c:pt>
                <c:pt idx="221">
                  <c:v>125806.91112606792</c:v>
                </c:pt>
                <c:pt idx="222">
                  <c:v>130761.21258649846</c:v>
                </c:pt>
                <c:pt idx="223">
                  <c:v>131891.17328314288</c:v>
                </c:pt>
                <c:pt idx="224">
                  <c:v>133232.28470479208</c:v>
                </c:pt>
                <c:pt idx="225">
                  <c:v>125682.11763405785</c:v>
                </c:pt>
                <c:pt idx="226">
                  <c:v>124409.77641464882</c:v>
                </c:pt>
                <c:pt idx="227">
                  <c:v>127261.15179582062</c:v>
                </c:pt>
                <c:pt idx="228">
                  <c:v>140944.97516187644</c:v>
                </c:pt>
                <c:pt idx="229">
                  <c:v>127885.58782850284</c:v>
                </c:pt>
                <c:pt idx="230">
                  <c:v>131030.26955754578</c:v>
                </c:pt>
                <c:pt idx="231">
                  <c:v>132997.53149628517</c:v>
                </c:pt>
                <c:pt idx="232">
                  <c:v>126479.7194589116</c:v>
                </c:pt>
                <c:pt idx="233">
                  <c:v>128849.13142070634</c:v>
                </c:pt>
                <c:pt idx="234">
                  <c:v>112325.59775088808</c:v>
                </c:pt>
                <c:pt idx="235">
                  <c:v>137861.93409467724</c:v>
                </c:pt>
                <c:pt idx="236">
                  <c:v>135981.60575505192</c:v>
                </c:pt>
                <c:pt idx="237">
                  <c:v>132341.85875569348</c:v>
                </c:pt>
                <c:pt idx="238">
                  <c:v>135531.3169816825</c:v>
                </c:pt>
                <c:pt idx="239">
                  <c:v>141195.80603508416</c:v>
                </c:pt>
                <c:pt idx="240">
                  <c:v>137114.37297883589</c:v>
                </c:pt>
                <c:pt idx="241">
                  <c:v>128805.9331490911</c:v>
                </c:pt>
                <c:pt idx="242">
                  <c:v>126063.6947930006</c:v>
                </c:pt>
                <c:pt idx="243">
                  <c:v>130303.63063922494</c:v>
                </c:pt>
                <c:pt idx="244">
                  <c:v>125716.81209308191</c:v>
                </c:pt>
                <c:pt idx="245">
                  <c:v>124902.12935468723</c:v>
                </c:pt>
                <c:pt idx="246">
                  <c:v>126364.43778666868</c:v>
                </c:pt>
                <c:pt idx="247">
                  <c:v>127026.60381521333</c:v>
                </c:pt>
                <c:pt idx="248">
                  <c:v>132307.3729151458</c:v>
                </c:pt>
                <c:pt idx="249">
                  <c:v>122635.90303864695</c:v>
                </c:pt>
                <c:pt idx="250">
                  <c:v>120569.26392875747</c:v>
                </c:pt>
                <c:pt idx="251">
                  <c:v>125349.29741139343</c:v>
                </c:pt>
                <c:pt idx="252">
                  <c:v>127137.35701893936</c:v>
                </c:pt>
                <c:pt idx="253">
                  <c:v>127740.36790560561</c:v>
                </c:pt>
                <c:pt idx="254">
                  <c:v>121709.96816068584</c:v>
                </c:pt>
                <c:pt idx="255">
                  <c:v>128018.79256910789</c:v>
                </c:pt>
                <c:pt idx="256">
                  <c:v>128674.83024556925</c:v>
                </c:pt>
                <c:pt idx="257">
                  <c:v>127669.68366862403</c:v>
                </c:pt>
                <c:pt idx="258">
                  <c:v>126153.66030794881</c:v>
                </c:pt>
                <c:pt idx="259">
                  <c:v>121883.41922546692</c:v>
                </c:pt>
                <c:pt idx="260">
                  <c:v>124828.90313413301</c:v>
                </c:pt>
                <c:pt idx="261">
                  <c:v>128612.45515075132</c:v>
                </c:pt>
                <c:pt idx="262">
                  <c:v>131574.38514538953</c:v>
                </c:pt>
                <c:pt idx="263">
                  <c:v>127735.84441194056</c:v>
                </c:pt>
                <c:pt idx="264">
                  <c:v>133210.1074184489</c:v>
                </c:pt>
                <c:pt idx="265">
                  <c:v>124634.74020556675</c:v>
                </c:pt>
                <c:pt idx="266">
                  <c:v>135116.9700500234</c:v>
                </c:pt>
                <c:pt idx="267">
                  <c:v>128280.61596761765</c:v>
                </c:pt>
                <c:pt idx="268">
                  <c:v>128283.94488053081</c:v>
                </c:pt>
                <c:pt idx="269">
                  <c:v>134944.08813363564</c:v>
                </c:pt>
                <c:pt idx="270">
                  <c:v>135567.63059352676</c:v>
                </c:pt>
                <c:pt idx="271">
                  <c:v>134852.88302121058</c:v>
                </c:pt>
                <c:pt idx="272">
                  <c:v>130792.5592763266</c:v>
                </c:pt>
                <c:pt idx="273">
                  <c:v>128761.06414110013</c:v>
                </c:pt>
                <c:pt idx="274">
                  <c:v>129137.53986597741</c:v>
                </c:pt>
                <c:pt idx="275">
                  <c:v>141701.20744225668</c:v>
                </c:pt>
                <c:pt idx="276">
                  <c:v>132166.12309462851</c:v>
                </c:pt>
                <c:pt idx="277">
                  <c:v>132621.81872877022</c:v>
                </c:pt>
                <c:pt idx="278">
                  <c:v>136508.04272580773</c:v>
                </c:pt>
                <c:pt idx="279">
                  <c:v>129818.62904030774</c:v>
                </c:pt>
                <c:pt idx="280">
                  <c:v>131222.10246196802</c:v>
                </c:pt>
                <c:pt idx="281">
                  <c:v>112740.99734975038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89-4AF7-A813-5662434C8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456031"/>
        <c:axId val="427456991"/>
      </c:scatterChart>
      <c:valAx>
        <c:axId val="42745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456991"/>
        <c:crosses val="autoZero"/>
        <c:crossBetween val="midCat"/>
      </c:valAx>
      <c:valAx>
        <c:axId val="427456991"/>
        <c:scaling>
          <c:orientation val="minMax"/>
          <c:min val="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456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インセンティブ実施率!$X$1</c:f>
              <c:strCache>
                <c:ptCount val="1"/>
                <c:pt idx="0">
                  <c:v>（再掲）生活習慣病_入院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インセンティブ実施率!$F$2:$F$283</c:f>
              <c:numCache>
                <c:formatCode>#,##0.0;[Red]\-#,##0.0</c:formatCode>
                <c:ptCount val="282"/>
                <c:pt idx="0">
                  <c:v>9.6999999999999993</c:v>
                </c:pt>
                <c:pt idx="1">
                  <c:v>21.6</c:v>
                </c:pt>
                <c:pt idx="2">
                  <c:v>17.600000000000001</c:v>
                </c:pt>
                <c:pt idx="3">
                  <c:v>27.2</c:v>
                </c:pt>
                <c:pt idx="4">
                  <c:v>29.5</c:v>
                </c:pt>
                <c:pt idx="5">
                  <c:v>28.3</c:v>
                </c:pt>
                <c:pt idx="6">
                  <c:v>24.9</c:v>
                </c:pt>
                <c:pt idx="7">
                  <c:v>18.7</c:v>
                </c:pt>
                <c:pt idx="8">
                  <c:v>21.5</c:v>
                </c:pt>
                <c:pt idx="9">
                  <c:v>12.5</c:v>
                </c:pt>
                <c:pt idx="10">
                  <c:v>9.1999999999999993</c:v>
                </c:pt>
                <c:pt idx="11">
                  <c:v>17.8</c:v>
                </c:pt>
                <c:pt idx="12">
                  <c:v>7.3</c:v>
                </c:pt>
                <c:pt idx="13">
                  <c:v>6.8</c:v>
                </c:pt>
                <c:pt idx="14">
                  <c:v>17.100000000000001</c:v>
                </c:pt>
                <c:pt idx="15">
                  <c:v>25.8</c:v>
                </c:pt>
                <c:pt idx="16">
                  <c:v>21.6</c:v>
                </c:pt>
                <c:pt idx="17">
                  <c:v>17.600000000000001</c:v>
                </c:pt>
                <c:pt idx="18">
                  <c:v>16.2</c:v>
                </c:pt>
                <c:pt idx="19">
                  <c:v>24.7</c:v>
                </c:pt>
                <c:pt idx="20">
                  <c:v>20.5</c:v>
                </c:pt>
                <c:pt idx="21">
                  <c:v>13.4</c:v>
                </c:pt>
                <c:pt idx="22">
                  <c:v>10.199999999999999</c:v>
                </c:pt>
                <c:pt idx="23">
                  <c:v>17.3</c:v>
                </c:pt>
                <c:pt idx="24">
                  <c:v>21.9</c:v>
                </c:pt>
                <c:pt idx="25">
                  <c:v>12.6</c:v>
                </c:pt>
                <c:pt idx="26">
                  <c:v>10</c:v>
                </c:pt>
                <c:pt idx="27">
                  <c:v>12.1</c:v>
                </c:pt>
                <c:pt idx="28">
                  <c:v>15.9</c:v>
                </c:pt>
                <c:pt idx="29">
                  <c:v>18.2</c:v>
                </c:pt>
                <c:pt idx="30">
                  <c:v>25.2</c:v>
                </c:pt>
                <c:pt idx="31">
                  <c:v>23.5</c:v>
                </c:pt>
                <c:pt idx="32">
                  <c:v>25.4</c:v>
                </c:pt>
                <c:pt idx="33">
                  <c:v>19.399999999999999</c:v>
                </c:pt>
                <c:pt idx="34">
                  <c:v>22.5</c:v>
                </c:pt>
                <c:pt idx="35">
                  <c:v>20.6</c:v>
                </c:pt>
                <c:pt idx="36">
                  <c:v>32.1</c:v>
                </c:pt>
                <c:pt idx="37">
                  <c:v>20.2</c:v>
                </c:pt>
                <c:pt idx="38">
                  <c:v>15</c:v>
                </c:pt>
                <c:pt idx="39">
                  <c:v>13.1</c:v>
                </c:pt>
                <c:pt idx="40">
                  <c:v>22.2</c:v>
                </c:pt>
                <c:pt idx="41">
                  <c:v>24.9</c:v>
                </c:pt>
                <c:pt idx="42">
                  <c:v>29.5</c:v>
                </c:pt>
                <c:pt idx="43">
                  <c:v>22</c:v>
                </c:pt>
                <c:pt idx="44">
                  <c:v>23.9</c:v>
                </c:pt>
                <c:pt idx="45">
                  <c:v>19.899999999999999</c:v>
                </c:pt>
                <c:pt idx="46">
                  <c:v>29.7</c:v>
                </c:pt>
                <c:pt idx="47">
                  <c:v>9.9</c:v>
                </c:pt>
                <c:pt idx="48">
                  <c:v>17.8</c:v>
                </c:pt>
                <c:pt idx="49">
                  <c:v>14.6</c:v>
                </c:pt>
                <c:pt idx="50">
                  <c:v>27.4</c:v>
                </c:pt>
                <c:pt idx="51">
                  <c:v>28.7</c:v>
                </c:pt>
                <c:pt idx="52">
                  <c:v>24</c:v>
                </c:pt>
                <c:pt idx="53">
                  <c:v>23.9</c:v>
                </c:pt>
                <c:pt idx="54">
                  <c:v>20.2</c:v>
                </c:pt>
                <c:pt idx="55">
                  <c:v>22.7</c:v>
                </c:pt>
                <c:pt idx="56">
                  <c:v>13.5</c:v>
                </c:pt>
                <c:pt idx="57">
                  <c:v>8.4</c:v>
                </c:pt>
                <c:pt idx="58">
                  <c:v>12.9</c:v>
                </c:pt>
                <c:pt idx="59">
                  <c:v>7.5</c:v>
                </c:pt>
                <c:pt idx="60">
                  <c:v>8.9</c:v>
                </c:pt>
                <c:pt idx="61">
                  <c:v>17.7</c:v>
                </c:pt>
                <c:pt idx="62">
                  <c:v>29.3</c:v>
                </c:pt>
                <c:pt idx="63">
                  <c:v>21.1</c:v>
                </c:pt>
                <c:pt idx="64">
                  <c:v>19.600000000000001</c:v>
                </c:pt>
                <c:pt idx="65">
                  <c:v>18.899999999999999</c:v>
                </c:pt>
                <c:pt idx="66">
                  <c:v>22.5</c:v>
                </c:pt>
                <c:pt idx="67">
                  <c:v>27.4</c:v>
                </c:pt>
                <c:pt idx="68">
                  <c:v>14.7</c:v>
                </c:pt>
                <c:pt idx="69">
                  <c:v>11.8</c:v>
                </c:pt>
                <c:pt idx="70">
                  <c:v>15.2</c:v>
                </c:pt>
                <c:pt idx="71">
                  <c:v>23.5</c:v>
                </c:pt>
                <c:pt idx="72">
                  <c:v>15.6</c:v>
                </c:pt>
                <c:pt idx="73">
                  <c:v>12.5</c:v>
                </c:pt>
                <c:pt idx="74">
                  <c:v>14.3</c:v>
                </c:pt>
                <c:pt idx="75">
                  <c:v>23.5</c:v>
                </c:pt>
                <c:pt idx="76">
                  <c:v>19.600000000000001</c:v>
                </c:pt>
                <c:pt idx="77">
                  <c:v>16.100000000000001</c:v>
                </c:pt>
                <c:pt idx="78">
                  <c:v>25.8</c:v>
                </c:pt>
                <c:pt idx="79">
                  <c:v>31.6</c:v>
                </c:pt>
                <c:pt idx="80">
                  <c:v>19.7</c:v>
                </c:pt>
                <c:pt idx="81">
                  <c:v>18.8</c:v>
                </c:pt>
                <c:pt idx="82">
                  <c:v>24.2</c:v>
                </c:pt>
                <c:pt idx="83">
                  <c:v>36.1</c:v>
                </c:pt>
                <c:pt idx="84">
                  <c:v>22.1</c:v>
                </c:pt>
                <c:pt idx="85">
                  <c:v>17.7</c:v>
                </c:pt>
                <c:pt idx="86">
                  <c:v>17.3</c:v>
                </c:pt>
                <c:pt idx="87">
                  <c:v>19.899999999999999</c:v>
                </c:pt>
                <c:pt idx="88">
                  <c:v>22.5</c:v>
                </c:pt>
                <c:pt idx="89">
                  <c:v>30.1</c:v>
                </c:pt>
                <c:pt idx="90">
                  <c:v>26.5</c:v>
                </c:pt>
                <c:pt idx="91">
                  <c:v>21.7</c:v>
                </c:pt>
                <c:pt idx="92">
                  <c:v>16.899999999999999</c:v>
                </c:pt>
                <c:pt idx="93">
                  <c:v>30.8</c:v>
                </c:pt>
                <c:pt idx="94">
                  <c:v>9.8000000000000007</c:v>
                </c:pt>
                <c:pt idx="95">
                  <c:v>17.600000000000001</c:v>
                </c:pt>
                <c:pt idx="96">
                  <c:v>14.5</c:v>
                </c:pt>
                <c:pt idx="97">
                  <c:v>22.9</c:v>
                </c:pt>
                <c:pt idx="98">
                  <c:v>24.4</c:v>
                </c:pt>
                <c:pt idx="99">
                  <c:v>22.7</c:v>
                </c:pt>
                <c:pt idx="100">
                  <c:v>24.9</c:v>
                </c:pt>
                <c:pt idx="101">
                  <c:v>13.9</c:v>
                </c:pt>
                <c:pt idx="102">
                  <c:v>23.5</c:v>
                </c:pt>
                <c:pt idx="103">
                  <c:v>10.6</c:v>
                </c:pt>
                <c:pt idx="104">
                  <c:v>6.6</c:v>
                </c:pt>
                <c:pt idx="105">
                  <c:v>12.6</c:v>
                </c:pt>
                <c:pt idx="106">
                  <c:v>7.7</c:v>
                </c:pt>
                <c:pt idx="107">
                  <c:v>8.9</c:v>
                </c:pt>
                <c:pt idx="108">
                  <c:v>17.5</c:v>
                </c:pt>
                <c:pt idx="109">
                  <c:v>27.6</c:v>
                </c:pt>
                <c:pt idx="110">
                  <c:v>15.4</c:v>
                </c:pt>
                <c:pt idx="111">
                  <c:v>17</c:v>
                </c:pt>
                <c:pt idx="112">
                  <c:v>16.2</c:v>
                </c:pt>
                <c:pt idx="113">
                  <c:v>18.7</c:v>
                </c:pt>
                <c:pt idx="114">
                  <c:v>21.8</c:v>
                </c:pt>
                <c:pt idx="115">
                  <c:v>15.6</c:v>
                </c:pt>
                <c:pt idx="116">
                  <c:v>11.2</c:v>
                </c:pt>
                <c:pt idx="117">
                  <c:v>14.4</c:v>
                </c:pt>
                <c:pt idx="118">
                  <c:v>19.8</c:v>
                </c:pt>
                <c:pt idx="119">
                  <c:v>11.3</c:v>
                </c:pt>
                <c:pt idx="120">
                  <c:v>11.7</c:v>
                </c:pt>
                <c:pt idx="121">
                  <c:v>11.5</c:v>
                </c:pt>
                <c:pt idx="122">
                  <c:v>17.8</c:v>
                </c:pt>
                <c:pt idx="123">
                  <c:v>13.7</c:v>
                </c:pt>
                <c:pt idx="124">
                  <c:v>15.8</c:v>
                </c:pt>
                <c:pt idx="125">
                  <c:v>23.2</c:v>
                </c:pt>
                <c:pt idx="126">
                  <c:v>28.8</c:v>
                </c:pt>
                <c:pt idx="127">
                  <c:v>15.4</c:v>
                </c:pt>
                <c:pt idx="128">
                  <c:v>17</c:v>
                </c:pt>
                <c:pt idx="129">
                  <c:v>20.3</c:v>
                </c:pt>
                <c:pt idx="130">
                  <c:v>29.1</c:v>
                </c:pt>
                <c:pt idx="131">
                  <c:v>16.100000000000001</c:v>
                </c:pt>
                <c:pt idx="132">
                  <c:v>14.2</c:v>
                </c:pt>
                <c:pt idx="133">
                  <c:v>14.3</c:v>
                </c:pt>
                <c:pt idx="134">
                  <c:v>17.899999999999999</c:v>
                </c:pt>
                <c:pt idx="135">
                  <c:v>21</c:v>
                </c:pt>
                <c:pt idx="136">
                  <c:v>29.1</c:v>
                </c:pt>
                <c:pt idx="137">
                  <c:v>24.3</c:v>
                </c:pt>
                <c:pt idx="138">
                  <c:v>14.6</c:v>
                </c:pt>
                <c:pt idx="139">
                  <c:v>12.9</c:v>
                </c:pt>
                <c:pt idx="140">
                  <c:v>25.9</c:v>
                </c:pt>
                <c:pt idx="141">
                  <c:v>11.6</c:v>
                </c:pt>
                <c:pt idx="142">
                  <c:v>19.2</c:v>
                </c:pt>
                <c:pt idx="143">
                  <c:v>17</c:v>
                </c:pt>
                <c:pt idx="144">
                  <c:v>24.3</c:v>
                </c:pt>
                <c:pt idx="145">
                  <c:v>36.200000000000003</c:v>
                </c:pt>
                <c:pt idx="146">
                  <c:v>27.3</c:v>
                </c:pt>
                <c:pt idx="147">
                  <c:v>26.4</c:v>
                </c:pt>
                <c:pt idx="148">
                  <c:v>14.9</c:v>
                </c:pt>
                <c:pt idx="149">
                  <c:v>23.9</c:v>
                </c:pt>
                <c:pt idx="150">
                  <c:v>12.4</c:v>
                </c:pt>
                <c:pt idx="151">
                  <c:v>9.4</c:v>
                </c:pt>
                <c:pt idx="152">
                  <c:v>14.5</c:v>
                </c:pt>
                <c:pt idx="153">
                  <c:v>8.9</c:v>
                </c:pt>
                <c:pt idx="154">
                  <c:v>10.5</c:v>
                </c:pt>
                <c:pt idx="155">
                  <c:v>21.9</c:v>
                </c:pt>
                <c:pt idx="156">
                  <c:v>33.1</c:v>
                </c:pt>
                <c:pt idx="157">
                  <c:v>22.5</c:v>
                </c:pt>
                <c:pt idx="158">
                  <c:v>20.8</c:v>
                </c:pt>
                <c:pt idx="159">
                  <c:v>21</c:v>
                </c:pt>
                <c:pt idx="160">
                  <c:v>29.8</c:v>
                </c:pt>
                <c:pt idx="161">
                  <c:v>26</c:v>
                </c:pt>
                <c:pt idx="162">
                  <c:v>16.7</c:v>
                </c:pt>
                <c:pt idx="163">
                  <c:v>13.6</c:v>
                </c:pt>
                <c:pt idx="164">
                  <c:v>18.399999999999999</c:v>
                </c:pt>
                <c:pt idx="165">
                  <c:v>20.100000000000001</c:v>
                </c:pt>
                <c:pt idx="166">
                  <c:v>17.600000000000001</c:v>
                </c:pt>
                <c:pt idx="167">
                  <c:v>12.6</c:v>
                </c:pt>
                <c:pt idx="168">
                  <c:v>15.9</c:v>
                </c:pt>
                <c:pt idx="169">
                  <c:v>21.4</c:v>
                </c:pt>
                <c:pt idx="170">
                  <c:v>17.899999999999999</c:v>
                </c:pt>
                <c:pt idx="171">
                  <c:v>20.399999999999999</c:v>
                </c:pt>
                <c:pt idx="172">
                  <c:v>23.5</c:v>
                </c:pt>
                <c:pt idx="173">
                  <c:v>35.200000000000003</c:v>
                </c:pt>
                <c:pt idx="174">
                  <c:v>18</c:v>
                </c:pt>
                <c:pt idx="175">
                  <c:v>19.5</c:v>
                </c:pt>
                <c:pt idx="176">
                  <c:v>27.3</c:v>
                </c:pt>
                <c:pt idx="177">
                  <c:v>35.9</c:v>
                </c:pt>
                <c:pt idx="178">
                  <c:v>18.899999999999999</c:v>
                </c:pt>
                <c:pt idx="179">
                  <c:v>16.5</c:v>
                </c:pt>
                <c:pt idx="180">
                  <c:v>14</c:v>
                </c:pt>
                <c:pt idx="181">
                  <c:v>18</c:v>
                </c:pt>
                <c:pt idx="182">
                  <c:v>28.1</c:v>
                </c:pt>
                <c:pt idx="183">
                  <c:v>31.1</c:v>
                </c:pt>
                <c:pt idx="184">
                  <c:v>29.1</c:v>
                </c:pt>
                <c:pt idx="185">
                  <c:v>15.7</c:v>
                </c:pt>
                <c:pt idx="186">
                  <c:v>16</c:v>
                </c:pt>
                <c:pt idx="187">
                  <c:v>28.9</c:v>
                </c:pt>
                <c:pt idx="188">
                  <c:v>11.7</c:v>
                </c:pt>
                <c:pt idx="189">
                  <c:v>22.2</c:v>
                </c:pt>
                <c:pt idx="190">
                  <c:v>21.7</c:v>
                </c:pt>
                <c:pt idx="191">
                  <c:v>22.9</c:v>
                </c:pt>
                <c:pt idx="192">
                  <c:v>31.9</c:v>
                </c:pt>
                <c:pt idx="193">
                  <c:v>25.7</c:v>
                </c:pt>
                <c:pt idx="194">
                  <c:v>26.7</c:v>
                </c:pt>
                <c:pt idx="195">
                  <c:v>15</c:v>
                </c:pt>
                <c:pt idx="196">
                  <c:v>25.4</c:v>
                </c:pt>
                <c:pt idx="197">
                  <c:v>13.2</c:v>
                </c:pt>
                <c:pt idx="198">
                  <c:v>8.4</c:v>
                </c:pt>
                <c:pt idx="199">
                  <c:v>14.4</c:v>
                </c:pt>
                <c:pt idx="200">
                  <c:v>9.5</c:v>
                </c:pt>
                <c:pt idx="201">
                  <c:v>10.4</c:v>
                </c:pt>
                <c:pt idx="202">
                  <c:v>22</c:v>
                </c:pt>
                <c:pt idx="203">
                  <c:v>31.9</c:v>
                </c:pt>
                <c:pt idx="204">
                  <c:v>23.7</c:v>
                </c:pt>
                <c:pt idx="205">
                  <c:v>21.9</c:v>
                </c:pt>
                <c:pt idx="206">
                  <c:v>18.7</c:v>
                </c:pt>
                <c:pt idx="207">
                  <c:v>29.4</c:v>
                </c:pt>
                <c:pt idx="208">
                  <c:v>25.5</c:v>
                </c:pt>
                <c:pt idx="209">
                  <c:v>16.7</c:v>
                </c:pt>
                <c:pt idx="210">
                  <c:v>14.5</c:v>
                </c:pt>
                <c:pt idx="211">
                  <c:v>15.4</c:v>
                </c:pt>
                <c:pt idx="212">
                  <c:v>20.2</c:v>
                </c:pt>
                <c:pt idx="213">
                  <c:v>17.100000000000001</c:v>
                </c:pt>
                <c:pt idx="214">
                  <c:v>12.8</c:v>
                </c:pt>
                <c:pt idx="215">
                  <c:v>15.2</c:v>
                </c:pt>
                <c:pt idx="216">
                  <c:v>22.6</c:v>
                </c:pt>
                <c:pt idx="217">
                  <c:v>15.3</c:v>
                </c:pt>
                <c:pt idx="218">
                  <c:v>21.9</c:v>
                </c:pt>
                <c:pt idx="219">
                  <c:v>19.600000000000001</c:v>
                </c:pt>
                <c:pt idx="220">
                  <c:v>33.1</c:v>
                </c:pt>
                <c:pt idx="221">
                  <c:v>18.600000000000001</c:v>
                </c:pt>
                <c:pt idx="222">
                  <c:v>18.2</c:v>
                </c:pt>
                <c:pt idx="223">
                  <c:v>24.8</c:v>
                </c:pt>
                <c:pt idx="224">
                  <c:v>33.700000000000003</c:v>
                </c:pt>
                <c:pt idx="225">
                  <c:v>18.3</c:v>
                </c:pt>
                <c:pt idx="226">
                  <c:v>15.5</c:v>
                </c:pt>
                <c:pt idx="227">
                  <c:v>19.3</c:v>
                </c:pt>
                <c:pt idx="228">
                  <c:v>26.2</c:v>
                </c:pt>
                <c:pt idx="229">
                  <c:v>26.8</c:v>
                </c:pt>
                <c:pt idx="230">
                  <c:v>36.200000000000003</c:v>
                </c:pt>
                <c:pt idx="231">
                  <c:v>29.4</c:v>
                </c:pt>
                <c:pt idx="232">
                  <c:v>19.3</c:v>
                </c:pt>
                <c:pt idx="233">
                  <c:v>19.600000000000001</c:v>
                </c:pt>
                <c:pt idx="234">
                  <c:v>24.5</c:v>
                </c:pt>
                <c:pt idx="235">
                  <c:v>13.5</c:v>
                </c:pt>
                <c:pt idx="236">
                  <c:v>28.4</c:v>
                </c:pt>
                <c:pt idx="237">
                  <c:v>22.2</c:v>
                </c:pt>
                <c:pt idx="238">
                  <c:v>24.4</c:v>
                </c:pt>
                <c:pt idx="239">
                  <c:v>32.299999999999997</c:v>
                </c:pt>
                <c:pt idx="240">
                  <c:v>29.1</c:v>
                </c:pt>
                <c:pt idx="241">
                  <c:v>27.9</c:v>
                </c:pt>
                <c:pt idx="242">
                  <c:v>17.2</c:v>
                </c:pt>
                <c:pt idx="243">
                  <c:v>27.6</c:v>
                </c:pt>
                <c:pt idx="244">
                  <c:v>14.5</c:v>
                </c:pt>
                <c:pt idx="245">
                  <c:v>9.6999999999999993</c:v>
                </c:pt>
                <c:pt idx="246">
                  <c:v>16</c:v>
                </c:pt>
                <c:pt idx="247">
                  <c:v>11.6</c:v>
                </c:pt>
                <c:pt idx="248">
                  <c:v>13.5</c:v>
                </c:pt>
                <c:pt idx="249">
                  <c:v>24.2</c:v>
                </c:pt>
                <c:pt idx="250">
                  <c:v>33.200000000000003</c:v>
                </c:pt>
                <c:pt idx="251">
                  <c:v>27.5</c:v>
                </c:pt>
                <c:pt idx="252">
                  <c:v>24.3</c:v>
                </c:pt>
                <c:pt idx="253">
                  <c:v>22.5</c:v>
                </c:pt>
                <c:pt idx="254">
                  <c:v>31.2</c:v>
                </c:pt>
                <c:pt idx="255">
                  <c:v>24.6</c:v>
                </c:pt>
                <c:pt idx="256">
                  <c:v>17.7</c:v>
                </c:pt>
                <c:pt idx="257">
                  <c:v>16.8</c:v>
                </c:pt>
                <c:pt idx="258">
                  <c:v>18.100000000000001</c:v>
                </c:pt>
                <c:pt idx="259">
                  <c:v>19.5</c:v>
                </c:pt>
                <c:pt idx="260">
                  <c:v>17.8</c:v>
                </c:pt>
                <c:pt idx="261">
                  <c:v>13.8</c:v>
                </c:pt>
                <c:pt idx="262">
                  <c:v>15.5</c:v>
                </c:pt>
                <c:pt idx="263">
                  <c:v>20.8</c:v>
                </c:pt>
                <c:pt idx="264">
                  <c:v>17.899999999999999</c:v>
                </c:pt>
                <c:pt idx="265">
                  <c:v>23.6</c:v>
                </c:pt>
                <c:pt idx="266">
                  <c:v>25.6</c:v>
                </c:pt>
                <c:pt idx="267">
                  <c:v>35.6</c:v>
                </c:pt>
                <c:pt idx="268">
                  <c:v>21.4</c:v>
                </c:pt>
                <c:pt idx="269">
                  <c:v>20.2</c:v>
                </c:pt>
                <c:pt idx="270">
                  <c:v>27.2</c:v>
                </c:pt>
                <c:pt idx="271">
                  <c:v>34.1</c:v>
                </c:pt>
                <c:pt idx="272">
                  <c:v>19.2</c:v>
                </c:pt>
                <c:pt idx="273">
                  <c:v>17.100000000000001</c:v>
                </c:pt>
                <c:pt idx="274">
                  <c:v>21.5</c:v>
                </c:pt>
                <c:pt idx="275">
                  <c:v>24.8</c:v>
                </c:pt>
                <c:pt idx="276">
                  <c:v>25.6</c:v>
                </c:pt>
                <c:pt idx="277">
                  <c:v>38.299999999999997</c:v>
                </c:pt>
                <c:pt idx="278">
                  <c:v>30.8</c:v>
                </c:pt>
                <c:pt idx="279">
                  <c:v>20.7</c:v>
                </c:pt>
                <c:pt idx="280">
                  <c:v>21.5</c:v>
                </c:pt>
                <c:pt idx="281">
                  <c:v>28.8</c:v>
                </c:pt>
              </c:numCache>
            </c:numRef>
          </c:xVal>
          <c:yVal>
            <c:numRef>
              <c:f>インセンティブ実施率!$X$2:$X$283</c:f>
              <c:numCache>
                <c:formatCode>#,##0.00_);[Red]\(#,##0.00\)</c:formatCode>
                <c:ptCount val="282"/>
                <c:pt idx="0">
                  <c:v>8101.2156058804112</c:v>
                </c:pt>
                <c:pt idx="1">
                  <c:v>6228.4656975080106</c:v>
                </c:pt>
                <c:pt idx="2">
                  <c:v>6540.3978249683278</c:v>
                </c:pt>
                <c:pt idx="3">
                  <c:v>6601.4962766218014</c:v>
                </c:pt>
                <c:pt idx="4">
                  <c:v>6739.7889806382664</c:v>
                </c:pt>
                <c:pt idx="5">
                  <c:v>5834.3728891314995</c:v>
                </c:pt>
                <c:pt idx="6">
                  <c:v>6007.8744403025921</c:v>
                </c:pt>
                <c:pt idx="7">
                  <c:v>6068.3295787985244</c:v>
                </c:pt>
                <c:pt idx="8">
                  <c:v>5948.5169410073922</c:v>
                </c:pt>
                <c:pt idx="9">
                  <c:v>5995.0741148097632</c:v>
                </c:pt>
                <c:pt idx="10">
                  <c:v>6208.0956790779292</c:v>
                </c:pt>
                <c:pt idx="11">
                  <c:v>6803.5629210034904</c:v>
                </c:pt>
                <c:pt idx="12">
                  <c:v>5600.6469265243686</c:v>
                </c:pt>
                <c:pt idx="13">
                  <c:v>6375.384132953759</c:v>
                </c:pt>
                <c:pt idx="14">
                  <c:v>4787.460292757165</c:v>
                </c:pt>
                <c:pt idx="15">
                  <c:v>5948.84001809658</c:v>
                </c:pt>
                <c:pt idx="16">
                  <c:v>6504.5635187957032</c:v>
                </c:pt>
                <c:pt idx="17">
                  <c:v>6588.6441270515106</c:v>
                </c:pt>
                <c:pt idx="18">
                  <c:v>5826.001247439699</c:v>
                </c:pt>
                <c:pt idx="19">
                  <c:v>5836.5480684962859</c:v>
                </c:pt>
                <c:pt idx="20">
                  <c:v>5642.0232702830517</c:v>
                </c:pt>
                <c:pt idx="21">
                  <c:v>5589.020760094877</c:v>
                </c:pt>
                <c:pt idx="22">
                  <c:v>5161.6197520920841</c:v>
                </c:pt>
                <c:pt idx="23">
                  <c:v>5593.2007860490212</c:v>
                </c:pt>
                <c:pt idx="24">
                  <c:v>6007.1225170339321</c:v>
                </c:pt>
                <c:pt idx="25">
                  <c:v>6241.03995172543</c:v>
                </c:pt>
                <c:pt idx="26">
                  <c:v>5762.7965217828014</c:v>
                </c:pt>
                <c:pt idx="27">
                  <c:v>5961.7602034540287</c:v>
                </c:pt>
                <c:pt idx="28">
                  <c:v>6475.9131853954023</c:v>
                </c:pt>
                <c:pt idx="29">
                  <c:v>5413.3679878490284</c:v>
                </c:pt>
                <c:pt idx="30">
                  <c:v>6118.3315681590811</c:v>
                </c:pt>
                <c:pt idx="31">
                  <c:v>6359.4583340854797</c:v>
                </c:pt>
                <c:pt idx="32">
                  <c:v>5817.2751046728754</c:v>
                </c:pt>
                <c:pt idx="33">
                  <c:v>5667.0154955593489</c:v>
                </c:pt>
                <c:pt idx="34">
                  <c:v>7061.2689540843339</c:v>
                </c:pt>
                <c:pt idx="35">
                  <c:v>6569.7608710053064</c:v>
                </c:pt>
                <c:pt idx="36">
                  <c:v>6319.459341733741</c:v>
                </c:pt>
                <c:pt idx="37">
                  <c:v>5780.525680323597</c:v>
                </c:pt>
                <c:pt idx="38">
                  <c:v>7598.3947439749309</c:v>
                </c:pt>
                <c:pt idx="39">
                  <c:v>6736.5236624641311</c:v>
                </c:pt>
                <c:pt idx="40">
                  <c:v>7653.8425852039309</c:v>
                </c:pt>
                <c:pt idx="41">
                  <c:v>6632.0767909766273</c:v>
                </c:pt>
                <c:pt idx="42">
                  <c:v>6287.1461170381644</c:v>
                </c:pt>
                <c:pt idx="43">
                  <c:v>6659.1320987739164</c:v>
                </c:pt>
                <c:pt idx="44">
                  <c:v>6595.798006885997</c:v>
                </c:pt>
                <c:pt idx="45">
                  <c:v>7319.6882582099452</c:v>
                </c:pt>
                <c:pt idx="46">
                  <c:v>7304.0480205297454</c:v>
                </c:pt>
                <c:pt idx="47">
                  <c:v>8277.4247651076439</c:v>
                </c:pt>
                <c:pt idx="48">
                  <c:v>6655.7562721298</c:v>
                </c:pt>
                <c:pt idx="49">
                  <c:v>6446.9836658697759</c:v>
                </c:pt>
                <c:pt idx="50">
                  <c:v>6317.8698257064343</c:v>
                </c:pt>
                <c:pt idx="51">
                  <c:v>6766.8180962984106</c:v>
                </c:pt>
                <c:pt idx="52">
                  <c:v>6123.7624379708832</c:v>
                </c:pt>
                <c:pt idx="53">
                  <c:v>5684.0278211363111</c:v>
                </c:pt>
                <c:pt idx="54">
                  <c:v>5978.9148472721163</c:v>
                </c:pt>
                <c:pt idx="55">
                  <c:v>5987.2677927042387</c:v>
                </c:pt>
                <c:pt idx="56">
                  <c:v>5620.3849277592826</c:v>
                </c:pt>
                <c:pt idx="57">
                  <c:v>6421.6894913689121</c:v>
                </c:pt>
                <c:pt idx="58">
                  <c:v>6967.7242379106747</c:v>
                </c:pt>
                <c:pt idx="59">
                  <c:v>5343.407898486772</c:v>
                </c:pt>
                <c:pt idx="60">
                  <c:v>6334.2560960083101</c:v>
                </c:pt>
                <c:pt idx="61">
                  <c:v>5044.3542167952855</c:v>
                </c:pt>
                <c:pt idx="62">
                  <c:v>6348.5307964439853</c:v>
                </c:pt>
                <c:pt idx="63">
                  <c:v>6851.8938019913103</c:v>
                </c:pt>
                <c:pt idx="64">
                  <c:v>6357.0713423618618</c:v>
                </c:pt>
                <c:pt idx="65">
                  <c:v>5495.7973198684931</c:v>
                </c:pt>
                <c:pt idx="66">
                  <c:v>5449.7442961737406</c:v>
                </c:pt>
                <c:pt idx="67">
                  <c:v>5190.8907958511063</c:v>
                </c:pt>
                <c:pt idx="68">
                  <c:v>5842.2205140573069</c:v>
                </c:pt>
                <c:pt idx="69">
                  <c:v>5305.5125756206871</c:v>
                </c:pt>
                <c:pt idx="70">
                  <c:v>5590.1916497776547</c:v>
                </c:pt>
                <c:pt idx="71">
                  <c:v>6158.9965969396917</c:v>
                </c:pt>
                <c:pt idx="72">
                  <c:v>5947.4599969800056</c:v>
                </c:pt>
                <c:pt idx="73">
                  <c:v>5970.1648448945416</c:v>
                </c:pt>
                <c:pt idx="74">
                  <c:v>6250.5097761911402</c:v>
                </c:pt>
                <c:pt idx="75">
                  <c:v>6457.7149564767305</c:v>
                </c:pt>
                <c:pt idx="76">
                  <c:v>5712.5569576632624</c:v>
                </c:pt>
                <c:pt idx="77">
                  <c:v>6791.4661390322599</c:v>
                </c:pt>
                <c:pt idx="78">
                  <c:v>6179.8209356039533</c:v>
                </c:pt>
                <c:pt idx="79">
                  <c:v>6057.4836346454122</c:v>
                </c:pt>
                <c:pt idx="80">
                  <c:v>5596.3489924798851</c:v>
                </c:pt>
                <c:pt idx="81">
                  <c:v>6799.0136189471214</c:v>
                </c:pt>
                <c:pt idx="82">
                  <c:v>6287.1754707281998</c:v>
                </c:pt>
                <c:pt idx="83">
                  <c:v>6447.1469084571636</c:v>
                </c:pt>
                <c:pt idx="84">
                  <c:v>6046.1329844602478</c:v>
                </c:pt>
                <c:pt idx="85">
                  <c:v>7462.326992073371</c:v>
                </c:pt>
                <c:pt idx="86">
                  <c:v>6779.3663961399952</c:v>
                </c:pt>
                <c:pt idx="87">
                  <c:v>7428.3414816288405</c:v>
                </c:pt>
                <c:pt idx="88">
                  <c:v>6925.8690265717005</c:v>
                </c:pt>
                <c:pt idx="89">
                  <c:v>6516.3472338244774</c:v>
                </c:pt>
                <c:pt idx="90">
                  <c:v>7398.6447473464623</c:v>
                </c:pt>
                <c:pt idx="91">
                  <c:v>6309.3902560122988</c:v>
                </c:pt>
                <c:pt idx="92">
                  <c:v>7668.0033012512231</c:v>
                </c:pt>
                <c:pt idx="93">
                  <c:v>6685.5529261908587</c:v>
                </c:pt>
                <c:pt idx="94">
                  <c:v>7838.4304711064842</c:v>
                </c:pt>
                <c:pt idx="95">
                  <c:v>6460.5363481474305</c:v>
                </c:pt>
                <c:pt idx="96">
                  <c:v>6626.7962806217847</c:v>
                </c:pt>
                <c:pt idx="97">
                  <c:v>6807.3877932958212</c:v>
                </c:pt>
                <c:pt idx="98">
                  <c:v>6006.7783365905098</c:v>
                </c:pt>
                <c:pt idx="99">
                  <c:v>6171.9707777730173</c:v>
                </c:pt>
                <c:pt idx="100">
                  <c:v>5907.3326101777329</c:v>
                </c:pt>
                <c:pt idx="101">
                  <c:v>5464.7184534623957</c:v>
                </c:pt>
                <c:pt idx="102">
                  <c:v>5701.0460496138685</c:v>
                </c:pt>
                <c:pt idx="103">
                  <c:v>5860.1673438929665</c:v>
                </c:pt>
                <c:pt idx="104">
                  <c:v>6330.9336167660531</c:v>
                </c:pt>
                <c:pt idx="105">
                  <c:v>6948.5953260752285</c:v>
                </c:pt>
                <c:pt idx="106">
                  <c:v>5148.0651542677742</c:v>
                </c:pt>
                <c:pt idx="107">
                  <c:v>6407.8178323557941</c:v>
                </c:pt>
                <c:pt idx="108">
                  <c:v>4727.092187563575</c:v>
                </c:pt>
                <c:pt idx="109">
                  <c:v>5878.4139661924091</c:v>
                </c:pt>
                <c:pt idx="110">
                  <c:v>6491.6818604693071</c:v>
                </c:pt>
                <c:pt idx="111">
                  <c:v>6299.8261338021175</c:v>
                </c:pt>
                <c:pt idx="112">
                  <c:v>5344.8618564557528</c:v>
                </c:pt>
                <c:pt idx="113">
                  <c:v>5802.8286029948631</c:v>
                </c:pt>
                <c:pt idx="114">
                  <c:v>5345.701218212972</c:v>
                </c:pt>
                <c:pt idx="115">
                  <c:v>5676.5564735199778</c:v>
                </c:pt>
                <c:pt idx="116">
                  <c:v>5425.7899320942815</c:v>
                </c:pt>
                <c:pt idx="117">
                  <c:v>5816.3040237967161</c:v>
                </c:pt>
                <c:pt idx="118">
                  <c:v>5997.8879019312981</c:v>
                </c:pt>
                <c:pt idx="119">
                  <c:v>5704.9759930087839</c:v>
                </c:pt>
                <c:pt idx="120">
                  <c:v>5943.8607346147128</c:v>
                </c:pt>
                <c:pt idx="121">
                  <c:v>5908.8768037666596</c:v>
                </c:pt>
                <c:pt idx="122">
                  <c:v>6114.2488671203419</c:v>
                </c:pt>
                <c:pt idx="123">
                  <c:v>5860.2139934343886</c:v>
                </c:pt>
                <c:pt idx="124">
                  <c:v>5933.8384576690851</c:v>
                </c:pt>
                <c:pt idx="125">
                  <c:v>5921.5607113641081</c:v>
                </c:pt>
                <c:pt idx="126">
                  <c:v>5480.7661508614456</c:v>
                </c:pt>
                <c:pt idx="127">
                  <c:v>5829.4535441071639</c:v>
                </c:pt>
                <c:pt idx="128">
                  <c:v>7132.0857357482282</c:v>
                </c:pt>
                <c:pt idx="129">
                  <c:v>7214.3756743968297</c:v>
                </c:pt>
                <c:pt idx="130">
                  <c:v>6448.4630626001435</c:v>
                </c:pt>
                <c:pt idx="131">
                  <c:v>6172.3344484754889</c:v>
                </c:pt>
                <c:pt idx="132">
                  <c:v>7811.7129575874533</c:v>
                </c:pt>
                <c:pt idx="133">
                  <c:v>6441.5759339166525</c:v>
                </c:pt>
                <c:pt idx="134">
                  <c:v>7108.4517173843269</c:v>
                </c:pt>
                <c:pt idx="135">
                  <c:v>6324.2904456812976</c:v>
                </c:pt>
                <c:pt idx="136">
                  <c:v>6419.3404133569784</c:v>
                </c:pt>
                <c:pt idx="137">
                  <c:v>7247.7521298045285</c:v>
                </c:pt>
                <c:pt idx="138">
                  <c:v>6245.5019145377937</c:v>
                </c:pt>
                <c:pt idx="139">
                  <c:v>7314.4900165778017</c:v>
                </c:pt>
                <c:pt idx="140">
                  <c:v>6662.3389450598961</c:v>
                </c:pt>
                <c:pt idx="141">
                  <c:v>7780.7680184468236</c:v>
                </c:pt>
                <c:pt idx="142">
                  <c:v>6661.4409993596782</c:v>
                </c:pt>
                <c:pt idx="143">
                  <c:v>6674.3205192824471</c:v>
                </c:pt>
                <c:pt idx="144">
                  <c:v>6661.3884172920443</c:v>
                </c:pt>
                <c:pt idx="145">
                  <c:v>6898.6272140344136</c:v>
                </c:pt>
                <c:pt idx="146">
                  <c:v>6227.2515273065064</c:v>
                </c:pt>
                <c:pt idx="147">
                  <c:v>5758.9618746272745</c:v>
                </c:pt>
                <c:pt idx="148">
                  <c:v>6073.8739604774164</c:v>
                </c:pt>
                <c:pt idx="149">
                  <c:v>5801.9556623373137</c:v>
                </c:pt>
                <c:pt idx="150">
                  <c:v>6102.6998368195018</c:v>
                </c:pt>
                <c:pt idx="151">
                  <c:v>6230.1295048815118</c:v>
                </c:pt>
                <c:pt idx="152">
                  <c:v>6864.4324619251893</c:v>
                </c:pt>
                <c:pt idx="153">
                  <c:v>5427.8911515118407</c:v>
                </c:pt>
                <c:pt idx="154">
                  <c:v>6433.8469822600546</c:v>
                </c:pt>
                <c:pt idx="155">
                  <c:v>4959.3543599365657</c:v>
                </c:pt>
                <c:pt idx="156">
                  <c:v>5253.8028043963741</c:v>
                </c:pt>
                <c:pt idx="157">
                  <c:v>6368.2674886740178</c:v>
                </c:pt>
                <c:pt idx="158">
                  <c:v>6841.3780467956631</c:v>
                </c:pt>
                <c:pt idx="159">
                  <c:v>5232.9287526870658</c:v>
                </c:pt>
                <c:pt idx="160">
                  <c:v>5594.7157447027148</c:v>
                </c:pt>
                <c:pt idx="161">
                  <c:v>5534.9187243056995</c:v>
                </c:pt>
                <c:pt idx="162">
                  <c:v>5934.1146010223765</c:v>
                </c:pt>
                <c:pt idx="163">
                  <c:v>5340.3936388530574</c:v>
                </c:pt>
                <c:pt idx="164">
                  <c:v>5936.4357047557814</c:v>
                </c:pt>
                <c:pt idx="165">
                  <c:v>5998.2747428417761</c:v>
                </c:pt>
                <c:pt idx="166">
                  <c:v>6033.8943138529103</c:v>
                </c:pt>
                <c:pt idx="167">
                  <c:v>5648.3037335202198</c:v>
                </c:pt>
                <c:pt idx="168">
                  <c:v>6027.6036921466175</c:v>
                </c:pt>
                <c:pt idx="169">
                  <c:v>6247.0438504146341</c:v>
                </c:pt>
                <c:pt idx="170">
                  <c:v>5566.235913063234</c:v>
                </c:pt>
                <c:pt idx="171">
                  <c:v>6538.7345909822616</c:v>
                </c:pt>
                <c:pt idx="172">
                  <c:v>6471.6175069652872</c:v>
                </c:pt>
                <c:pt idx="173">
                  <c:v>5669.892716195398</c:v>
                </c:pt>
                <c:pt idx="174">
                  <c:v>5816.9308873928176</c:v>
                </c:pt>
                <c:pt idx="175">
                  <c:v>7019.0273699020499</c:v>
                </c:pt>
                <c:pt idx="176">
                  <c:v>7122.8890510673364</c:v>
                </c:pt>
                <c:pt idx="177">
                  <c:v>6419.0392989909724</c:v>
                </c:pt>
                <c:pt idx="178">
                  <c:v>6281.1582944343918</c:v>
                </c:pt>
                <c:pt idx="179">
                  <c:v>7341.2485292833953</c:v>
                </c:pt>
                <c:pt idx="180">
                  <c:v>6538.8465844604252</c:v>
                </c:pt>
                <c:pt idx="181">
                  <c:v>6545.4515122958437</c:v>
                </c:pt>
                <c:pt idx="182">
                  <c:v>6884.4847649272979</c:v>
                </c:pt>
                <c:pt idx="183">
                  <c:v>6185.7147975412727</c:v>
                </c:pt>
                <c:pt idx="184">
                  <c:v>7133.3679572670972</c:v>
                </c:pt>
                <c:pt idx="185">
                  <c:v>6620.5963395675954</c:v>
                </c:pt>
                <c:pt idx="186">
                  <c:v>6979.5031407865499</c:v>
                </c:pt>
                <c:pt idx="187">
                  <c:v>6422.6525787209193</c:v>
                </c:pt>
                <c:pt idx="188">
                  <c:v>7558.7087477044961</c:v>
                </c:pt>
                <c:pt idx="189">
                  <c:v>6478.1565623386987</c:v>
                </c:pt>
                <c:pt idx="190">
                  <c:v>7084.3196046404191</c:v>
                </c:pt>
                <c:pt idx="191">
                  <c:v>6349.8078756089672</c:v>
                </c:pt>
                <c:pt idx="192">
                  <c:v>6575.7131907899293</c:v>
                </c:pt>
                <c:pt idx="193">
                  <c:v>5827.3256655781261</c:v>
                </c:pt>
                <c:pt idx="194">
                  <c:v>5839.3044362280298</c:v>
                </c:pt>
                <c:pt idx="195">
                  <c:v>5854.9532094896313</c:v>
                </c:pt>
                <c:pt idx="196">
                  <c:v>6165.0762278330767</c:v>
                </c:pt>
                <c:pt idx="197">
                  <c:v>6204.5202734865379</c:v>
                </c:pt>
                <c:pt idx="198">
                  <c:v>6481.1778597921048</c:v>
                </c:pt>
                <c:pt idx="199">
                  <c:v>6938.9904061069101</c:v>
                </c:pt>
                <c:pt idx="200">
                  <c:v>5514.6779931345936</c:v>
                </c:pt>
                <c:pt idx="201">
                  <c:v>6761.0718068515835</c:v>
                </c:pt>
                <c:pt idx="202">
                  <c:v>4902.9242068068952</c:v>
                </c:pt>
                <c:pt idx="203">
                  <c:v>5667.6634807874543</c:v>
                </c:pt>
                <c:pt idx="204">
                  <c:v>6619.1604168913836</c:v>
                </c:pt>
                <c:pt idx="205">
                  <c:v>6700.7482227747541</c:v>
                </c:pt>
                <c:pt idx="206">
                  <c:v>5613.7735677348201</c:v>
                </c:pt>
                <c:pt idx="207">
                  <c:v>5563.4570539113147</c:v>
                </c:pt>
                <c:pt idx="208">
                  <c:v>5560.4347034059301</c:v>
                </c:pt>
                <c:pt idx="209">
                  <c:v>6315.2284908235015</c:v>
                </c:pt>
                <c:pt idx="210">
                  <c:v>5344.7362016229563</c:v>
                </c:pt>
                <c:pt idx="211">
                  <c:v>5873.7743022967861</c:v>
                </c:pt>
                <c:pt idx="212">
                  <c:v>5653.6509940268215</c:v>
                </c:pt>
                <c:pt idx="213">
                  <c:v>6020.9685236732348</c:v>
                </c:pt>
                <c:pt idx="214">
                  <c:v>5793.5208688778785</c:v>
                </c:pt>
                <c:pt idx="215">
                  <c:v>5901.5965456155891</c:v>
                </c:pt>
                <c:pt idx="216">
                  <c:v>6528.3308038908854</c:v>
                </c:pt>
                <c:pt idx="217">
                  <c:v>5756.377065411697</c:v>
                </c:pt>
                <c:pt idx="218">
                  <c:v>6154.3113828603682</c:v>
                </c:pt>
                <c:pt idx="219">
                  <c:v>7225.5018823208084</c:v>
                </c:pt>
                <c:pt idx="220">
                  <c:v>5226.332313196619</c:v>
                </c:pt>
                <c:pt idx="221">
                  <c:v>5371.788108991972</c:v>
                </c:pt>
                <c:pt idx="222">
                  <c:v>7185.6476422437754</c:v>
                </c:pt>
                <c:pt idx="223">
                  <c:v>6701.3912580966271</c:v>
                </c:pt>
                <c:pt idx="224">
                  <c:v>6481.1962712288059</c:v>
                </c:pt>
                <c:pt idx="225">
                  <c:v>6432.5829428544075</c:v>
                </c:pt>
                <c:pt idx="226">
                  <c:v>6984.0347111384017</c:v>
                </c:pt>
                <c:pt idx="227">
                  <c:v>6701.4493354560036</c:v>
                </c:pt>
                <c:pt idx="228">
                  <c:v>7232.9877901414102</c:v>
                </c:pt>
                <c:pt idx="229">
                  <c:v>6815.2806478172552</c:v>
                </c:pt>
                <c:pt idx="230">
                  <c:v>6419.0445555407032</c:v>
                </c:pt>
                <c:pt idx="231">
                  <c:v>7244.4800000663954</c:v>
                </c:pt>
                <c:pt idx="232">
                  <c:v>6273.0767211681805</c:v>
                </c:pt>
                <c:pt idx="233">
                  <c:v>6806.8757266755783</c:v>
                </c:pt>
                <c:pt idx="234">
                  <c:v>7003.1333604437086</c:v>
                </c:pt>
                <c:pt idx="235">
                  <c:v>8030.5053636658749</c:v>
                </c:pt>
                <c:pt idx="236">
                  <c:v>7103.9296889944226</c:v>
                </c:pt>
                <c:pt idx="237">
                  <c:v>6083.9292362336992</c:v>
                </c:pt>
                <c:pt idx="238">
                  <c:v>6832.1265169308472</c:v>
                </c:pt>
                <c:pt idx="239">
                  <c:v>6952.3138209938397</c:v>
                </c:pt>
                <c:pt idx="240">
                  <c:v>6072.5885484076789</c:v>
                </c:pt>
                <c:pt idx="241">
                  <c:v>6174.1944186035362</c:v>
                </c:pt>
                <c:pt idx="242">
                  <c:v>5990.0326932144744</c:v>
                </c:pt>
                <c:pt idx="243">
                  <c:v>6414.1594050846652</c:v>
                </c:pt>
                <c:pt idx="244">
                  <c:v>5927.8904430563834</c:v>
                </c:pt>
                <c:pt idx="245">
                  <c:v>6584.949822282264</c:v>
                </c:pt>
                <c:pt idx="246">
                  <c:v>6963.2623747681264</c:v>
                </c:pt>
                <c:pt idx="247">
                  <c:v>5436.6668840694092</c:v>
                </c:pt>
                <c:pt idx="248">
                  <c:v>6784.7517164543578</c:v>
                </c:pt>
                <c:pt idx="249">
                  <c:v>5181.0195326585845</c:v>
                </c:pt>
                <c:pt idx="250">
                  <c:v>5787.4341244643201</c:v>
                </c:pt>
                <c:pt idx="251">
                  <c:v>7054.4242342425141</c:v>
                </c:pt>
                <c:pt idx="252">
                  <c:v>7010.1576480920266</c:v>
                </c:pt>
                <c:pt idx="253">
                  <c:v>5640.7156401819784</c:v>
                </c:pt>
                <c:pt idx="254">
                  <c:v>5724.1400897727444</c:v>
                </c:pt>
                <c:pt idx="255">
                  <c:v>6065.5218476788432</c:v>
                </c:pt>
                <c:pt idx="256">
                  <c:v>6097.0113566974997</c:v>
                </c:pt>
                <c:pt idx="257">
                  <c:v>5360.7283790135152</c:v>
                </c:pt>
                <c:pt idx="258">
                  <c:v>6103.0738619824388</c:v>
                </c:pt>
                <c:pt idx="259">
                  <c:v>6048.639233486032</c:v>
                </c:pt>
                <c:pt idx="260">
                  <c:v>6347.8397420664851</c:v>
                </c:pt>
                <c:pt idx="261">
                  <c:v>6019.9510312680522</c:v>
                </c:pt>
                <c:pt idx="262">
                  <c:v>6002.0302606438854</c:v>
                </c:pt>
                <c:pt idx="263">
                  <c:v>5699.4886509224471</c:v>
                </c:pt>
                <c:pt idx="264">
                  <c:v>6388.7804224455722</c:v>
                </c:pt>
                <c:pt idx="265">
                  <c:v>6641.9905785533774</c:v>
                </c:pt>
                <c:pt idx="266">
                  <c:v>6787.2514929658937</c:v>
                </c:pt>
                <c:pt idx="267">
                  <c:v>5491.99356727348</c:v>
                </c:pt>
                <c:pt idx="268">
                  <c:v>5815.5281605962591</c:v>
                </c:pt>
                <c:pt idx="269">
                  <c:v>7399.6413688103539</c:v>
                </c:pt>
                <c:pt idx="270">
                  <c:v>7231.6940752659011</c:v>
                </c:pt>
                <c:pt idx="271">
                  <c:v>6527.9657284307641</c:v>
                </c:pt>
                <c:pt idx="272">
                  <c:v>6523.6220397346688</c:v>
                </c:pt>
                <c:pt idx="273">
                  <c:v>7632.2208801534143</c:v>
                </c:pt>
                <c:pt idx="274">
                  <c:v>6779.234375196861</c:v>
                </c:pt>
                <c:pt idx="275">
                  <c:v>7977.7144686817373</c:v>
                </c:pt>
                <c:pt idx="276">
                  <c:v>7108.5668857324572</c:v>
                </c:pt>
                <c:pt idx="277">
                  <c:v>6586.7947050070825</c:v>
                </c:pt>
                <c:pt idx="278">
                  <c:v>7108.7188698565124</c:v>
                </c:pt>
                <c:pt idx="279">
                  <c:v>6674.353102869326</c:v>
                </c:pt>
                <c:pt idx="280">
                  <c:v>7632.0595836235243</c:v>
                </c:pt>
                <c:pt idx="281">
                  <c:v>7413.4222932625034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1D-4A88-917A-BFE40B017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456031"/>
        <c:axId val="427456991"/>
      </c:scatterChart>
      <c:valAx>
        <c:axId val="42745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456991"/>
        <c:crosses val="autoZero"/>
        <c:crossBetween val="midCat"/>
      </c:valAx>
      <c:valAx>
        <c:axId val="427456991"/>
        <c:scaling>
          <c:orientation val="minMax"/>
          <c:min val="4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456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インセンティブ実施率!$Y$1</c:f>
              <c:strCache>
                <c:ptCount val="1"/>
                <c:pt idx="0">
                  <c:v>（再掲）生活習慣病_入院外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インセンティブ実施率!$F$2:$F$283</c:f>
              <c:numCache>
                <c:formatCode>#,##0.0;[Red]\-#,##0.0</c:formatCode>
                <c:ptCount val="282"/>
                <c:pt idx="0">
                  <c:v>9.6999999999999993</c:v>
                </c:pt>
                <c:pt idx="1">
                  <c:v>21.6</c:v>
                </c:pt>
                <c:pt idx="2">
                  <c:v>17.600000000000001</c:v>
                </c:pt>
                <c:pt idx="3">
                  <c:v>27.2</c:v>
                </c:pt>
                <c:pt idx="4">
                  <c:v>29.5</c:v>
                </c:pt>
                <c:pt idx="5">
                  <c:v>28.3</c:v>
                </c:pt>
                <c:pt idx="6">
                  <c:v>24.9</c:v>
                </c:pt>
                <c:pt idx="7">
                  <c:v>18.7</c:v>
                </c:pt>
                <c:pt idx="8">
                  <c:v>21.5</c:v>
                </c:pt>
                <c:pt idx="9">
                  <c:v>12.5</c:v>
                </c:pt>
                <c:pt idx="10">
                  <c:v>9.1999999999999993</c:v>
                </c:pt>
                <c:pt idx="11">
                  <c:v>17.8</c:v>
                </c:pt>
                <c:pt idx="12">
                  <c:v>7.3</c:v>
                </c:pt>
                <c:pt idx="13">
                  <c:v>6.8</c:v>
                </c:pt>
                <c:pt idx="14">
                  <c:v>17.100000000000001</c:v>
                </c:pt>
                <c:pt idx="15">
                  <c:v>25.8</c:v>
                </c:pt>
                <c:pt idx="16">
                  <c:v>21.6</c:v>
                </c:pt>
                <c:pt idx="17">
                  <c:v>17.600000000000001</c:v>
                </c:pt>
                <c:pt idx="18">
                  <c:v>16.2</c:v>
                </c:pt>
                <c:pt idx="19">
                  <c:v>24.7</c:v>
                </c:pt>
                <c:pt idx="20">
                  <c:v>20.5</c:v>
                </c:pt>
                <c:pt idx="21">
                  <c:v>13.4</c:v>
                </c:pt>
                <c:pt idx="22">
                  <c:v>10.199999999999999</c:v>
                </c:pt>
                <c:pt idx="23">
                  <c:v>17.3</c:v>
                </c:pt>
                <c:pt idx="24">
                  <c:v>21.9</c:v>
                </c:pt>
                <c:pt idx="25">
                  <c:v>12.6</c:v>
                </c:pt>
                <c:pt idx="26">
                  <c:v>10</c:v>
                </c:pt>
                <c:pt idx="27">
                  <c:v>12.1</c:v>
                </c:pt>
                <c:pt idx="28">
                  <c:v>15.9</c:v>
                </c:pt>
                <c:pt idx="29">
                  <c:v>18.2</c:v>
                </c:pt>
                <c:pt idx="30">
                  <c:v>25.2</c:v>
                </c:pt>
                <c:pt idx="31">
                  <c:v>23.5</c:v>
                </c:pt>
                <c:pt idx="32">
                  <c:v>25.4</c:v>
                </c:pt>
                <c:pt idx="33">
                  <c:v>19.399999999999999</c:v>
                </c:pt>
                <c:pt idx="34">
                  <c:v>22.5</c:v>
                </c:pt>
                <c:pt idx="35">
                  <c:v>20.6</c:v>
                </c:pt>
                <c:pt idx="36">
                  <c:v>32.1</c:v>
                </c:pt>
                <c:pt idx="37">
                  <c:v>20.2</c:v>
                </c:pt>
                <c:pt idx="38">
                  <c:v>15</c:v>
                </c:pt>
                <c:pt idx="39">
                  <c:v>13.1</c:v>
                </c:pt>
                <c:pt idx="40">
                  <c:v>22.2</c:v>
                </c:pt>
                <c:pt idx="41">
                  <c:v>24.9</c:v>
                </c:pt>
                <c:pt idx="42">
                  <c:v>29.5</c:v>
                </c:pt>
                <c:pt idx="43">
                  <c:v>22</c:v>
                </c:pt>
                <c:pt idx="44">
                  <c:v>23.9</c:v>
                </c:pt>
                <c:pt idx="45">
                  <c:v>19.899999999999999</c:v>
                </c:pt>
                <c:pt idx="46">
                  <c:v>29.7</c:v>
                </c:pt>
                <c:pt idx="47">
                  <c:v>9.9</c:v>
                </c:pt>
                <c:pt idx="48">
                  <c:v>17.8</c:v>
                </c:pt>
                <c:pt idx="49">
                  <c:v>14.6</c:v>
                </c:pt>
                <c:pt idx="50">
                  <c:v>27.4</c:v>
                </c:pt>
                <c:pt idx="51">
                  <c:v>28.7</c:v>
                </c:pt>
                <c:pt idx="52">
                  <c:v>24</c:v>
                </c:pt>
                <c:pt idx="53">
                  <c:v>23.9</c:v>
                </c:pt>
                <c:pt idx="54">
                  <c:v>20.2</c:v>
                </c:pt>
                <c:pt idx="55">
                  <c:v>22.7</c:v>
                </c:pt>
                <c:pt idx="56">
                  <c:v>13.5</c:v>
                </c:pt>
                <c:pt idx="57">
                  <c:v>8.4</c:v>
                </c:pt>
                <c:pt idx="58">
                  <c:v>12.9</c:v>
                </c:pt>
                <c:pt idx="59">
                  <c:v>7.5</c:v>
                </c:pt>
                <c:pt idx="60">
                  <c:v>8.9</c:v>
                </c:pt>
                <c:pt idx="61">
                  <c:v>17.7</c:v>
                </c:pt>
                <c:pt idx="62">
                  <c:v>29.3</c:v>
                </c:pt>
                <c:pt idx="63">
                  <c:v>21.1</c:v>
                </c:pt>
                <c:pt idx="64">
                  <c:v>19.600000000000001</c:v>
                </c:pt>
                <c:pt idx="65">
                  <c:v>18.899999999999999</c:v>
                </c:pt>
                <c:pt idx="66">
                  <c:v>22.5</c:v>
                </c:pt>
                <c:pt idx="67">
                  <c:v>27.4</c:v>
                </c:pt>
                <c:pt idx="68">
                  <c:v>14.7</c:v>
                </c:pt>
                <c:pt idx="69">
                  <c:v>11.8</c:v>
                </c:pt>
                <c:pt idx="70">
                  <c:v>15.2</c:v>
                </c:pt>
                <c:pt idx="71">
                  <c:v>23.5</c:v>
                </c:pt>
                <c:pt idx="72">
                  <c:v>15.6</c:v>
                </c:pt>
                <c:pt idx="73">
                  <c:v>12.5</c:v>
                </c:pt>
                <c:pt idx="74">
                  <c:v>14.3</c:v>
                </c:pt>
                <c:pt idx="75">
                  <c:v>23.5</c:v>
                </c:pt>
                <c:pt idx="76">
                  <c:v>19.600000000000001</c:v>
                </c:pt>
                <c:pt idx="77">
                  <c:v>16.100000000000001</c:v>
                </c:pt>
                <c:pt idx="78">
                  <c:v>25.8</c:v>
                </c:pt>
                <c:pt idx="79">
                  <c:v>31.6</c:v>
                </c:pt>
                <c:pt idx="80">
                  <c:v>19.7</c:v>
                </c:pt>
                <c:pt idx="81">
                  <c:v>18.8</c:v>
                </c:pt>
                <c:pt idx="82">
                  <c:v>24.2</c:v>
                </c:pt>
                <c:pt idx="83">
                  <c:v>36.1</c:v>
                </c:pt>
                <c:pt idx="84">
                  <c:v>22.1</c:v>
                </c:pt>
                <c:pt idx="85">
                  <c:v>17.7</c:v>
                </c:pt>
                <c:pt idx="86">
                  <c:v>17.3</c:v>
                </c:pt>
                <c:pt idx="87">
                  <c:v>19.899999999999999</c:v>
                </c:pt>
                <c:pt idx="88">
                  <c:v>22.5</c:v>
                </c:pt>
                <c:pt idx="89">
                  <c:v>30.1</c:v>
                </c:pt>
                <c:pt idx="90">
                  <c:v>26.5</c:v>
                </c:pt>
                <c:pt idx="91">
                  <c:v>21.7</c:v>
                </c:pt>
                <c:pt idx="92">
                  <c:v>16.899999999999999</c:v>
                </c:pt>
                <c:pt idx="93">
                  <c:v>30.8</c:v>
                </c:pt>
                <c:pt idx="94">
                  <c:v>9.8000000000000007</c:v>
                </c:pt>
                <c:pt idx="95">
                  <c:v>17.600000000000001</c:v>
                </c:pt>
                <c:pt idx="96">
                  <c:v>14.5</c:v>
                </c:pt>
                <c:pt idx="97">
                  <c:v>22.9</c:v>
                </c:pt>
                <c:pt idx="98">
                  <c:v>24.4</c:v>
                </c:pt>
                <c:pt idx="99">
                  <c:v>22.7</c:v>
                </c:pt>
                <c:pt idx="100">
                  <c:v>24.9</c:v>
                </c:pt>
                <c:pt idx="101">
                  <c:v>13.9</c:v>
                </c:pt>
                <c:pt idx="102">
                  <c:v>23.5</c:v>
                </c:pt>
                <c:pt idx="103">
                  <c:v>10.6</c:v>
                </c:pt>
                <c:pt idx="104">
                  <c:v>6.6</c:v>
                </c:pt>
                <c:pt idx="105">
                  <c:v>12.6</c:v>
                </c:pt>
                <c:pt idx="106">
                  <c:v>7.7</c:v>
                </c:pt>
                <c:pt idx="107">
                  <c:v>8.9</c:v>
                </c:pt>
                <c:pt idx="108">
                  <c:v>17.5</c:v>
                </c:pt>
                <c:pt idx="109">
                  <c:v>27.6</c:v>
                </c:pt>
                <c:pt idx="110">
                  <c:v>15.4</c:v>
                </c:pt>
                <c:pt idx="111">
                  <c:v>17</c:v>
                </c:pt>
                <c:pt idx="112">
                  <c:v>16.2</c:v>
                </c:pt>
                <c:pt idx="113">
                  <c:v>18.7</c:v>
                </c:pt>
                <c:pt idx="114">
                  <c:v>21.8</c:v>
                </c:pt>
                <c:pt idx="115">
                  <c:v>15.6</c:v>
                </c:pt>
                <c:pt idx="116">
                  <c:v>11.2</c:v>
                </c:pt>
                <c:pt idx="117">
                  <c:v>14.4</c:v>
                </c:pt>
                <c:pt idx="118">
                  <c:v>19.8</c:v>
                </c:pt>
                <c:pt idx="119">
                  <c:v>11.3</c:v>
                </c:pt>
                <c:pt idx="120">
                  <c:v>11.7</c:v>
                </c:pt>
                <c:pt idx="121">
                  <c:v>11.5</c:v>
                </c:pt>
                <c:pt idx="122">
                  <c:v>17.8</c:v>
                </c:pt>
                <c:pt idx="123">
                  <c:v>13.7</c:v>
                </c:pt>
                <c:pt idx="124">
                  <c:v>15.8</c:v>
                </c:pt>
                <c:pt idx="125">
                  <c:v>23.2</c:v>
                </c:pt>
                <c:pt idx="126">
                  <c:v>28.8</c:v>
                </c:pt>
                <c:pt idx="127">
                  <c:v>15.4</c:v>
                </c:pt>
                <c:pt idx="128">
                  <c:v>17</c:v>
                </c:pt>
                <c:pt idx="129">
                  <c:v>20.3</c:v>
                </c:pt>
                <c:pt idx="130">
                  <c:v>29.1</c:v>
                </c:pt>
                <c:pt idx="131">
                  <c:v>16.100000000000001</c:v>
                </c:pt>
                <c:pt idx="132">
                  <c:v>14.2</c:v>
                </c:pt>
                <c:pt idx="133">
                  <c:v>14.3</c:v>
                </c:pt>
                <c:pt idx="134">
                  <c:v>17.899999999999999</c:v>
                </c:pt>
                <c:pt idx="135">
                  <c:v>21</c:v>
                </c:pt>
                <c:pt idx="136">
                  <c:v>29.1</c:v>
                </c:pt>
                <c:pt idx="137">
                  <c:v>24.3</c:v>
                </c:pt>
                <c:pt idx="138">
                  <c:v>14.6</c:v>
                </c:pt>
                <c:pt idx="139">
                  <c:v>12.9</c:v>
                </c:pt>
                <c:pt idx="140">
                  <c:v>25.9</c:v>
                </c:pt>
                <c:pt idx="141">
                  <c:v>11.6</c:v>
                </c:pt>
                <c:pt idx="142">
                  <c:v>19.2</c:v>
                </c:pt>
                <c:pt idx="143">
                  <c:v>17</c:v>
                </c:pt>
                <c:pt idx="144">
                  <c:v>24.3</c:v>
                </c:pt>
                <c:pt idx="145">
                  <c:v>36.200000000000003</c:v>
                </c:pt>
                <c:pt idx="146">
                  <c:v>27.3</c:v>
                </c:pt>
                <c:pt idx="147">
                  <c:v>26.4</c:v>
                </c:pt>
                <c:pt idx="148">
                  <c:v>14.9</c:v>
                </c:pt>
                <c:pt idx="149">
                  <c:v>23.9</c:v>
                </c:pt>
                <c:pt idx="150">
                  <c:v>12.4</c:v>
                </c:pt>
                <c:pt idx="151">
                  <c:v>9.4</c:v>
                </c:pt>
                <c:pt idx="152">
                  <c:v>14.5</c:v>
                </c:pt>
                <c:pt idx="153">
                  <c:v>8.9</c:v>
                </c:pt>
                <c:pt idx="154">
                  <c:v>10.5</c:v>
                </c:pt>
                <c:pt idx="155">
                  <c:v>21.9</c:v>
                </c:pt>
                <c:pt idx="156">
                  <c:v>33.1</c:v>
                </c:pt>
                <c:pt idx="157">
                  <c:v>22.5</c:v>
                </c:pt>
                <c:pt idx="158">
                  <c:v>20.8</c:v>
                </c:pt>
                <c:pt idx="159">
                  <c:v>21</c:v>
                </c:pt>
                <c:pt idx="160">
                  <c:v>29.8</c:v>
                </c:pt>
                <c:pt idx="161">
                  <c:v>26</c:v>
                </c:pt>
                <c:pt idx="162">
                  <c:v>16.7</c:v>
                </c:pt>
                <c:pt idx="163">
                  <c:v>13.6</c:v>
                </c:pt>
                <c:pt idx="164">
                  <c:v>18.399999999999999</c:v>
                </c:pt>
                <c:pt idx="165">
                  <c:v>20.100000000000001</c:v>
                </c:pt>
                <c:pt idx="166">
                  <c:v>17.600000000000001</c:v>
                </c:pt>
                <c:pt idx="167">
                  <c:v>12.6</c:v>
                </c:pt>
                <c:pt idx="168">
                  <c:v>15.9</c:v>
                </c:pt>
                <c:pt idx="169">
                  <c:v>21.4</c:v>
                </c:pt>
                <c:pt idx="170">
                  <c:v>17.899999999999999</c:v>
                </c:pt>
                <c:pt idx="171">
                  <c:v>20.399999999999999</c:v>
                </c:pt>
                <c:pt idx="172">
                  <c:v>23.5</c:v>
                </c:pt>
                <c:pt idx="173">
                  <c:v>35.200000000000003</c:v>
                </c:pt>
                <c:pt idx="174">
                  <c:v>18</c:v>
                </c:pt>
                <c:pt idx="175">
                  <c:v>19.5</c:v>
                </c:pt>
                <c:pt idx="176">
                  <c:v>27.3</c:v>
                </c:pt>
                <c:pt idx="177">
                  <c:v>35.9</c:v>
                </c:pt>
                <c:pt idx="178">
                  <c:v>18.899999999999999</c:v>
                </c:pt>
                <c:pt idx="179">
                  <c:v>16.5</c:v>
                </c:pt>
                <c:pt idx="180">
                  <c:v>14</c:v>
                </c:pt>
                <c:pt idx="181">
                  <c:v>18</c:v>
                </c:pt>
                <c:pt idx="182">
                  <c:v>28.1</c:v>
                </c:pt>
                <c:pt idx="183">
                  <c:v>31.1</c:v>
                </c:pt>
                <c:pt idx="184">
                  <c:v>29.1</c:v>
                </c:pt>
                <c:pt idx="185">
                  <c:v>15.7</c:v>
                </c:pt>
                <c:pt idx="186">
                  <c:v>16</c:v>
                </c:pt>
                <c:pt idx="187">
                  <c:v>28.9</c:v>
                </c:pt>
                <c:pt idx="188">
                  <c:v>11.7</c:v>
                </c:pt>
                <c:pt idx="189">
                  <c:v>22.2</c:v>
                </c:pt>
                <c:pt idx="190">
                  <c:v>21.7</c:v>
                </c:pt>
                <c:pt idx="191">
                  <c:v>22.9</c:v>
                </c:pt>
                <c:pt idx="192">
                  <c:v>31.9</c:v>
                </c:pt>
                <c:pt idx="193">
                  <c:v>25.7</c:v>
                </c:pt>
                <c:pt idx="194">
                  <c:v>26.7</c:v>
                </c:pt>
                <c:pt idx="195">
                  <c:v>15</c:v>
                </c:pt>
                <c:pt idx="196">
                  <c:v>25.4</c:v>
                </c:pt>
                <c:pt idx="197">
                  <c:v>13.2</c:v>
                </c:pt>
                <c:pt idx="198">
                  <c:v>8.4</c:v>
                </c:pt>
                <c:pt idx="199">
                  <c:v>14.4</c:v>
                </c:pt>
                <c:pt idx="200">
                  <c:v>9.5</c:v>
                </c:pt>
                <c:pt idx="201">
                  <c:v>10.4</c:v>
                </c:pt>
                <c:pt idx="202">
                  <c:v>22</c:v>
                </c:pt>
                <c:pt idx="203">
                  <c:v>31.9</c:v>
                </c:pt>
                <c:pt idx="204">
                  <c:v>23.7</c:v>
                </c:pt>
                <c:pt idx="205">
                  <c:v>21.9</c:v>
                </c:pt>
                <c:pt idx="206">
                  <c:v>18.7</c:v>
                </c:pt>
                <c:pt idx="207">
                  <c:v>29.4</c:v>
                </c:pt>
                <c:pt idx="208">
                  <c:v>25.5</c:v>
                </c:pt>
                <c:pt idx="209">
                  <c:v>16.7</c:v>
                </c:pt>
                <c:pt idx="210">
                  <c:v>14.5</c:v>
                </c:pt>
                <c:pt idx="211">
                  <c:v>15.4</c:v>
                </c:pt>
                <c:pt idx="212">
                  <c:v>20.2</c:v>
                </c:pt>
                <c:pt idx="213">
                  <c:v>17.100000000000001</c:v>
                </c:pt>
                <c:pt idx="214">
                  <c:v>12.8</c:v>
                </c:pt>
                <c:pt idx="215">
                  <c:v>15.2</c:v>
                </c:pt>
                <c:pt idx="216">
                  <c:v>22.6</c:v>
                </c:pt>
                <c:pt idx="217">
                  <c:v>15.3</c:v>
                </c:pt>
                <c:pt idx="218">
                  <c:v>21.9</c:v>
                </c:pt>
                <c:pt idx="219">
                  <c:v>19.600000000000001</c:v>
                </c:pt>
                <c:pt idx="220">
                  <c:v>33.1</c:v>
                </c:pt>
                <c:pt idx="221">
                  <c:v>18.600000000000001</c:v>
                </c:pt>
                <c:pt idx="222">
                  <c:v>18.2</c:v>
                </c:pt>
                <c:pt idx="223">
                  <c:v>24.8</c:v>
                </c:pt>
                <c:pt idx="224">
                  <c:v>33.700000000000003</c:v>
                </c:pt>
                <c:pt idx="225">
                  <c:v>18.3</c:v>
                </c:pt>
                <c:pt idx="226">
                  <c:v>15.5</c:v>
                </c:pt>
                <c:pt idx="227">
                  <c:v>19.3</c:v>
                </c:pt>
                <c:pt idx="228">
                  <c:v>26.2</c:v>
                </c:pt>
                <c:pt idx="229">
                  <c:v>26.8</c:v>
                </c:pt>
                <c:pt idx="230">
                  <c:v>36.200000000000003</c:v>
                </c:pt>
                <c:pt idx="231">
                  <c:v>29.4</c:v>
                </c:pt>
                <c:pt idx="232">
                  <c:v>19.3</c:v>
                </c:pt>
                <c:pt idx="233">
                  <c:v>19.600000000000001</c:v>
                </c:pt>
                <c:pt idx="234">
                  <c:v>24.5</c:v>
                </c:pt>
                <c:pt idx="235">
                  <c:v>13.5</c:v>
                </c:pt>
                <c:pt idx="236">
                  <c:v>28.4</c:v>
                </c:pt>
                <c:pt idx="237">
                  <c:v>22.2</c:v>
                </c:pt>
                <c:pt idx="238">
                  <c:v>24.4</c:v>
                </c:pt>
                <c:pt idx="239">
                  <c:v>32.299999999999997</c:v>
                </c:pt>
                <c:pt idx="240">
                  <c:v>29.1</c:v>
                </c:pt>
                <c:pt idx="241">
                  <c:v>27.9</c:v>
                </c:pt>
                <c:pt idx="242">
                  <c:v>17.2</c:v>
                </c:pt>
                <c:pt idx="243">
                  <c:v>27.6</c:v>
                </c:pt>
                <c:pt idx="244">
                  <c:v>14.5</c:v>
                </c:pt>
                <c:pt idx="245">
                  <c:v>9.6999999999999993</c:v>
                </c:pt>
                <c:pt idx="246">
                  <c:v>16</c:v>
                </c:pt>
                <c:pt idx="247">
                  <c:v>11.6</c:v>
                </c:pt>
                <c:pt idx="248">
                  <c:v>13.5</c:v>
                </c:pt>
                <c:pt idx="249">
                  <c:v>24.2</c:v>
                </c:pt>
                <c:pt idx="250">
                  <c:v>33.200000000000003</c:v>
                </c:pt>
                <c:pt idx="251">
                  <c:v>27.5</c:v>
                </c:pt>
                <c:pt idx="252">
                  <c:v>24.3</c:v>
                </c:pt>
                <c:pt idx="253">
                  <c:v>22.5</c:v>
                </c:pt>
                <c:pt idx="254">
                  <c:v>31.2</c:v>
                </c:pt>
                <c:pt idx="255">
                  <c:v>24.6</c:v>
                </c:pt>
                <c:pt idx="256">
                  <c:v>17.7</c:v>
                </c:pt>
                <c:pt idx="257">
                  <c:v>16.8</c:v>
                </c:pt>
                <c:pt idx="258">
                  <c:v>18.100000000000001</c:v>
                </c:pt>
                <c:pt idx="259">
                  <c:v>19.5</c:v>
                </c:pt>
                <c:pt idx="260">
                  <c:v>17.8</c:v>
                </c:pt>
                <c:pt idx="261">
                  <c:v>13.8</c:v>
                </c:pt>
                <c:pt idx="262">
                  <c:v>15.5</c:v>
                </c:pt>
                <c:pt idx="263">
                  <c:v>20.8</c:v>
                </c:pt>
                <c:pt idx="264">
                  <c:v>17.899999999999999</c:v>
                </c:pt>
                <c:pt idx="265">
                  <c:v>23.6</c:v>
                </c:pt>
                <c:pt idx="266">
                  <c:v>25.6</c:v>
                </c:pt>
                <c:pt idx="267">
                  <c:v>35.6</c:v>
                </c:pt>
                <c:pt idx="268">
                  <c:v>21.4</c:v>
                </c:pt>
                <c:pt idx="269">
                  <c:v>20.2</c:v>
                </c:pt>
                <c:pt idx="270">
                  <c:v>27.2</c:v>
                </c:pt>
                <c:pt idx="271">
                  <c:v>34.1</c:v>
                </c:pt>
                <c:pt idx="272">
                  <c:v>19.2</c:v>
                </c:pt>
                <c:pt idx="273">
                  <c:v>17.100000000000001</c:v>
                </c:pt>
                <c:pt idx="274">
                  <c:v>21.5</c:v>
                </c:pt>
                <c:pt idx="275">
                  <c:v>24.8</c:v>
                </c:pt>
                <c:pt idx="276">
                  <c:v>25.6</c:v>
                </c:pt>
                <c:pt idx="277">
                  <c:v>38.299999999999997</c:v>
                </c:pt>
                <c:pt idx="278">
                  <c:v>30.8</c:v>
                </c:pt>
                <c:pt idx="279">
                  <c:v>20.7</c:v>
                </c:pt>
                <c:pt idx="280">
                  <c:v>21.5</c:v>
                </c:pt>
                <c:pt idx="281">
                  <c:v>28.8</c:v>
                </c:pt>
              </c:numCache>
            </c:numRef>
          </c:xVal>
          <c:yVal>
            <c:numRef>
              <c:f>インセンティブ実施率!$Y$2:$Y$283</c:f>
              <c:numCache>
                <c:formatCode>#,##0.00_);[Red]\(#,##0.00\)</c:formatCode>
                <c:ptCount val="282"/>
                <c:pt idx="0">
                  <c:v>23206.538448812094</c:v>
                </c:pt>
                <c:pt idx="1">
                  <c:v>25714.879262786231</c:v>
                </c:pt>
                <c:pt idx="2">
                  <c:v>24283.541441139751</c:v>
                </c:pt>
                <c:pt idx="3">
                  <c:v>24977.514865600337</c:v>
                </c:pt>
                <c:pt idx="4">
                  <c:v>25547.624212939318</c:v>
                </c:pt>
                <c:pt idx="5">
                  <c:v>25132.778631424117</c:v>
                </c:pt>
                <c:pt idx="6">
                  <c:v>24988.804591420612</c:v>
                </c:pt>
                <c:pt idx="7">
                  <c:v>21607.896961390783</c:v>
                </c:pt>
                <c:pt idx="8">
                  <c:v>21907.605418906503</c:v>
                </c:pt>
                <c:pt idx="9">
                  <c:v>20526.547906792424</c:v>
                </c:pt>
                <c:pt idx="10">
                  <c:v>20537.230287107515</c:v>
                </c:pt>
                <c:pt idx="11">
                  <c:v>21108.187310575067</c:v>
                </c:pt>
                <c:pt idx="12">
                  <c:v>17865.11743432987</c:v>
                </c:pt>
                <c:pt idx="13">
                  <c:v>20026.082621548223</c:v>
                </c:pt>
                <c:pt idx="14">
                  <c:v>19392.177497480548</c:v>
                </c:pt>
                <c:pt idx="15">
                  <c:v>19487.744108242969</c:v>
                </c:pt>
                <c:pt idx="16">
                  <c:v>20082.446608414368</c:v>
                </c:pt>
                <c:pt idx="17">
                  <c:v>21257.865900563451</c:v>
                </c:pt>
                <c:pt idx="18">
                  <c:v>20906.550496157815</c:v>
                </c:pt>
                <c:pt idx="19">
                  <c:v>18478.193764182452</c:v>
                </c:pt>
                <c:pt idx="20">
                  <c:v>19910.901711601451</c:v>
                </c:pt>
                <c:pt idx="21">
                  <c:v>20040.322113131955</c:v>
                </c:pt>
                <c:pt idx="22">
                  <c:v>18570.766001488395</c:v>
                </c:pt>
                <c:pt idx="23">
                  <c:v>19956.444132512985</c:v>
                </c:pt>
                <c:pt idx="24">
                  <c:v>19323.848732359478</c:v>
                </c:pt>
                <c:pt idx="25">
                  <c:v>17149.419953795619</c:v>
                </c:pt>
                <c:pt idx="26">
                  <c:v>18141.91081279183</c:v>
                </c:pt>
                <c:pt idx="27">
                  <c:v>19385.838920159935</c:v>
                </c:pt>
                <c:pt idx="28">
                  <c:v>19978.599246652586</c:v>
                </c:pt>
                <c:pt idx="29">
                  <c:v>19817.578181419296</c:v>
                </c:pt>
                <c:pt idx="30">
                  <c:v>18354.681702523842</c:v>
                </c:pt>
                <c:pt idx="31">
                  <c:v>21610.905781042806</c:v>
                </c:pt>
                <c:pt idx="32">
                  <c:v>19956.967486263507</c:v>
                </c:pt>
                <c:pt idx="33">
                  <c:v>19663.455270675324</c:v>
                </c:pt>
                <c:pt idx="34">
                  <c:v>21751.168796547445</c:v>
                </c:pt>
                <c:pt idx="35">
                  <c:v>22830.382778119532</c:v>
                </c:pt>
                <c:pt idx="36">
                  <c:v>20328.168872273269</c:v>
                </c:pt>
                <c:pt idx="37">
                  <c:v>20057.058311496552</c:v>
                </c:pt>
                <c:pt idx="38">
                  <c:v>21539.237879299148</c:v>
                </c:pt>
                <c:pt idx="39">
                  <c:v>20051.713069308578</c:v>
                </c:pt>
                <c:pt idx="40">
                  <c:v>24604.601724438187</c:v>
                </c:pt>
                <c:pt idx="41">
                  <c:v>22030.962424892463</c:v>
                </c:pt>
                <c:pt idx="42">
                  <c:v>22270.723769092459</c:v>
                </c:pt>
                <c:pt idx="43">
                  <c:v>22353.31996481189</c:v>
                </c:pt>
                <c:pt idx="44">
                  <c:v>20618.644299878841</c:v>
                </c:pt>
                <c:pt idx="45">
                  <c:v>21550.61731798252</c:v>
                </c:pt>
                <c:pt idx="46">
                  <c:v>17057.83941919477</c:v>
                </c:pt>
                <c:pt idx="47">
                  <c:v>23996.004630208608</c:v>
                </c:pt>
                <c:pt idx="48">
                  <c:v>26639.235903648376</c:v>
                </c:pt>
                <c:pt idx="49">
                  <c:v>25375.782904575201</c:v>
                </c:pt>
                <c:pt idx="50">
                  <c:v>25675.13884225678</c:v>
                </c:pt>
                <c:pt idx="51">
                  <c:v>26807.362238643575</c:v>
                </c:pt>
                <c:pt idx="52">
                  <c:v>26229.343641149662</c:v>
                </c:pt>
                <c:pt idx="53">
                  <c:v>25902.843036323542</c:v>
                </c:pt>
                <c:pt idx="54">
                  <c:v>22488.638218809556</c:v>
                </c:pt>
                <c:pt idx="55">
                  <c:v>22723.499568847219</c:v>
                </c:pt>
                <c:pt idx="56">
                  <c:v>21224.159652777784</c:v>
                </c:pt>
                <c:pt idx="57">
                  <c:v>21194.20655620535</c:v>
                </c:pt>
                <c:pt idx="58">
                  <c:v>21908.047950706714</c:v>
                </c:pt>
                <c:pt idx="59">
                  <c:v>17424.340526644308</c:v>
                </c:pt>
                <c:pt idx="60">
                  <c:v>20712.614861476439</c:v>
                </c:pt>
                <c:pt idx="61">
                  <c:v>19924.735387001449</c:v>
                </c:pt>
                <c:pt idx="62">
                  <c:v>19896.444060164584</c:v>
                </c:pt>
                <c:pt idx="63">
                  <c:v>20640.326350610598</c:v>
                </c:pt>
                <c:pt idx="64">
                  <c:v>21945.569387045674</c:v>
                </c:pt>
                <c:pt idx="65">
                  <c:v>21285.870906052081</c:v>
                </c:pt>
                <c:pt idx="66">
                  <c:v>19189.766982983056</c:v>
                </c:pt>
                <c:pt idx="67">
                  <c:v>20717.661389531171</c:v>
                </c:pt>
                <c:pt idx="68">
                  <c:v>20535.730306119385</c:v>
                </c:pt>
                <c:pt idx="69">
                  <c:v>19182.042968858077</c:v>
                </c:pt>
                <c:pt idx="70">
                  <c:v>20604.252694880903</c:v>
                </c:pt>
                <c:pt idx="71">
                  <c:v>19753.826839552712</c:v>
                </c:pt>
                <c:pt idx="72">
                  <c:v>17551.804280054777</c:v>
                </c:pt>
                <c:pt idx="73">
                  <c:v>18603.168561908289</c:v>
                </c:pt>
                <c:pt idx="74">
                  <c:v>19992.574302025227</c:v>
                </c:pt>
                <c:pt idx="75">
                  <c:v>20713.90242232976</c:v>
                </c:pt>
                <c:pt idx="76">
                  <c:v>20599.300525193761</c:v>
                </c:pt>
                <c:pt idx="77">
                  <c:v>19297.223790431268</c:v>
                </c:pt>
                <c:pt idx="78">
                  <c:v>22377.363970382361</c:v>
                </c:pt>
                <c:pt idx="79">
                  <c:v>20549.583346912244</c:v>
                </c:pt>
                <c:pt idx="80">
                  <c:v>20107.774009170345</c:v>
                </c:pt>
                <c:pt idx="81">
                  <c:v>22598.269617952719</c:v>
                </c:pt>
                <c:pt idx="82">
                  <c:v>23569.515906207871</c:v>
                </c:pt>
                <c:pt idx="83">
                  <c:v>21037.891168977301</c:v>
                </c:pt>
                <c:pt idx="84">
                  <c:v>20762.33216721793</c:v>
                </c:pt>
                <c:pt idx="85">
                  <c:v>21972.279882201467</c:v>
                </c:pt>
                <c:pt idx="86">
                  <c:v>20726.230763232183</c:v>
                </c:pt>
                <c:pt idx="87">
                  <c:v>25880.180535850202</c:v>
                </c:pt>
                <c:pt idx="88">
                  <c:v>22798.223454257841</c:v>
                </c:pt>
                <c:pt idx="89">
                  <c:v>23194.141794466021</c:v>
                </c:pt>
                <c:pt idx="90">
                  <c:v>23472.853524902854</c:v>
                </c:pt>
                <c:pt idx="91">
                  <c:v>21104.434932178152</c:v>
                </c:pt>
                <c:pt idx="92">
                  <c:v>22499.389423065346</c:v>
                </c:pt>
                <c:pt idx="93">
                  <c:v>17933.371151086798</c:v>
                </c:pt>
                <c:pt idx="94">
                  <c:v>24131.240088952487</c:v>
                </c:pt>
                <c:pt idx="95">
                  <c:v>27131.077626520691</c:v>
                </c:pt>
                <c:pt idx="96">
                  <c:v>25950.363036327821</c:v>
                </c:pt>
                <c:pt idx="97">
                  <c:v>25803.941290270974</c:v>
                </c:pt>
                <c:pt idx="98">
                  <c:v>27109.735030741031</c:v>
                </c:pt>
                <c:pt idx="99">
                  <c:v>26418.056805402535</c:v>
                </c:pt>
                <c:pt idx="100">
                  <c:v>26107.358190224943</c:v>
                </c:pt>
                <c:pt idx="101">
                  <c:v>22632.798273292265</c:v>
                </c:pt>
                <c:pt idx="102">
                  <c:v>22676.552031207761</c:v>
                </c:pt>
                <c:pt idx="103">
                  <c:v>21108.590495381584</c:v>
                </c:pt>
                <c:pt idx="104">
                  <c:v>21109.670719541333</c:v>
                </c:pt>
                <c:pt idx="105">
                  <c:v>21812.48614953622</c:v>
                </c:pt>
                <c:pt idx="106">
                  <c:v>17405.883048810825</c:v>
                </c:pt>
                <c:pt idx="107">
                  <c:v>20821.951432492737</c:v>
                </c:pt>
                <c:pt idx="108">
                  <c:v>19939.760626740801</c:v>
                </c:pt>
                <c:pt idx="109">
                  <c:v>19987.631003383445</c:v>
                </c:pt>
                <c:pt idx="110">
                  <c:v>20663.06063599974</c:v>
                </c:pt>
                <c:pt idx="111">
                  <c:v>21740.189433063497</c:v>
                </c:pt>
                <c:pt idx="112">
                  <c:v>21354.006949937302</c:v>
                </c:pt>
                <c:pt idx="113">
                  <c:v>19456.047192126309</c:v>
                </c:pt>
                <c:pt idx="114">
                  <c:v>20931.481320679362</c:v>
                </c:pt>
                <c:pt idx="115">
                  <c:v>20685.418269531507</c:v>
                </c:pt>
                <c:pt idx="116">
                  <c:v>19366.817675651193</c:v>
                </c:pt>
                <c:pt idx="117">
                  <c:v>21043.827109787642</c:v>
                </c:pt>
                <c:pt idx="118">
                  <c:v>19687.042673048505</c:v>
                </c:pt>
                <c:pt idx="119">
                  <c:v>17440.623550597305</c:v>
                </c:pt>
                <c:pt idx="120">
                  <c:v>18718.195583777902</c:v>
                </c:pt>
                <c:pt idx="121">
                  <c:v>20049.448905795085</c:v>
                </c:pt>
                <c:pt idx="122">
                  <c:v>20768.258296819498</c:v>
                </c:pt>
                <c:pt idx="123">
                  <c:v>21209.998776554276</c:v>
                </c:pt>
                <c:pt idx="124">
                  <c:v>19421.257127973549</c:v>
                </c:pt>
                <c:pt idx="125">
                  <c:v>22650.060304509854</c:v>
                </c:pt>
                <c:pt idx="126">
                  <c:v>20640.480997160445</c:v>
                </c:pt>
                <c:pt idx="127">
                  <c:v>20117.363338581425</c:v>
                </c:pt>
                <c:pt idx="128">
                  <c:v>22601.701627888724</c:v>
                </c:pt>
                <c:pt idx="129">
                  <c:v>23577.65116953868</c:v>
                </c:pt>
                <c:pt idx="130">
                  <c:v>21125.727846504338</c:v>
                </c:pt>
                <c:pt idx="131">
                  <c:v>20816.584561504285</c:v>
                </c:pt>
                <c:pt idx="132">
                  <c:v>21975.638896785327</c:v>
                </c:pt>
                <c:pt idx="133">
                  <c:v>20824.413808780246</c:v>
                </c:pt>
                <c:pt idx="134">
                  <c:v>25982.991906457079</c:v>
                </c:pt>
                <c:pt idx="135">
                  <c:v>22927.12015377649</c:v>
                </c:pt>
                <c:pt idx="136">
                  <c:v>23559.603727996695</c:v>
                </c:pt>
                <c:pt idx="137">
                  <c:v>23913.469014089624</c:v>
                </c:pt>
                <c:pt idx="138">
                  <c:v>21439.019183828903</c:v>
                </c:pt>
                <c:pt idx="139">
                  <c:v>22918.892797578814</c:v>
                </c:pt>
                <c:pt idx="140">
                  <c:v>18064.71108575289</c:v>
                </c:pt>
                <c:pt idx="141">
                  <c:v>25021.381550028418</c:v>
                </c:pt>
                <c:pt idx="142">
                  <c:v>27996.638339623634</c:v>
                </c:pt>
                <c:pt idx="143">
                  <c:v>27013.896013718942</c:v>
                </c:pt>
                <c:pt idx="144">
                  <c:v>26975.960042625047</c:v>
                </c:pt>
                <c:pt idx="145">
                  <c:v>27990.734662888935</c:v>
                </c:pt>
                <c:pt idx="146">
                  <c:v>27541.542513238168</c:v>
                </c:pt>
                <c:pt idx="147">
                  <c:v>27047.138560906784</c:v>
                </c:pt>
                <c:pt idx="148">
                  <c:v>23451.962439422186</c:v>
                </c:pt>
                <c:pt idx="149">
                  <c:v>23620.173942927569</c:v>
                </c:pt>
                <c:pt idx="150">
                  <c:v>21898.131160228495</c:v>
                </c:pt>
                <c:pt idx="151">
                  <c:v>22062.202766482627</c:v>
                </c:pt>
                <c:pt idx="152">
                  <c:v>22831.836504756371</c:v>
                </c:pt>
                <c:pt idx="153">
                  <c:v>18151.295490067965</c:v>
                </c:pt>
                <c:pt idx="154">
                  <c:v>21894.634596874603</c:v>
                </c:pt>
                <c:pt idx="155">
                  <c:v>20601.895331066731</c:v>
                </c:pt>
                <c:pt idx="156">
                  <c:v>21029.263047003424</c:v>
                </c:pt>
                <c:pt idx="157">
                  <c:v>21375.061212145738</c:v>
                </c:pt>
                <c:pt idx="158">
                  <c:v>22594.763971075354</c:v>
                </c:pt>
                <c:pt idx="159">
                  <c:v>22279.55855209244</c:v>
                </c:pt>
                <c:pt idx="160">
                  <c:v>20221.08058736557</c:v>
                </c:pt>
                <c:pt idx="161">
                  <c:v>22074.475112767144</c:v>
                </c:pt>
                <c:pt idx="162">
                  <c:v>21632.81021979998</c:v>
                </c:pt>
                <c:pt idx="163">
                  <c:v>20202.226247906772</c:v>
                </c:pt>
                <c:pt idx="164">
                  <c:v>22130.259824558583</c:v>
                </c:pt>
                <c:pt idx="165">
                  <c:v>20445.13441027288</c:v>
                </c:pt>
                <c:pt idx="166">
                  <c:v>18275.362436888994</c:v>
                </c:pt>
                <c:pt idx="167">
                  <c:v>19671.058461297318</c:v>
                </c:pt>
                <c:pt idx="168">
                  <c:v>20978.259271504048</c:v>
                </c:pt>
                <c:pt idx="169">
                  <c:v>21719.868678794606</c:v>
                </c:pt>
                <c:pt idx="170">
                  <c:v>22322.76734423605</c:v>
                </c:pt>
                <c:pt idx="171">
                  <c:v>20062.063633609938</c:v>
                </c:pt>
                <c:pt idx="172">
                  <c:v>23669.191108868356</c:v>
                </c:pt>
                <c:pt idx="173">
                  <c:v>21315.195242686728</c:v>
                </c:pt>
                <c:pt idx="174">
                  <c:v>20883.584708859235</c:v>
                </c:pt>
                <c:pt idx="175">
                  <c:v>23273.669004107578</c:v>
                </c:pt>
                <c:pt idx="176">
                  <c:v>24439.661790533952</c:v>
                </c:pt>
                <c:pt idx="177">
                  <c:v>22112.555509559214</c:v>
                </c:pt>
                <c:pt idx="178">
                  <c:v>21631.623778970952</c:v>
                </c:pt>
                <c:pt idx="179">
                  <c:v>22386.139602998359</c:v>
                </c:pt>
                <c:pt idx="180">
                  <c:v>21809.17145560023</c:v>
                </c:pt>
                <c:pt idx="181">
                  <c:v>27190.934815109402</c:v>
                </c:pt>
                <c:pt idx="182">
                  <c:v>23773.920068150001</c:v>
                </c:pt>
                <c:pt idx="183">
                  <c:v>24686.911476451736</c:v>
                </c:pt>
                <c:pt idx="184">
                  <c:v>24802.241854877968</c:v>
                </c:pt>
                <c:pt idx="185">
                  <c:v>22399.932353178887</c:v>
                </c:pt>
                <c:pt idx="186">
                  <c:v>24014.979833048106</c:v>
                </c:pt>
                <c:pt idx="187">
                  <c:v>18923.44468003403</c:v>
                </c:pt>
                <c:pt idx="188">
                  <c:v>25160.956371617111</c:v>
                </c:pt>
                <c:pt idx="189">
                  <c:v>28366.567353714046</c:v>
                </c:pt>
                <c:pt idx="190">
                  <c:v>27505.724833405602</c:v>
                </c:pt>
                <c:pt idx="191">
                  <c:v>27295.075812003215</c:v>
                </c:pt>
                <c:pt idx="192">
                  <c:v>28304.561358525367</c:v>
                </c:pt>
                <c:pt idx="193">
                  <c:v>28201.461744661541</c:v>
                </c:pt>
                <c:pt idx="194">
                  <c:v>27255.116503597561</c:v>
                </c:pt>
                <c:pt idx="195">
                  <c:v>23545.562210454817</c:v>
                </c:pt>
                <c:pt idx="196">
                  <c:v>23800.394142674246</c:v>
                </c:pt>
                <c:pt idx="197">
                  <c:v>22151.627262964423</c:v>
                </c:pt>
                <c:pt idx="198">
                  <c:v>22003.938050314689</c:v>
                </c:pt>
                <c:pt idx="199">
                  <c:v>22687.33342725347</c:v>
                </c:pt>
                <c:pt idx="200">
                  <c:v>18011.619913466562</c:v>
                </c:pt>
                <c:pt idx="201">
                  <c:v>21854.371383979615</c:v>
                </c:pt>
                <c:pt idx="202">
                  <c:v>20723.248086919542</c:v>
                </c:pt>
                <c:pt idx="203">
                  <c:v>21100.568625846412</c:v>
                </c:pt>
                <c:pt idx="204">
                  <c:v>21302.784294773151</c:v>
                </c:pt>
                <c:pt idx="205">
                  <c:v>22803.854143841887</c:v>
                </c:pt>
                <c:pt idx="206">
                  <c:v>22254.451842458857</c:v>
                </c:pt>
                <c:pt idx="207">
                  <c:v>20355.370854426248</c:v>
                </c:pt>
                <c:pt idx="208">
                  <c:v>22251.104308457659</c:v>
                </c:pt>
                <c:pt idx="209">
                  <c:v>21921.265342381295</c:v>
                </c:pt>
                <c:pt idx="210">
                  <c:v>20403.07304718245</c:v>
                </c:pt>
                <c:pt idx="211">
                  <c:v>22175.644923590226</c:v>
                </c:pt>
                <c:pt idx="212">
                  <c:v>20296.072839968107</c:v>
                </c:pt>
                <c:pt idx="213">
                  <c:v>18316.558350014206</c:v>
                </c:pt>
                <c:pt idx="214">
                  <c:v>19705.72376036776</c:v>
                </c:pt>
                <c:pt idx="215">
                  <c:v>21050.964712927231</c:v>
                </c:pt>
                <c:pt idx="216">
                  <c:v>21822.645147166368</c:v>
                </c:pt>
                <c:pt idx="217">
                  <c:v>22349.290974246971</c:v>
                </c:pt>
                <c:pt idx="218">
                  <c:v>19937.864276958968</c:v>
                </c:pt>
                <c:pt idx="219">
                  <c:v>24018.42990379249</c:v>
                </c:pt>
                <c:pt idx="220">
                  <c:v>21207.1575359942</c:v>
                </c:pt>
                <c:pt idx="221">
                  <c:v>20908.892106831423</c:v>
                </c:pt>
                <c:pt idx="222">
                  <c:v>23234.29630107903</c:v>
                </c:pt>
                <c:pt idx="223">
                  <c:v>24488.537034825888</c:v>
                </c:pt>
                <c:pt idx="224">
                  <c:v>22188.043156993801</c:v>
                </c:pt>
                <c:pt idx="225">
                  <c:v>21784.1414221425</c:v>
                </c:pt>
                <c:pt idx="226">
                  <c:v>22504.911535594656</c:v>
                </c:pt>
                <c:pt idx="227">
                  <c:v>21879.425241856537</c:v>
                </c:pt>
                <c:pt idx="228">
                  <c:v>27560.046387397491</c:v>
                </c:pt>
                <c:pt idx="229">
                  <c:v>24132.300151697436</c:v>
                </c:pt>
                <c:pt idx="230">
                  <c:v>24821.617671434309</c:v>
                </c:pt>
                <c:pt idx="231">
                  <c:v>25033.381517199719</c:v>
                </c:pt>
                <c:pt idx="232">
                  <c:v>23318.464599552663</c:v>
                </c:pt>
                <c:pt idx="233">
                  <c:v>24388.350488892414</c:v>
                </c:pt>
                <c:pt idx="234">
                  <c:v>19050.364951091145</c:v>
                </c:pt>
                <c:pt idx="235">
                  <c:v>25521.595379746668</c:v>
                </c:pt>
                <c:pt idx="236">
                  <c:v>28810.925927112687</c:v>
                </c:pt>
                <c:pt idx="237">
                  <c:v>28149.50142503684</c:v>
                </c:pt>
                <c:pt idx="238">
                  <c:v>27337.927791901333</c:v>
                </c:pt>
                <c:pt idx="239">
                  <c:v>28877.155047290475</c:v>
                </c:pt>
                <c:pt idx="240">
                  <c:v>28476.301090471603</c:v>
                </c:pt>
                <c:pt idx="241">
                  <c:v>27296.163855286828</c:v>
                </c:pt>
                <c:pt idx="242">
                  <c:v>23625.345563463445</c:v>
                </c:pt>
                <c:pt idx="243">
                  <c:v>24079.670683780441</c:v>
                </c:pt>
                <c:pt idx="244">
                  <c:v>22213.658056718872</c:v>
                </c:pt>
                <c:pt idx="245">
                  <c:v>22249.554383718929</c:v>
                </c:pt>
                <c:pt idx="246">
                  <c:v>22978.064443960124</c:v>
                </c:pt>
                <c:pt idx="247">
                  <c:v>18146.452286846721</c:v>
                </c:pt>
                <c:pt idx="248">
                  <c:v>21969.130486662598</c:v>
                </c:pt>
                <c:pt idx="249">
                  <c:v>21081.522278188757</c:v>
                </c:pt>
                <c:pt idx="250">
                  <c:v>21576.979202551975</c:v>
                </c:pt>
                <c:pt idx="251">
                  <c:v>21504.520829268786</c:v>
                </c:pt>
                <c:pt idx="252">
                  <c:v>22794.327332147972</c:v>
                </c:pt>
                <c:pt idx="253">
                  <c:v>22264.640102073896</c:v>
                </c:pt>
                <c:pt idx="254">
                  <c:v>20642.432314496684</c:v>
                </c:pt>
                <c:pt idx="255">
                  <c:v>22325.534358032535</c:v>
                </c:pt>
                <c:pt idx="256">
                  <c:v>22359.441122507043</c:v>
                </c:pt>
                <c:pt idx="257">
                  <c:v>20595.889230557823</c:v>
                </c:pt>
                <c:pt idx="258">
                  <c:v>22456.119370872533</c:v>
                </c:pt>
                <c:pt idx="259">
                  <c:v>20304.76935093163</c:v>
                </c:pt>
                <c:pt idx="260">
                  <c:v>18334.866099599225</c:v>
                </c:pt>
                <c:pt idx="261">
                  <c:v>19888.998117925781</c:v>
                </c:pt>
                <c:pt idx="262">
                  <c:v>21103.862949822269</c:v>
                </c:pt>
                <c:pt idx="263">
                  <c:v>21651.483188204642</c:v>
                </c:pt>
                <c:pt idx="264">
                  <c:v>22533.700160255001</c:v>
                </c:pt>
                <c:pt idx="265">
                  <c:v>20331.862774846562</c:v>
                </c:pt>
                <c:pt idx="266">
                  <c:v>24032.618232371846</c:v>
                </c:pt>
                <c:pt idx="267">
                  <c:v>21553.706931032611</c:v>
                </c:pt>
                <c:pt idx="268">
                  <c:v>21083.648832282895</c:v>
                </c:pt>
                <c:pt idx="269">
                  <c:v>23442.111728790678</c:v>
                </c:pt>
                <c:pt idx="270">
                  <c:v>24495.174236399504</c:v>
                </c:pt>
                <c:pt idx="271">
                  <c:v>22082.238418055444</c:v>
                </c:pt>
                <c:pt idx="272">
                  <c:v>22007.257177381558</c:v>
                </c:pt>
                <c:pt idx="273">
                  <c:v>23109.862662179472</c:v>
                </c:pt>
                <c:pt idx="274">
                  <c:v>22116.688941105203</c:v>
                </c:pt>
                <c:pt idx="275">
                  <c:v>27450.295550694595</c:v>
                </c:pt>
                <c:pt idx="276">
                  <c:v>24342.890839306972</c:v>
                </c:pt>
                <c:pt idx="277">
                  <c:v>25060.59013102403</c:v>
                </c:pt>
                <c:pt idx="278">
                  <c:v>25671.979646635657</c:v>
                </c:pt>
                <c:pt idx="279">
                  <c:v>23252.535350725208</c:v>
                </c:pt>
                <c:pt idx="280">
                  <c:v>24809.295936046856</c:v>
                </c:pt>
                <c:pt idx="281">
                  <c:v>19465.610430459154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5-4191-ACCC-C440BF1B8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456031"/>
        <c:axId val="427456991"/>
      </c:scatterChart>
      <c:valAx>
        <c:axId val="42745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456991"/>
        <c:crosses val="autoZero"/>
        <c:crossBetween val="midCat"/>
      </c:valAx>
      <c:valAx>
        <c:axId val="427456991"/>
        <c:scaling>
          <c:orientation val="minMax"/>
          <c:min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456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インセンティブ実施率!$S$1</c:f>
              <c:strCache>
                <c:ptCount val="1"/>
                <c:pt idx="0">
                  <c:v>１人当たり医療費_合計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インセンティブ実施率!$H$2:$H$283</c:f>
              <c:numCache>
                <c:formatCode>#,##0.0;[Red]\-#,##0.0</c:formatCode>
                <c:ptCount val="282"/>
                <c:pt idx="0">
                  <c:v>32.5</c:v>
                </c:pt>
                <c:pt idx="1">
                  <c:v>34</c:v>
                </c:pt>
                <c:pt idx="2">
                  <c:v>30.8</c:v>
                </c:pt>
                <c:pt idx="3">
                  <c:v>33.5</c:v>
                </c:pt>
                <c:pt idx="4">
                  <c:v>31.5</c:v>
                </c:pt>
                <c:pt idx="5">
                  <c:v>31.8</c:v>
                </c:pt>
                <c:pt idx="6">
                  <c:v>33.5</c:v>
                </c:pt>
                <c:pt idx="7">
                  <c:v>31.7</c:v>
                </c:pt>
                <c:pt idx="8">
                  <c:v>33</c:v>
                </c:pt>
                <c:pt idx="9">
                  <c:v>31.9</c:v>
                </c:pt>
                <c:pt idx="10">
                  <c:v>31.6</c:v>
                </c:pt>
                <c:pt idx="11">
                  <c:v>33.299999999999997</c:v>
                </c:pt>
                <c:pt idx="12">
                  <c:v>32.9</c:v>
                </c:pt>
                <c:pt idx="13">
                  <c:v>32.5</c:v>
                </c:pt>
                <c:pt idx="14">
                  <c:v>33.4</c:v>
                </c:pt>
                <c:pt idx="15">
                  <c:v>31.5</c:v>
                </c:pt>
                <c:pt idx="16">
                  <c:v>31.8</c:v>
                </c:pt>
                <c:pt idx="17">
                  <c:v>32.5</c:v>
                </c:pt>
                <c:pt idx="18">
                  <c:v>31.8</c:v>
                </c:pt>
                <c:pt idx="19">
                  <c:v>32</c:v>
                </c:pt>
                <c:pt idx="20">
                  <c:v>33.700000000000003</c:v>
                </c:pt>
                <c:pt idx="21">
                  <c:v>34.799999999999997</c:v>
                </c:pt>
                <c:pt idx="22">
                  <c:v>32.9</c:v>
                </c:pt>
                <c:pt idx="23">
                  <c:v>33.700000000000003</c:v>
                </c:pt>
                <c:pt idx="24">
                  <c:v>34.200000000000003</c:v>
                </c:pt>
                <c:pt idx="25">
                  <c:v>34</c:v>
                </c:pt>
                <c:pt idx="26">
                  <c:v>33.4</c:v>
                </c:pt>
                <c:pt idx="27">
                  <c:v>32.799999999999997</c:v>
                </c:pt>
                <c:pt idx="28">
                  <c:v>34.4</c:v>
                </c:pt>
                <c:pt idx="29">
                  <c:v>34</c:v>
                </c:pt>
                <c:pt idx="30">
                  <c:v>33.1</c:v>
                </c:pt>
                <c:pt idx="31">
                  <c:v>32.6</c:v>
                </c:pt>
                <c:pt idx="32">
                  <c:v>32.299999999999997</c:v>
                </c:pt>
                <c:pt idx="33">
                  <c:v>32.200000000000003</c:v>
                </c:pt>
                <c:pt idx="34">
                  <c:v>32.5</c:v>
                </c:pt>
                <c:pt idx="35">
                  <c:v>34.299999999999997</c:v>
                </c:pt>
                <c:pt idx="36">
                  <c:v>33.4</c:v>
                </c:pt>
                <c:pt idx="37">
                  <c:v>31.7</c:v>
                </c:pt>
                <c:pt idx="38">
                  <c:v>29.2</c:v>
                </c:pt>
                <c:pt idx="39">
                  <c:v>33</c:v>
                </c:pt>
                <c:pt idx="40">
                  <c:v>33.700000000000003</c:v>
                </c:pt>
                <c:pt idx="41">
                  <c:v>33.700000000000003</c:v>
                </c:pt>
                <c:pt idx="42">
                  <c:v>32.700000000000003</c:v>
                </c:pt>
                <c:pt idx="43">
                  <c:v>33.799999999999997</c:v>
                </c:pt>
                <c:pt idx="44">
                  <c:v>33.6</c:v>
                </c:pt>
                <c:pt idx="45">
                  <c:v>33.700000000000003</c:v>
                </c:pt>
                <c:pt idx="46">
                  <c:v>32.700000000000003</c:v>
                </c:pt>
                <c:pt idx="47">
                  <c:v>32.5</c:v>
                </c:pt>
                <c:pt idx="48">
                  <c:v>32.299999999999997</c:v>
                </c:pt>
                <c:pt idx="49">
                  <c:v>32.299999999999997</c:v>
                </c:pt>
                <c:pt idx="50">
                  <c:v>32.700000000000003</c:v>
                </c:pt>
                <c:pt idx="51">
                  <c:v>32.299999999999997</c:v>
                </c:pt>
                <c:pt idx="52">
                  <c:v>33.6</c:v>
                </c:pt>
                <c:pt idx="53">
                  <c:v>33.9</c:v>
                </c:pt>
                <c:pt idx="54">
                  <c:v>32.4</c:v>
                </c:pt>
                <c:pt idx="55">
                  <c:v>33.9</c:v>
                </c:pt>
                <c:pt idx="56">
                  <c:v>33</c:v>
                </c:pt>
                <c:pt idx="57">
                  <c:v>31.7</c:v>
                </c:pt>
                <c:pt idx="58">
                  <c:v>32.4</c:v>
                </c:pt>
                <c:pt idx="59">
                  <c:v>32.9</c:v>
                </c:pt>
                <c:pt idx="60">
                  <c:v>32.1</c:v>
                </c:pt>
                <c:pt idx="61">
                  <c:v>33.4</c:v>
                </c:pt>
                <c:pt idx="62">
                  <c:v>31.4</c:v>
                </c:pt>
                <c:pt idx="63">
                  <c:v>31.5</c:v>
                </c:pt>
                <c:pt idx="64">
                  <c:v>33.700000000000003</c:v>
                </c:pt>
                <c:pt idx="65">
                  <c:v>31.7</c:v>
                </c:pt>
                <c:pt idx="66">
                  <c:v>33.1</c:v>
                </c:pt>
                <c:pt idx="67">
                  <c:v>33.6</c:v>
                </c:pt>
                <c:pt idx="68">
                  <c:v>33.700000000000003</c:v>
                </c:pt>
                <c:pt idx="69">
                  <c:v>33.299999999999997</c:v>
                </c:pt>
                <c:pt idx="70">
                  <c:v>32.799999999999997</c:v>
                </c:pt>
                <c:pt idx="71">
                  <c:v>35.5</c:v>
                </c:pt>
                <c:pt idx="72">
                  <c:v>34.299999999999997</c:v>
                </c:pt>
                <c:pt idx="73">
                  <c:v>33.5</c:v>
                </c:pt>
                <c:pt idx="74">
                  <c:v>33.200000000000003</c:v>
                </c:pt>
                <c:pt idx="75">
                  <c:v>35.4</c:v>
                </c:pt>
                <c:pt idx="76">
                  <c:v>34</c:v>
                </c:pt>
                <c:pt idx="77">
                  <c:v>32.799999999999997</c:v>
                </c:pt>
                <c:pt idx="78">
                  <c:v>34.200000000000003</c:v>
                </c:pt>
                <c:pt idx="79">
                  <c:v>32.4</c:v>
                </c:pt>
                <c:pt idx="80">
                  <c:v>32.9</c:v>
                </c:pt>
                <c:pt idx="81">
                  <c:v>33.1</c:v>
                </c:pt>
                <c:pt idx="82">
                  <c:v>34</c:v>
                </c:pt>
                <c:pt idx="83">
                  <c:v>32.5</c:v>
                </c:pt>
                <c:pt idx="84">
                  <c:v>32.200000000000003</c:v>
                </c:pt>
                <c:pt idx="85">
                  <c:v>30.6</c:v>
                </c:pt>
                <c:pt idx="86">
                  <c:v>33</c:v>
                </c:pt>
                <c:pt idx="87">
                  <c:v>35.299999999999997</c:v>
                </c:pt>
                <c:pt idx="88">
                  <c:v>33.299999999999997</c:v>
                </c:pt>
                <c:pt idx="89">
                  <c:v>33.200000000000003</c:v>
                </c:pt>
                <c:pt idx="90">
                  <c:v>33.700000000000003</c:v>
                </c:pt>
                <c:pt idx="91">
                  <c:v>34.200000000000003</c:v>
                </c:pt>
                <c:pt idx="92">
                  <c:v>33.1</c:v>
                </c:pt>
                <c:pt idx="93">
                  <c:v>33.200000000000003</c:v>
                </c:pt>
                <c:pt idx="94">
                  <c:v>31.7</c:v>
                </c:pt>
                <c:pt idx="95">
                  <c:v>31.4</c:v>
                </c:pt>
                <c:pt idx="96">
                  <c:v>31.4</c:v>
                </c:pt>
                <c:pt idx="97">
                  <c:v>31.6</c:v>
                </c:pt>
                <c:pt idx="98">
                  <c:v>33.200000000000003</c:v>
                </c:pt>
                <c:pt idx="99">
                  <c:v>33.299999999999997</c:v>
                </c:pt>
                <c:pt idx="100">
                  <c:v>33.5</c:v>
                </c:pt>
                <c:pt idx="101">
                  <c:v>31.7</c:v>
                </c:pt>
                <c:pt idx="102">
                  <c:v>32.4</c:v>
                </c:pt>
                <c:pt idx="103">
                  <c:v>31.7</c:v>
                </c:pt>
                <c:pt idx="104">
                  <c:v>31.8</c:v>
                </c:pt>
                <c:pt idx="105">
                  <c:v>31.4</c:v>
                </c:pt>
                <c:pt idx="106">
                  <c:v>32.4</c:v>
                </c:pt>
                <c:pt idx="107">
                  <c:v>31.7</c:v>
                </c:pt>
                <c:pt idx="108">
                  <c:v>33.1</c:v>
                </c:pt>
                <c:pt idx="109">
                  <c:v>31.6</c:v>
                </c:pt>
                <c:pt idx="110">
                  <c:v>31</c:v>
                </c:pt>
                <c:pt idx="111">
                  <c:v>32.700000000000003</c:v>
                </c:pt>
                <c:pt idx="112">
                  <c:v>31.6</c:v>
                </c:pt>
                <c:pt idx="113">
                  <c:v>32.299999999999997</c:v>
                </c:pt>
                <c:pt idx="114">
                  <c:v>33.200000000000003</c:v>
                </c:pt>
                <c:pt idx="115">
                  <c:v>33.5</c:v>
                </c:pt>
                <c:pt idx="116">
                  <c:v>31.8</c:v>
                </c:pt>
                <c:pt idx="117">
                  <c:v>32.4</c:v>
                </c:pt>
                <c:pt idx="118">
                  <c:v>33.9</c:v>
                </c:pt>
                <c:pt idx="119">
                  <c:v>33.700000000000003</c:v>
                </c:pt>
                <c:pt idx="120">
                  <c:v>32.9</c:v>
                </c:pt>
                <c:pt idx="121">
                  <c:v>32.6</c:v>
                </c:pt>
                <c:pt idx="122">
                  <c:v>35.1</c:v>
                </c:pt>
                <c:pt idx="123">
                  <c:v>34.799999999999997</c:v>
                </c:pt>
                <c:pt idx="124">
                  <c:v>32.6</c:v>
                </c:pt>
                <c:pt idx="125">
                  <c:v>32.799999999999997</c:v>
                </c:pt>
                <c:pt idx="126">
                  <c:v>31.6</c:v>
                </c:pt>
                <c:pt idx="127">
                  <c:v>31.8</c:v>
                </c:pt>
                <c:pt idx="128">
                  <c:v>33</c:v>
                </c:pt>
                <c:pt idx="129">
                  <c:v>34.700000000000003</c:v>
                </c:pt>
                <c:pt idx="130">
                  <c:v>32.5</c:v>
                </c:pt>
                <c:pt idx="131">
                  <c:v>32.200000000000003</c:v>
                </c:pt>
                <c:pt idx="132">
                  <c:v>29.3</c:v>
                </c:pt>
                <c:pt idx="133">
                  <c:v>32.9</c:v>
                </c:pt>
                <c:pt idx="134">
                  <c:v>33.4</c:v>
                </c:pt>
                <c:pt idx="135">
                  <c:v>33.1</c:v>
                </c:pt>
                <c:pt idx="136">
                  <c:v>32.799999999999997</c:v>
                </c:pt>
                <c:pt idx="137">
                  <c:v>33.1</c:v>
                </c:pt>
                <c:pt idx="138">
                  <c:v>34.299999999999997</c:v>
                </c:pt>
                <c:pt idx="139">
                  <c:v>32.200000000000003</c:v>
                </c:pt>
                <c:pt idx="140">
                  <c:v>33.1</c:v>
                </c:pt>
                <c:pt idx="141">
                  <c:v>34.5</c:v>
                </c:pt>
                <c:pt idx="142">
                  <c:v>34.299999999999997</c:v>
                </c:pt>
                <c:pt idx="143">
                  <c:v>33.299999999999997</c:v>
                </c:pt>
                <c:pt idx="144">
                  <c:v>35</c:v>
                </c:pt>
                <c:pt idx="145">
                  <c:v>34.5</c:v>
                </c:pt>
                <c:pt idx="146">
                  <c:v>34.700000000000003</c:v>
                </c:pt>
                <c:pt idx="147">
                  <c:v>35.1</c:v>
                </c:pt>
                <c:pt idx="148">
                  <c:v>33</c:v>
                </c:pt>
                <c:pt idx="149">
                  <c:v>34.9</c:v>
                </c:pt>
                <c:pt idx="150">
                  <c:v>33.6</c:v>
                </c:pt>
                <c:pt idx="151">
                  <c:v>34.4</c:v>
                </c:pt>
                <c:pt idx="152">
                  <c:v>34.799999999999997</c:v>
                </c:pt>
                <c:pt idx="153">
                  <c:v>35.5</c:v>
                </c:pt>
                <c:pt idx="154">
                  <c:v>35.1</c:v>
                </c:pt>
                <c:pt idx="155">
                  <c:v>34.9</c:v>
                </c:pt>
                <c:pt idx="156">
                  <c:v>33.700000000000003</c:v>
                </c:pt>
                <c:pt idx="157">
                  <c:v>35.1</c:v>
                </c:pt>
                <c:pt idx="158">
                  <c:v>35.200000000000003</c:v>
                </c:pt>
                <c:pt idx="159">
                  <c:v>33.4</c:v>
                </c:pt>
                <c:pt idx="160">
                  <c:v>35.200000000000003</c:v>
                </c:pt>
                <c:pt idx="161">
                  <c:v>36.1</c:v>
                </c:pt>
                <c:pt idx="162">
                  <c:v>35.5</c:v>
                </c:pt>
                <c:pt idx="163">
                  <c:v>34.700000000000003</c:v>
                </c:pt>
                <c:pt idx="164">
                  <c:v>33.799999999999997</c:v>
                </c:pt>
                <c:pt idx="165">
                  <c:v>34.9</c:v>
                </c:pt>
                <c:pt idx="166">
                  <c:v>36.1</c:v>
                </c:pt>
                <c:pt idx="167">
                  <c:v>35.5</c:v>
                </c:pt>
                <c:pt idx="168">
                  <c:v>34.700000000000003</c:v>
                </c:pt>
                <c:pt idx="169">
                  <c:v>37.200000000000003</c:v>
                </c:pt>
                <c:pt idx="170">
                  <c:v>36</c:v>
                </c:pt>
                <c:pt idx="171">
                  <c:v>35</c:v>
                </c:pt>
                <c:pt idx="172">
                  <c:v>34.4</c:v>
                </c:pt>
                <c:pt idx="173">
                  <c:v>33.4</c:v>
                </c:pt>
                <c:pt idx="174">
                  <c:v>34.5</c:v>
                </c:pt>
                <c:pt idx="175">
                  <c:v>33.6</c:v>
                </c:pt>
                <c:pt idx="176">
                  <c:v>36</c:v>
                </c:pt>
                <c:pt idx="177">
                  <c:v>35.6</c:v>
                </c:pt>
                <c:pt idx="178">
                  <c:v>34.299999999999997</c:v>
                </c:pt>
                <c:pt idx="179">
                  <c:v>31.8</c:v>
                </c:pt>
                <c:pt idx="180">
                  <c:v>34.5</c:v>
                </c:pt>
                <c:pt idx="181">
                  <c:v>35.1</c:v>
                </c:pt>
                <c:pt idx="182">
                  <c:v>34.4</c:v>
                </c:pt>
                <c:pt idx="183">
                  <c:v>35</c:v>
                </c:pt>
                <c:pt idx="184">
                  <c:v>35.1</c:v>
                </c:pt>
                <c:pt idx="185">
                  <c:v>34.9</c:v>
                </c:pt>
                <c:pt idx="186">
                  <c:v>34.6</c:v>
                </c:pt>
                <c:pt idx="187">
                  <c:v>34.4</c:v>
                </c:pt>
                <c:pt idx="188">
                  <c:v>32.700000000000003</c:v>
                </c:pt>
                <c:pt idx="189">
                  <c:v>32.200000000000003</c:v>
                </c:pt>
                <c:pt idx="190">
                  <c:v>33.5</c:v>
                </c:pt>
                <c:pt idx="191">
                  <c:v>33.1</c:v>
                </c:pt>
                <c:pt idx="192">
                  <c:v>34.299999999999997</c:v>
                </c:pt>
                <c:pt idx="193">
                  <c:v>34.4</c:v>
                </c:pt>
                <c:pt idx="194">
                  <c:v>34</c:v>
                </c:pt>
                <c:pt idx="195">
                  <c:v>33.299999999999997</c:v>
                </c:pt>
                <c:pt idx="196">
                  <c:v>34.4</c:v>
                </c:pt>
                <c:pt idx="197">
                  <c:v>33</c:v>
                </c:pt>
                <c:pt idx="198">
                  <c:v>33.700000000000003</c:v>
                </c:pt>
                <c:pt idx="199">
                  <c:v>34.200000000000003</c:v>
                </c:pt>
                <c:pt idx="200">
                  <c:v>35.200000000000003</c:v>
                </c:pt>
                <c:pt idx="201">
                  <c:v>34</c:v>
                </c:pt>
                <c:pt idx="202">
                  <c:v>33.5</c:v>
                </c:pt>
                <c:pt idx="203">
                  <c:v>33.5</c:v>
                </c:pt>
                <c:pt idx="204">
                  <c:v>33.9</c:v>
                </c:pt>
                <c:pt idx="205">
                  <c:v>34.200000000000003</c:v>
                </c:pt>
                <c:pt idx="206">
                  <c:v>33.299999999999997</c:v>
                </c:pt>
                <c:pt idx="207">
                  <c:v>34.6</c:v>
                </c:pt>
                <c:pt idx="208">
                  <c:v>34.9</c:v>
                </c:pt>
                <c:pt idx="209">
                  <c:v>34.700000000000003</c:v>
                </c:pt>
                <c:pt idx="210">
                  <c:v>33.4</c:v>
                </c:pt>
                <c:pt idx="211">
                  <c:v>34</c:v>
                </c:pt>
                <c:pt idx="212">
                  <c:v>34.5</c:v>
                </c:pt>
                <c:pt idx="213">
                  <c:v>35.5</c:v>
                </c:pt>
                <c:pt idx="214">
                  <c:v>35</c:v>
                </c:pt>
                <c:pt idx="215">
                  <c:v>34.5</c:v>
                </c:pt>
                <c:pt idx="216">
                  <c:v>36.700000000000003</c:v>
                </c:pt>
                <c:pt idx="217">
                  <c:v>34.700000000000003</c:v>
                </c:pt>
                <c:pt idx="218">
                  <c:v>33.700000000000003</c:v>
                </c:pt>
                <c:pt idx="219">
                  <c:v>34.5</c:v>
                </c:pt>
                <c:pt idx="220">
                  <c:v>32.299999999999997</c:v>
                </c:pt>
                <c:pt idx="221">
                  <c:v>33.299999999999997</c:v>
                </c:pt>
                <c:pt idx="222">
                  <c:v>35.299999999999997</c:v>
                </c:pt>
                <c:pt idx="223">
                  <c:v>35.299999999999997</c:v>
                </c:pt>
                <c:pt idx="224">
                  <c:v>34.200000000000003</c:v>
                </c:pt>
                <c:pt idx="225">
                  <c:v>33.299999999999997</c:v>
                </c:pt>
                <c:pt idx="226">
                  <c:v>30.2</c:v>
                </c:pt>
                <c:pt idx="227">
                  <c:v>34.299999999999997</c:v>
                </c:pt>
                <c:pt idx="228">
                  <c:v>36.4</c:v>
                </c:pt>
                <c:pt idx="229">
                  <c:v>35.4</c:v>
                </c:pt>
                <c:pt idx="230">
                  <c:v>33.200000000000003</c:v>
                </c:pt>
                <c:pt idx="231">
                  <c:v>34.1</c:v>
                </c:pt>
                <c:pt idx="232">
                  <c:v>34.700000000000003</c:v>
                </c:pt>
                <c:pt idx="233">
                  <c:v>34.700000000000003</c:v>
                </c:pt>
                <c:pt idx="234">
                  <c:v>34.200000000000003</c:v>
                </c:pt>
                <c:pt idx="235">
                  <c:v>32.4</c:v>
                </c:pt>
                <c:pt idx="236">
                  <c:v>33.5</c:v>
                </c:pt>
                <c:pt idx="237">
                  <c:v>34</c:v>
                </c:pt>
                <c:pt idx="238">
                  <c:v>32.5</c:v>
                </c:pt>
                <c:pt idx="239">
                  <c:v>33</c:v>
                </c:pt>
                <c:pt idx="240">
                  <c:v>33.700000000000003</c:v>
                </c:pt>
                <c:pt idx="241">
                  <c:v>33.799999999999997</c:v>
                </c:pt>
                <c:pt idx="242">
                  <c:v>32.1</c:v>
                </c:pt>
                <c:pt idx="243">
                  <c:v>33.6</c:v>
                </c:pt>
                <c:pt idx="244">
                  <c:v>32.299999999999997</c:v>
                </c:pt>
                <c:pt idx="245">
                  <c:v>33.200000000000003</c:v>
                </c:pt>
                <c:pt idx="246">
                  <c:v>33.5</c:v>
                </c:pt>
                <c:pt idx="247">
                  <c:v>34.4</c:v>
                </c:pt>
                <c:pt idx="248">
                  <c:v>33.4</c:v>
                </c:pt>
                <c:pt idx="249">
                  <c:v>34.200000000000003</c:v>
                </c:pt>
                <c:pt idx="250">
                  <c:v>33.1</c:v>
                </c:pt>
                <c:pt idx="251">
                  <c:v>33.6</c:v>
                </c:pt>
                <c:pt idx="252">
                  <c:v>32.9</c:v>
                </c:pt>
                <c:pt idx="253">
                  <c:v>33.200000000000003</c:v>
                </c:pt>
                <c:pt idx="254">
                  <c:v>34</c:v>
                </c:pt>
                <c:pt idx="255">
                  <c:v>34.799999999999997</c:v>
                </c:pt>
                <c:pt idx="256">
                  <c:v>34.299999999999997</c:v>
                </c:pt>
                <c:pt idx="257">
                  <c:v>33.200000000000003</c:v>
                </c:pt>
                <c:pt idx="258">
                  <c:v>33.4</c:v>
                </c:pt>
                <c:pt idx="259">
                  <c:v>33.799999999999997</c:v>
                </c:pt>
                <c:pt idx="260">
                  <c:v>34.799999999999997</c:v>
                </c:pt>
                <c:pt idx="261">
                  <c:v>34.1</c:v>
                </c:pt>
                <c:pt idx="262">
                  <c:v>33.700000000000003</c:v>
                </c:pt>
                <c:pt idx="263">
                  <c:v>35.5</c:v>
                </c:pt>
                <c:pt idx="264">
                  <c:v>35.200000000000003</c:v>
                </c:pt>
                <c:pt idx="265">
                  <c:v>33.700000000000003</c:v>
                </c:pt>
                <c:pt idx="266">
                  <c:v>33.5</c:v>
                </c:pt>
                <c:pt idx="267">
                  <c:v>32.4</c:v>
                </c:pt>
                <c:pt idx="268">
                  <c:v>33.4</c:v>
                </c:pt>
                <c:pt idx="269">
                  <c:v>34.4</c:v>
                </c:pt>
                <c:pt idx="270">
                  <c:v>35.799999999999997</c:v>
                </c:pt>
                <c:pt idx="271">
                  <c:v>33.5</c:v>
                </c:pt>
                <c:pt idx="272">
                  <c:v>33.200000000000003</c:v>
                </c:pt>
                <c:pt idx="273">
                  <c:v>31</c:v>
                </c:pt>
                <c:pt idx="274">
                  <c:v>34.1</c:v>
                </c:pt>
                <c:pt idx="275">
                  <c:v>34.5</c:v>
                </c:pt>
                <c:pt idx="276">
                  <c:v>34.5</c:v>
                </c:pt>
                <c:pt idx="277">
                  <c:v>34</c:v>
                </c:pt>
                <c:pt idx="278">
                  <c:v>34.299999999999997</c:v>
                </c:pt>
                <c:pt idx="279">
                  <c:v>34.5</c:v>
                </c:pt>
                <c:pt idx="280">
                  <c:v>34.1</c:v>
                </c:pt>
                <c:pt idx="281">
                  <c:v>33.9</c:v>
                </c:pt>
              </c:numCache>
            </c:numRef>
          </c:xVal>
          <c:yVal>
            <c:numRef>
              <c:f>インセンティブ実施率!$S$2:$S$283</c:f>
              <c:numCache>
                <c:formatCode>#,##0.00_);[Red]\(#,##0.00\)</c:formatCode>
                <c:ptCount val="282"/>
                <c:pt idx="0">
                  <c:v>200328.13842484597</c:v>
                </c:pt>
                <c:pt idx="1">
                  <c:v>183584.04864537908</c:v>
                </c:pt>
                <c:pt idx="2">
                  <c:v>180918.61114933717</c:v>
                </c:pt>
                <c:pt idx="3">
                  <c:v>186421.82995245687</c:v>
                </c:pt>
                <c:pt idx="4">
                  <c:v>201895.20689506727</c:v>
                </c:pt>
                <c:pt idx="5">
                  <c:v>187418.28125584536</c:v>
                </c:pt>
                <c:pt idx="6">
                  <c:v>180158.69527141209</c:v>
                </c:pt>
                <c:pt idx="7">
                  <c:v>173353.01744875067</c:v>
                </c:pt>
                <c:pt idx="8">
                  <c:v>177157.54360052946</c:v>
                </c:pt>
                <c:pt idx="9">
                  <c:v>174276.51116383472</c:v>
                </c:pt>
                <c:pt idx="10">
                  <c:v>173420.95145355331</c:v>
                </c:pt>
                <c:pt idx="11">
                  <c:v>176894.05828610004</c:v>
                </c:pt>
                <c:pt idx="12">
                  <c:v>176545.57551723442</c:v>
                </c:pt>
                <c:pt idx="13">
                  <c:v>180117.83674599064</c:v>
                </c:pt>
                <c:pt idx="14">
                  <c:v>170367.91597181055</c:v>
                </c:pt>
                <c:pt idx="15">
                  <c:v>170325.99193442581</c:v>
                </c:pt>
                <c:pt idx="16">
                  <c:v>181402.31947230172</c:v>
                </c:pt>
                <c:pt idx="17">
                  <c:v>181296.40741054088</c:v>
                </c:pt>
                <c:pt idx="18">
                  <c:v>178931.18880099157</c:v>
                </c:pt>
                <c:pt idx="19">
                  <c:v>169786.52025813877</c:v>
                </c:pt>
                <c:pt idx="20">
                  <c:v>176404.28461893514</c:v>
                </c:pt>
                <c:pt idx="21">
                  <c:v>172633.80306953381</c:v>
                </c:pt>
                <c:pt idx="22">
                  <c:v>170814.24731478363</c:v>
                </c:pt>
                <c:pt idx="23">
                  <c:v>172643.04111975271</c:v>
                </c:pt>
                <c:pt idx="24">
                  <c:v>171754.93009281764</c:v>
                </c:pt>
                <c:pt idx="25">
                  <c:v>178716.02920727149</c:v>
                </c:pt>
                <c:pt idx="26">
                  <c:v>183788.60682368971</c:v>
                </c:pt>
                <c:pt idx="27">
                  <c:v>184724.16701878709</c:v>
                </c:pt>
                <c:pt idx="28">
                  <c:v>182840.59223571353</c:v>
                </c:pt>
                <c:pt idx="29">
                  <c:v>183371.94580241051</c:v>
                </c:pt>
                <c:pt idx="30">
                  <c:v>181725.81351979548</c:v>
                </c:pt>
                <c:pt idx="31">
                  <c:v>190952.64818458547</c:v>
                </c:pt>
                <c:pt idx="32">
                  <c:v>184222.41536567989</c:v>
                </c:pt>
                <c:pt idx="33">
                  <c:v>179985.23712391782</c:v>
                </c:pt>
                <c:pt idx="34">
                  <c:v>193592.0551324648</c:v>
                </c:pt>
                <c:pt idx="35">
                  <c:v>192780.49415141111</c:v>
                </c:pt>
                <c:pt idx="36">
                  <c:v>193134.58339845942</c:v>
                </c:pt>
                <c:pt idx="37">
                  <c:v>181011.61724346422</c:v>
                </c:pt>
                <c:pt idx="38">
                  <c:v>190854.86843351729</c:v>
                </c:pt>
                <c:pt idx="39">
                  <c:v>189417.2768334462</c:v>
                </c:pt>
                <c:pt idx="40">
                  <c:v>207176.4795478571</c:v>
                </c:pt>
                <c:pt idx="41">
                  <c:v>191730.31889642507</c:v>
                </c:pt>
                <c:pt idx="42">
                  <c:v>190212.85398978565</c:v>
                </c:pt>
                <c:pt idx="43">
                  <c:v>191844.31184673926</c:v>
                </c:pt>
                <c:pt idx="44">
                  <c:v>179166.35188839215</c:v>
                </c:pt>
                <c:pt idx="45">
                  <c:v>186343.54741803173</c:v>
                </c:pt>
                <c:pt idx="46">
                  <c:v>168307.87574352816</c:v>
                </c:pt>
                <c:pt idx="47">
                  <c:v>206677.6315571031</c:v>
                </c:pt>
                <c:pt idx="48">
                  <c:v>189846.65329006984</c:v>
                </c:pt>
                <c:pt idx="49">
                  <c:v>186056.8040524417</c:v>
                </c:pt>
                <c:pt idx="50">
                  <c:v>191227.3832113196</c:v>
                </c:pt>
                <c:pt idx="51">
                  <c:v>207061.34730914974</c:v>
                </c:pt>
                <c:pt idx="52">
                  <c:v>194064.71194683528</c:v>
                </c:pt>
                <c:pt idx="53">
                  <c:v>184276.21052165932</c:v>
                </c:pt>
                <c:pt idx="54">
                  <c:v>178153.10884976777</c:v>
                </c:pt>
                <c:pt idx="55">
                  <c:v>182310.95722036145</c:v>
                </c:pt>
                <c:pt idx="56">
                  <c:v>176581.3153635877</c:v>
                </c:pt>
                <c:pt idx="57">
                  <c:v>177218.73988704546</c:v>
                </c:pt>
                <c:pt idx="58">
                  <c:v>181356.26460835992</c:v>
                </c:pt>
                <c:pt idx="59">
                  <c:v>177350.19285018565</c:v>
                </c:pt>
                <c:pt idx="60">
                  <c:v>185918.24748797098</c:v>
                </c:pt>
                <c:pt idx="61">
                  <c:v>174138.30824651546</c:v>
                </c:pt>
                <c:pt idx="62">
                  <c:v>175833.75119391939</c:v>
                </c:pt>
                <c:pt idx="63">
                  <c:v>187098.49864819704</c:v>
                </c:pt>
                <c:pt idx="64">
                  <c:v>186395.32620019629</c:v>
                </c:pt>
                <c:pt idx="65">
                  <c:v>183950.46138953636</c:v>
                </c:pt>
                <c:pt idx="66">
                  <c:v>175086.42900908669</c:v>
                </c:pt>
                <c:pt idx="67">
                  <c:v>179707.57664784518</c:v>
                </c:pt>
                <c:pt idx="68">
                  <c:v>176994.79493686129</c:v>
                </c:pt>
                <c:pt idx="69">
                  <c:v>175111.96268022194</c:v>
                </c:pt>
                <c:pt idx="70">
                  <c:v>178412.0308486252</c:v>
                </c:pt>
                <c:pt idx="71">
                  <c:v>177059.56208009861</c:v>
                </c:pt>
                <c:pt idx="72">
                  <c:v>184384.89941114202</c:v>
                </c:pt>
                <c:pt idx="73">
                  <c:v>188847.58393137722</c:v>
                </c:pt>
                <c:pt idx="74">
                  <c:v>191287.69835882148</c:v>
                </c:pt>
                <c:pt idx="75">
                  <c:v>186904.80183241484</c:v>
                </c:pt>
                <c:pt idx="76">
                  <c:v>189429.71270895549</c:v>
                </c:pt>
                <c:pt idx="77">
                  <c:v>187029.3450560343</c:v>
                </c:pt>
                <c:pt idx="78">
                  <c:v>197446.37939856816</c:v>
                </c:pt>
                <c:pt idx="79">
                  <c:v>190069.56944656544</c:v>
                </c:pt>
                <c:pt idx="80">
                  <c:v>185389.16310094635</c:v>
                </c:pt>
                <c:pt idx="81">
                  <c:v>198520.92025315491</c:v>
                </c:pt>
                <c:pt idx="82">
                  <c:v>198586.0953740768</c:v>
                </c:pt>
                <c:pt idx="83">
                  <c:v>197805.98896808454</c:v>
                </c:pt>
                <c:pt idx="84">
                  <c:v>188510.8979890036</c:v>
                </c:pt>
                <c:pt idx="85">
                  <c:v>194340.71434730245</c:v>
                </c:pt>
                <c:pt idx="86">
                  <c:v>193249.30595098776</c:v>
                </c:pt>
                <c:pt idx="87">
                  <c:v>212575.55967476653</c:v>
                </c:pt>
                <c:pt idx="88">
                  <c:v>199743.72159430684</c:v>
                </c:pt>
                <c:pt idx="89">
                  <c:v>195351.55184150254</c:v>
                </c:pt>
                <c:pt idx="90">
                  <c:v>198577.17468236946</c:v>
                </c:pt>
                <c:pt idx="91">
                  <c:v>184653.09953358182</c:v>
                </c:pt>
                <c:pt idx="92">
                  <c:v>193541.71094605493</c:v>
                </c:pt>
                <c:pt idx="93">
                  <c:v>174452.28824652854</c:v>
                </c:pt>
                <c:pt idx="94">
                  <c:v>201779.85276831497</c:v>
                </c:pt>
                <c:pt idx="95">
                  <c:v>186476.73692133275</c:v>
                </c:pt>
                <c:pt idx="96">
                  <c:v>184277.74111695637</c:v>
                </c:pt>
                <c:pt idx="97">
                  <c:v>188766.56856061661</c:v>
                </c:pt>
                <c:pt idx="98">
                  <c:v>205305.14695259108</c:v>
                </c:pt>
                <c:pt idx="99">
                  <c:v>188703.94778775101</c:v>
                </c:pt>
                <c:pt idx="100">
                  <c:v>179237.44964058357</c:v>
                </c:pt>
                <c:pt idx="101">
                  <c:v>174142.73435449944</c:v>
                </c:pt>
                <c:pt idx="102">
                  <c:v>178606.3397000047</c:v>
                </c:pt>
                <c:pt idx="103">
                  <c:v>172839.12903544682</c:v>
                </c:pt>
                <c:pt idx="104">
                  <c:v>172250.86326253632</c:v>
                </c:pt>
                <c:pt idx="105">
                  <c:v>176096.2851709199</c:v>
                </c:pt>
                <c:pt idx="106">
                  <c:v>170452.42555604773</c:v>
                </c:pt>
                <c:pt idx="107">
                  <c:v>179204.60536641101</c:v>
                </c:pt>
                <c:pt idx="108">
                  <c:v>169496.80148399557</c:v>
                </c:pt>
                <c:pt idx="109">
                  <c:v>169711.22740488642</c:v>
                </c:pt>
                <c:pt idx="110">
                  <c:v>177989.48959386049</c:v>
                </c:pt>
                <c:pt idx="111">
                  <c:v>181135.96771392273</c:v>
                </c:pt>
                <c:pt idx="112">
                  <c:v>177920.46185129209</c:v>
                </c:pt>
                <c:pt idx="113">
                  <c:v>170560.87995150845</c:v>
                </c:pt>
                <c:pt idx="114">
                  <c:v>175296.53302120644</c:v>
                </c:pt>
                <c:pt idx="115">
                  <c:v>173048.36501810016</c:v>
                </c:pt>
                <c:pt idx="116">
                  <c:v>170836.11075319292</c:v>
                </c:pt>
                <c:pt idx="117">
                  <c:v>174292.31664723856</c:v>
                </c:pt>
                <c:pt idx="118">
                  <c:v>171105.42465278597</c:v>
                </c:pt>
                <c:pt idx="119">
                  <c:v>176860.22962917085</c:v>
                </c:pt>
                <c:pt idx="120">
                  <c:v>182938.22487882388</c:v>
                </c:pt>
                <c:pt idx="121">
                  <c:v>184056.00019816781</c:v>
                </c:pt>
                <c:pt idx="122">
                  <c:v>181182.18992287203</c:v>
                </c:pt>
                <c:pt idx="123">
                  <c:v>185646.29576305259</c:v>
                </c:pt>
                <c:pt idx="124">
                  <c:v>182258.88927513617</c:v>
                </c:pt>
                <c:pt idx="125">
                  <c:v>193728.08019212785</c:v>
                </c:pt>
                <c:pt idx="126">
                  <c:v>184030.72480536797</c:v>
                </c:pt>
                <c:pt idx="127">
                  <c:v>180342.75194049408</c:v>
                </c:pt>
                <c:pt idx="128">
                  <c:v>192505.99990229559</c:v>
                </c:pt>
                <c:pt idx="129">
                  <c:v>195294.90358463195</c:v>
                </c:pt>
                <c:pt idx="130">
                  <c:v>192253.58157314124</c:v>
                </c:pt>
                <c:pt idx="131">
                  <c:v>183392.76574427134</c:v>
                </c:pt>
                <c:pt idx="132">
                  <c:v>191287.67498242331</c:v>
                </c:pt>
                <c:pt idx="133">
                  <c:v>187248.78203292005</c:v>
                </c:pt>
                <c:pt idx="134">
                  <c:v>210045.96519033753</c:v>
                </c:pt>
                <c:pt idx="135">
                  <c:v>195730.18160843127</c:v>
                </c:pt>
                <c:pt idx="136">
                  <c:v>193039.57843833609</c:v>
                </c:pt>
                <c:pt idx="137">
                  <c:v>196396.94376934692</c:v>
                </c:pt>
                <c:pt idx="138">
                  <c:v>182343.1636382693</c:v>
                </c:pt>
                <c:pt idx="139">
                  <c:v>192076.77866897776</c:v>
                </c:pt>
                <c:pt idx="140">
                  <c:v>169757.52900286624</c:v>
                </c:pt>
                <c:pt idx="141">
                  <c:v>214201.03379849542</c:v>
                </c:pt>
                <c:pt idx="142">
                  <c:v>197551.19607369578</c:v>
                </c:pt>
                <c:pt idx="143">
                  <c:v>195313.92574063851</c:v>
                </c:pt>
                <c:pt idx="144">
                  <c:v>200635.4121696669</c:v>
                </c:pt>
                <c:pt idx="145">
                  <c:v>214586.19449065934</c:v>
                </c:pt>
                <c:pt idx="146">
                  <c:v>203167.74811212294</c:v>
                </c:pt>
                <c:pt idx="147">
                  <c:v>191405.86110114492</c:v>
                </c:pt>
                <c:pt idx="148">
                  <c:v>187490.09944794117</c:v>
                </c:pt>
                <c:pt idx="149">
                  <c:v>193394.47630625346</c:v>
                </c:pt>
                <c:pt idx="150">
                  <c:v>186282.60879277127</c:v>
                </c:pt>
                <c:pt idx="151">
                  <c:v>187685.77460819634</c:v>
                </c:pt>
                <c:pt idx="152">
                  <c:v>191447.10265730775</c:v>
                </c:pt>
                <c:pt idx="153">
                  <c:v>187455.31820223358</c:v>
                </c:pt>
                <c:pt idx="154">
                  <c:v>197032.73260335045</c:v>
                </c:pt>
                <c:pt idx="155">
                  <c:v>179616.25681622361</c:v>
                </c:pt>
                <c:pt idx="156">
                  <c:v>182297.11008330926</c:v>
                </c:pt>
                <c:pt idx="157">
                  <c:v>189766.62120727726</c:v>
                </c:pt>
                <c:pt idx="158">
                  <c:v>194930.49746844184</c:v>
                </c:pt>
                <c:pt idx="159">
                  <c:v>191443.46399855166</c:v>
                </c:pt>
                <c:pt idx="160">
                  <c:v>181814.61623640591</c:v>
                </c:pt>
                <c:pt idx="161">
                  <c:v>189228.63587666443</c:v>
                </c:pt>
                <c:pt idx="162">
                  <c:v>186607.23975035688</c:v>
                </c:pt>
                <c:pt idx="163">
                  <c:v>186268.2521704449</c:v>
                </c:pt>
                <c:pt idx="164">
                  <c:v>187605.42564312383</c:v>
                </c:pt>
                <c:pt idx="165">
                  <c:v>182745.69840647595</c:v>
                </c:pt>
                <c:pt idx="166">
                  <c:v>193793.01182564491</c:v>
                </c:pt>
                <c:pt idx="167">
                  <c:v>198436.29911134421</c:v>
                </c:pt>
                <c:pt idx="168">
                  <c:v>199942.74121024535</c:v>
                </c:pt>
                <c:pt idx="169">
                  <c:v>197718.85617719358</c:v>
                </c:pt>
                <c:pt idx="170">
                  <c:v>197179.92075310633</c:v>
                </c:pt>
                <c:pt idx="171">
                  <c:v>193058.5964786603</c:v>
                </c:pt>
                <c:pt idx="172">
                  <c:v>207243.06699811883</c:v>
                </c:pt>
                <c:pt idx="173">
                  <c:v>196052.46030116928</c:v>
                </c:pt>
                <c:pt idx="174">
                  <c:v>191698.3043214636</c:v>
                </c:pt>
                <c:pt idx="175">
                  <c:v>203338.08524527066</c:v>
                </c:pt>
                <c:pt idx="176">
                  <c:v>206379.37200081348</c:v>
                </c:pt>
                <c:pt idx="177">
                  <c:v>206185.00631486255</c:v>
                </c:pt>
                <c:pt idx="178">
                  <c:v>194478.96983857427</c:v>
                </c:pt>
                <c:pt idx="179">
                  <c:v>202024.69719552074</c:v>
                </c:pt>
                <c:pt idx="180">
                  <c:v>202677.73248875231</c:v>
                </c:pt>
                <c:pt idx="181">
                  <c:v>219653.74225122901</c:v>
                </c:pt>
                <c:pt idx="182">
                  <c:v>207094.84255839465</c:v>
                </c:pt>
                <c:pt idx="183">
                  <c:v>205635.74856654732</c:v>
                </c:pt>
                <c:pt idx="184">
                  <c:v>208218.40972588546</c:v>
                </c:pt>
                <c:pt idx="185">
                  <c:v>191813.96469807721</c:v>
                </c:pt>
                <c:pt idx="186">
                  <c:v>203290.96377522318</c:v>
                </c:pt>
                <c:pt idx="187">
                  <c:v>182627.12335706476</c:v>
                </c:pt>
                <c:pt idx="188">
                  <c:v>223683.67052101242</c:v>
                </c:pt>
                <c:pt idx="189">
                  <c:v>204424.68811193682</c:v>
                </c:pt>
                <c:pt idx="190">
                  <c:v>204937.65857043394</c:v>
                </c:pt>
                <c:pt idx="191">
                  <c:v>211072.98510298607</c:v>
                </c:pt>
                <c:pt idx="192">
                  <c:v>224344.69228145332</c:v>
                </c:pt>
                <c:pt idx="193">
                  <c:v>213688.41611708404</c:v>
                </c:pt>
                <c:pt idx="194">
                  <c:v>202444.13161993379</c:v>
                </c:pt>
                <c:pt idx="195">
                  <c:v>195546.09505787183</c:v>
                </c:pt>
                <c:pt idx="196">
                  <c:v>200987.9216050363</c:v>
                </c:pt>
                <c:pt idx="197">
                  <c:v>196137.66709101881</c:v>
                </c:pt>
                <c:pt idx="198">
                  <c:v>194767.42204633687</c:v>
                </c:pt>
                <c:pt idx="199">
                  <c:v>197550.82893746867</c:v>
                </c:pt>
                <c:pt idx="200">
                  <c:v>194926.06937838637</c:v>
                </c:pt>
                <c:pt idx="201">
                  <c:v>204398.69900130463</c:v>
                </c:pt>
                <c:pt idx="202">
                  <c:v>189541.81277244192</c:v>
                </c:pt>
                <c:pt idx="203">
                  <c:v>192009.48317475227</c:v>
                </c:pt>
                <c:pt idx="204">
                  <c:v>201160.85275436271</c:v>
                </c:pt>
                <c:pt idx="205">
                  <c:v>207921.67128944545</c:v>
                </c:pt>
                <c:pt idx="206">
                  <c:v>203272.12504186432</c:v>
                </c:pt>
                <c:pt idx="207">
                  <c:v>192175.26770484771</c:v>
                </c:pt>
                <c:pt idx="208">
                  <c:v>200314.84830477173</c:v>
                </c:pt>
                <c:pt idx="209">
                  <c:v>196994.81664767451</c:v>
                </c:pt>
                <c:pt idx="210">
                  <c:v>196469.23275248753</c:v>
                </c:pt>
                <c:pt idx="211">
                  <c:v>199775.87256418934</c:v>
                </c:pt>
                <c:pt idx="212">
                  <c:v>194853.59564442595</c:v>
                </c:pt>
                <c:pt idx="213">
                  <c:v>203866.04762333454</c:v>
                </c:pt>
                <c:pt idx="214">
                  <c:v>209387.59976174269</c:v>
                </c:pt>
                <c:pt idx="215">
                  <c:v>209710.59118505323</c:v>
                </c:pt>
                <c:pt idx="216">
                  <c:v>209265.95605666935</c:v>
                </c:pt>
                <c:pt idx="217">
                  <c:v>208524.32110081281</c:v>
                </c:pt>
                <c:pt idx="218">
                  <c:v>201013.69902847361</c:v>
                </c:pt>
                <c:pt idx="219">
                  <c:v>216228.06992751776</c:v>
                </c:pt>
                <c:pt idx="220">
                  <c:v>205803.50675242062</c:v>
                </c:pt>
                <c:pt idx="221">
                  <c:v>202506.0493687554</c:v>
                </c:pt>
                <c:pt idx="222">
                  <c:v>216411.32898266896</c:v>
                </c:pt>
                <c:pt idx="223">
                  <c:v>218293.4527376231</c:v>
                </c:pt>
                <c:pt idx="224">
                  <c:v>217238.85697369103</c:v>
                </c:pt>
                <c:pt idx="225">
                  <c:v>206133.91518794617</c:v>
                </c:pt>
                <c:pt idx="226">
                  <c:v>210485.54130011614</c:v>
                </c:pt>
                <c:pt idx="227">
                  <c:v>214331.24552119809</c:v>
                </c:pt>
                <c:pt idx="228">
                  <c:v>234186.97758294203</c:v>
                </c:pt>
                <c:pt idx="229">
                  <c:v>219595.3632123977</c:v>
                </c:pt>
                <c:pt idx="230">
                  <c:v>217907.64875285586</c:v>
                </c:pt>
                <c:pt idx="231">
                  <c:v>220513.48634695142</c:v>
                </c:pt>
                <c:pt idx="232">
                  <c:v>206090.68991486172</c:v>
                </c:pt>
                <c:pt idx="233">
                  <c:v>215188.84971442743</c:v>
                </c:pt>
                <c:pt idx="234">
                  <c:v>189357.27507801124</c:v>
                </c:pt>
                <c:pt idx="235">
                  <c:v>232288.06371134004</c:v>
                </c:pt>
                <c:pt idx="236">
                  <c:v>215115.73292000353</c:v>
                </c:pt>
                <c:pt idx="237">
                  <c:v>209984.98152340626</c:v>
                </c:pt>
                <c:pt idx="238">
                  <c:v>218088.38252095212</c:v>
                </c:pt>
                <c:pt idx="239">
                  <c:v>231413.68012724604</c:v>
                </c:pt>
                <c:pt idx="240">
                  <c:v>218927.93064044023</c:v>
                </c:pt>
                <c:pt idx="241">
                  <c:v>207510.72234257241</c:v>
                </c:pt>
                <c:pt idx="242">
                  <c:v>200177.46662306634</c:v>
                </c:pt>
                <c:pt idx="243">
                  <c:v>207947.26868030214</c:v>
                </c:pt>
                <c:pt idx="244">
                  <c:v>201405.9765240899</c:v>
                </c:pt>
                <c:pt idx="245">
                  <c:v>201472.52666019063</c:v>
                </c:pt>
                <c:pt idx="246">
                  <c:v>204922.5076620827</c:v>
                </c:pt>
                <c:pt idx="247">
                  <c:v>201573.80583287464</c:v>
                </c:pt>
                <c:pt idx="248">
                  <c:v>211462.57007907942</c:v>
                </c:pt>
                <c:pt idx="249">
                  <c:v>196851.79282312747</c:v>
                </c:pt>
                <c:pt idx="250">
                  <c:v>197899.00656784099</c:v>
                </c:pt>
                <c:pt idx="251">
                  <c:v>204548.61362814371</c:v>
                </c:pt>
                <c:pt idx="252">
                  <c:v>211226.08202880507</c:v>
                </c:pt>
                <c:pt idx="253">
                  <c:v>207888.8411638978</c:v>
                </c:pt>
                <c:pt idx="254">
                  <c:v>199763.98524279031</c:v>
                </c:pt>
                <c:pt idx="255">
                  <c:v>207529.7239277311</c:v>
                </c:pt>
                <c:pt idx="256">
                  <c:v>202970.41237336665</c:v>
                </c:pt>
                <c:pt idx="257">
                  <c:v>203573.01586068043</c:v>
                </c:pt>
                <c:pt idx="258">
                  <c:v>205751.74051951533</c:v>
                </c:pt>
                <c:pt idx="259">
                  <c:v>200824.09716970369</c:v>
                </c:pt>
                <c:pt idx="260">
                  <c:v>208080.55399449298</c:v>
                </c:pt>
                <c:pt idx="261">
                  <c:v>214924.81569629005</c:v>
                </c:pt>
                <c:pt idx="262">
                  <c:v>215713.65996515274</c:v>
                </c:pt>
                <c:pt idx="263">
                  <c:v>210978.28339390183</c:v>
                </c:pt>
                <c:pt idx="264">
                  <c:v>216890.84844429954</c:v>
                </c:pt>
                <c:pt idx="265">
                  <c:v>210732.00379877025</c:v>
                </c:pt>
                <c:pt idx="266">
                  <c:v>220828.69636819066</c:v>
                </c:pt>
                <c:pt idx="267">
                  <c:v>212126.78133491473</c:v>
                </c:pt>
                <c:pt idx="268">
                  <c:v>206743.22704760678</c:v>
                </c:pt>
                <c:pt idx="269">
                  <c:v>224047.2257557807</c:v>
                </c:pt>
                <c:pt idx="270">
                  <c:v>227283.55462517642</c:v>
                </c:pt>
                <c:pt idx="271">
                  <c:v>220844.93950604455</c:v>
                </c:pt>
                <c:pt idx="272">
                  <c:v>213612.38187672407</c:v>
                </c:pt>
                <c:pt idx="273">
                  <c:v>218577.43568004912</c:v>
                </c:pt>
                <c:pt idx="274">
                  <c:v>219292.18924331604</c:v>
                </c:pt>
                <c:pt idx="275">
                  <c:v>238790.8479635402</c:v>
                </c:pt>
                <c:pt idx="276">
                  <c:v>228076.20771980908</c:v>
                </c:pt>
                <c:pt idx="277">
                  <c:v>221926.06824668543</c:v>
                </c:pt>
                <c:pt idx="278">
                  <c:v>225649.45036350674</c:v>
                </c:pt>
                <c:pt idx="279">
                  <c:v>213632.69809678179</c:v>
                </c:pt>
                <c:pt idx="280">
                  <c:v>221192.2848456855</c:v>
                </c:pt>
                <c:pt idx="281">
                  <c:v>194294.42052924327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E7-48EB-A5F3-97B904302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955519"/>
        <c:axId val="430954559"/>
      </c:scatterChart>
      <c:valAx>
        <c:axId val="430955519"/>
        <c:scaling>
          <c:orientation val="minMax"/>
          <c:min val="2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0954559"/>
        <c:crosses val="autoZero"/>
        <c:crossBetween val="midCat"/>
      </c:valAx>
      <c:valAx>
        <c:axId val="430954559"/>
        <c:scaling>
          <c:orientation val="minMax"/>
          <c:min val="1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0955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インセンティブ実施率!$T$1</c:f>
              <c:strCache>
                <c:ptCount val="1"/>
                <c:pt idx="0">
                  <c:v>１人当たり医療費_入院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インセンティブ実施率!$H$2:$H$283</c:f>
              <c:numCache>
                <c:formatCode>#,##0.0;[Red]\-#,##0.0</c:formatCode>
                <c:ptCount val="282"/>
                <c:pt idx="0">
                  <c:v>32.5</c:v>
                </c:pt>
                <c:pt idx="1">
                  <c:v>34</c:v>
                </c:pt>
                <c:pt idx="2">
                  <c:v>30.8</c:v>
                </c:pt>
                <c:pt idx="3">
                  <c:v>33.5</c:v>
                </c:pt>
                <c:pt idx="4">
                  <c:v>31.5</c:v>
                </c:pt>
                <c:pt idx="5">
                  <c:v>31.8</c:v>
                </c:pt>
                <c:pt idx="6">
                  <c:v>33.5</c:v>
                </c:pt>
                <c:pt idx="7">
                  <c:v>31.7</c:v>
                </c:pt>
                <c:pt idx="8">
                  <c:v>33</c:v>
                </c:pt>
                <c:pt idx="9">
                  <c:v>31.9</c:v>
                </c:pt>
                <c:pt idx="10">
                  <c:v>31.6</c:v>
                </c:pt>
                <c:pt idx="11">
                  <c:v>33.299999999999997</c:v>
                </c:pt>
                <c:pt idx="12">
                  <c:v>32.9</c:v>
                </c:pt>
                <c:pt idx="13">
                  <c:v>32.5</c:v>
                </c:pt>
                <c:pt idx="14">
                  <c:v>33.4</c:v>
                </c:pt>
                <c:pt idx="15">
                  <c:v>31.5</c:v>
                </c:pt>
                <c:pt idx="16">
                  <c:v>31.8</c:v>
                </c:pt>
                <c:pt idx="17">
                  <c:v>32.5</c:v>
                </c:pt>
                <c:pt idx="18">
                  <c:v>31.8</c:v>
                </c:pt>
                <c:pt idx="19">
                  <c:v>32</c:v>
                </c:pt>
                <c:pt idx="20">
                  <c:v>33.700000000000003</c:v>
                </c:pt>
                <c:pt idx="21">
                  <c:v>34.799999999999997</c:v>
                </c:pt>
                <c:pt idx="22">
                  <c:v>32.9</c:v>
                </c:pt>
                <c:pt idx="23">
                  <c:v>33.700000000000003</c:v>
                </c:pt>
                <c:pt idx="24">
                  <c:v>34.200000000000003</c:v>
                </c:pt>
                <c:pt idx="25">
                  <c:v>34</c:v>
                </c:pt>
                <c:pt idx="26">
                  <c:v>33.4</c:v>
                </c:pt>
                <c:pt idx="27">
                  <c:v>32.799999999999997</c:v>
                </c:pt>
                <c:pt idx="28">
                  <c:v>34.4</c:v>
                </c:pt>
                <c:pt idx="29">
                  <c:v>34</c:v>
                </c:pt>
                <c:pt idx="30">
                  <c:v>33.1</c:v>
                </c:pt>
                <c:pt idx="31">
                  <c:v>32.6</c:v>
                </c:pt>
                <c:pt idx="32">
                  <c:v>32.299999999999997</c:v>
                </c:pt>
                <c:pt idx="33">
                  <c:v>32.200000000000003</c:v>
                </c:pt>
                <c:pt idx="34">
                  <c:v>32.5</c:v>
                </c:pt>
                <c:pt idx="35">
                  <c:v>34.299999999999997</c:v>
                </c:pt>
                <c:pt idx="36">
                  <c:v>33.4</c:v>
                </c:pt>
                <c:pt idx="37">
                  <c:v>31.7</c:v>
                </c:pt>
                <c:pt idx="38">
                  <c:v>29.2</c:v>
                </c:pt>
                <c:pt idx="39">
                  <c:v>33</c:v>
                </c:pt>
                <c:pt idx="40">
                  <c:v>33.700000000000003</c:v>
                </c:pt>
                <c:pt idx="41">
                  <c:v>33.700000000000003</c:v>
                </c:pt>
                <c:pt idx="42">
                  <c:v>32.700000000000003</c:v>
                </c:pt>
                <c:pt idx="43">
                  <c:v>33.799999999999997</c:v>
                </c:pt>
                <c:pt idx="44">
                  <c:v>33.6</c:v>
                </c:pt>
                <c:pt idx="45">
                  <c:v>33.700000000000003</c:v>
                </c:pt>
                <c:pt idx="46">
                  <c:v>32.700000000000003</c:v>
                </c:pt>
                <c:pt idx="47">
                  <c:v>32.5</c:v>
                </c:pt>
                <c:pt idx="48">
                  <c:v>32.299999999999997</c:v>
                </c:pt>
                <c:pt idx="49">
                  <c:v>32.299999999999997</c:v>
                </c:pt>
                <c:pt idx="50">
                  <c:v>32.700000000000003</c:v>
                </c:pt>
                <c:pt idx="51">
                  <c:v>32.299999999999997</c:v>
                </c:pt>
                <c:pt idx="52">
                  <c:v>33.6</c:v>
                </c:pt>
                <c:pt idx="53">
                  <c:v>33.9</c:v>
                </c:pt>
                <c:pt idx="54">
                  <c:v>32.4</c:v>
                </c:pt>
                <c:pt idx="55">
                  <c:v>33.9</c:v>
                </c:pt>
                <c:pt idx="56">
                  <c:v>33</c:v>
                </c:pt>
                <c:pt idx="57">
                  <c:v>31.7</c:v>
                </c:pt>
                <c:pt idx="58">
                  <c:v>32.4</c:v>
                </c:pt>
                <c:pt idx="59">
                  <c:v>32.9</c:v>
                </c:pt>
                <c:pt idx="60">
                  <c:v>32.1</c:v>
                </c:pt>
                <c:pt idx="61">
                  <c:v>33.4</c:v>
                </c:pt>
                <c:pt idx="62">
                  <c:v>31.4</c:v>
                </c:pt>
                <c:pt idx="63">
                  <c:v>31.5</c:v>
                </c:pt>
                <c:pt idx="64">
                  <c:v>33.700000000000003</c:v>
                </c:pt>
                <c:pt idx="65">
                  <c:v>31.7</c:v>
                </c:pt>
                <c:pt idx="66">
                  <c:v>33.1</c:v>
                </c:pt>
                <c:pt idx="67">
                  <c:v>33.6</c:v>
                </c:pt>
                <c:pt idx="68">
                  <c:v>33.700000000000003</c:v>
                </c:pt>
                <c:pt idx="69">
                  <c:v>33.299999999999997</c:v>
                </c:pt>
                <c:pt idx="70">
                  <c:v>32.799999999999997</c:v>
                </c:pt>
                <c:pt idx="71">
                  <c:v>35.5</c:v>
                </c:pt>
                <c:pt idx="72">
                  <c:v>34.299999999999997</c:v>
                </c:pt>
                <c:pt idx="73">
                  <c:v>33.5</c:v>
                </c:pt>
                <c:pt idx="74">
                  <c:v>33.200000000000003</c:v>
                </c:pt>
                <c:pt idx="75">
                  <c:v>35.4</c:v>
                </c:pt>
                <c:pt idx="76">
                  <c:v>34</c:v>
                </c:pt>
                <c:pt idx="77">
                  <c:v>32.799999999999997</c:v>
                </c:pt>
                <c:pt idx="78">
                  <c:v>34.200000000000003</c:v>
                </c:pt>
                <c:pt idx="79">
                  <c:v>32.4</c:v>
                </c:pt>
                <c:pt idx="80">
                  <c:v>32.9</c:v>
                </c:pt>
                <c:pt idx="81">
                  <c:v>33.1</c:v>
                </c:pt>
                <c:pt idx="82">
                  <c:v>34</c:v>
                </c:pt>
                <c:pt idx="83">
                  <c:v>32.5</c:v>
                </c:pt>
                <c:pt idx="84">
                  <c:v>32.200000000000003</c:v>
                </c:pt>
                <c:pt idx="85">
                  <c:v>30.6</c:v>
                </c:pt>
                <c:pt idx="86">
                  <c:v>33</c:v>
                </c:pt>
                <c:pt idx="87">
                  <c:v>35.299999999999997</c:v>
                </c:pt>
                <c:pt idx="88">
                  <c:v>33.299999999999997</c:v>
                </c:pt>
                <c:pt idx="89">
                  <c:v>33.200000000000003</c:v>
                </c:pt>
                <c:pt idx="90">
                  <c:v>33.700000000000003</c:v>
                </c:pt>
                <c:pt idx="91">
                  <c:v>34.200000000000003</c:v>
                </c:pt>
                <c:pt idx="92">
                  <c:v>33.1</c:v>
                </c:pt>
                <c:pt idx="93">
                  <c:v>33.200000000000003</c:v>
                </c:pt>
                <c:pt idx="94">
                  <c:v>31.7</c:v>
                </c:pt>
                <c:pt idx="95">
                  <c:v>31.4</c:v>
                </c:pt>
                <c:pt idx="96">
                  <c:v>31.4</c:v>
                </c:pt>
                <c:pt idx="97">
                  <c:v>31.6</c:v>
                </c:pt>
                <c:pt idx="98">
                  <c:v>33.200000000000003</c:v>
                </c:pt>
                <c:pt idx="99">
                  <c:v>33.299999999999997</c:v>
                </c:pt>
                <c:pt idx="100">
                  <c:v>33.5</c:v>
                </c:pt>
                <c:pt idx="101">
                  <c:v>31.7</c:v>
                </c:pt>
                <c:pt idx="102">
                  <c:v>32.4</c:v>
                </c:pt>
                <c:pt idx="103">
                  <c:v>31.7</c:v>
                </c:pt>
                <c:pt idx="104">
                  <c:v>31.8</c:v>
                </c:pt>
                <c:pt idx="105">
                  <c:v>31.4</c:v>
                </c:pt>
                <c:pt idx="106">
                  <c:v>32.4</c:v>
                </c:pt>
                <c:pt idx="107">
                  <c:v>31.7</c:v>
                </c:pt>
                <c:pt idx="108">
                  <c:v>33.1</c:v>
                </c:pt>
                <c:pt idx="109">
                  <c:v>31.6</c:v>
                </c:pt>
                <c:pt idx="110">
                  <c:v>31</c:v>
                </c:pt>
                <c:pt idx="111">
                  <c:v>32.700000000000003</c:v>
                </c:pt>
                <c:pt idx="112">
                  <c:v>31.6</c:v>
                </c:pt>
                <c:pt idx="113">
                  <c:v>32.299999999999997</c:v>
                </c:pt>
                <c:pt idx="114">
                  <c:v>33.200000000000003</c:v>
                </c:pt>
                <c:pt idx="115">
                  <c:v>33.5</c:v>
                </c:pt>
                <c:pt idx="116">
                  <c:v>31.8</c:v>
                </c:pt>
                <c:pt idx="117">
                  <c:v>32.4</c:v>
                </c:pt>
                <c:pt idx="118">
                  <c:v>33.9</c:v>
                </c:pt>
                <c:pt idx="119">
                  <c:v>33.700000000000003</c:v>
                </c:pt>
                <c:pt idx="120">
                  <c:v>32.9</c:v>
                </c:pt>
                <c:pt idx="121">
                  <c:v>32.6</c:v>
                </c:pt>
                <c:pt idx="122">
                  <c:v>35.1</c:v>
                </c:pt>
                <c:pt idx="123">
                  <c:v>34.799999999999997</c:v>
                </c:pt>
                <c:pt idx="124">
                  <c:v>32.6</c:v>
                </c:pt>
                <c:pt idx="125">
                  <c:v>32.799999999999997</c:v>
                </c:pt>
                <c:pt idx="126">
                  <c:v>31.6</c:v>
                </c:pt>
                <c:pt idx="127">
                  <c:v>31.8</c:v>
                </c:pt>
                <c:pt idx="128">
                  <c:v>33</c:v>
                </c:pt>
                <c:pt idx="129">
                  <c:v>34.700000000000003</c:v>
                </c:pt>
                <c:pt idx="130">
                  <c:v>32.5</c:v>
                </c:pt>
                <c:pt idx="131">
                  <c:v>32.200000000000003</c:v>
                </c:pt>
                <c:pt idx="132">
                  <c:v>29.3</c:v>
                </c:pt>
                <c:pt idx="133">
                  <c:v>32.9</c:v>
                </c:pt>
                <c:pt idx="134">
                  <c:v>33.4</c:v>
                </c:pt>
                <c:pt idx="135">
                  <c:v>33.1</c:v>
                </c:pt>
                <c:pt idx="136">
                  <c:v>32.799999999999997</c:v>
                </c:pt>
                <c:pt idx="137">
                  <c:v>33.1</c:v>
                </c:pt>
                <c:pt idx="138">
                  <c:v>34.299999999999997</c:v>
                </c:pt>
                <c:pt idx="139">
                  <c:v>32.200000000000003</c:v>
                </c:pt>
                <c:pt idx="140">
                  <c:v>33.1</c:v>
                </c:pt>
                <c:pt idx="141">
                  <c:v>34.5</c:v>
                </c:pt>
                <c:pt idx="142">
                  <c:v>34.299999999999997</c:v>
                </c:pt>
                <c:pt idx="143">
                  <c:v>33.299999999999997</c:v>
                </c:pt>
                <c:pt idx="144">
                  <c:v>35</c:v>
                </c:pt>
                <c:pt idx="145">
                  <c:v>34.5</c:v>
                </c:pt>
                <c:pt idx="146">
                  <c:v>34.700000000000003</c:v>
                </c:pt>
                <c:pt idx="147">
                  <c:v>35.1</c:v>
                </c:pt>
                <c:pt idx="148">
                  <c:v>33</c:v>
                </c:pt>
                <c:pt idx="149">
                  <c:v>34.9</c:v>
                </c:pt>
                <c:pt idx="150">
                  <c:v>33.6</c:v>
                </c:pt>
                <c:pt idx="151">
                  <c:v>34.4</c:v>
                </c:pt>
                <c:pt idx="152">
                  <c:v>34.799999999999997</c:v>
                </c:pt>
                <c:pt idx="153">
                  <c:v>35.5</c:v>
                </c:pt>
                <c:pt idx="154">
                  <c:v>35.1</c:v>
                </c:pt>
                <c:pt idx="155">
                  <c:v>34.9</c:v>
                </c:pt>
                <c:pt idx="156">
                  <c:v>33.700000000000003</c:v>
                </c:pt>
                <c:pt idx="157">
                  <c:v>35.1</c:v>
                </c:pt>
                <c:pt idx="158">
                  <c:v>35.200000000000003</c:v>
                </c:pt>
                <c:pt idx="159">
                  <c:v>33.4</c:v>
                </c:pt>
                <c:pt idx="160">
                  <c:v>35.200000000000003</c:v>
                </c:pt>
                <c:pt idx="161">
                  <c:v>36.1</c:v>
                </c:pt>
                <c:pt idx="162">
                  <c:v>35.5</c:v>
                </c:pt>
                <c:pt idx="163">
                  <c:v>34.700000000000003</c:v>
                </c:pt>
                <c:pt idx="164">
                  <c:v>33.799999999999997</c:v>
                </c:pt>
                <c:pt idx="165">
                  <c:v>34.9</c:v>
                </c:pt>
                <c:pt idx="166">
                  <c:v>36.1</c:v>
                </c:pt>
                <c:pt idx="167">
                  <c:v>35.5</c:v>
                </c:pt>
                <c:pt idx="168">
                  <c:v>34.700000000000003</c:v>
                </c:pt>
                <c:pt idx="169">
                  <c:v>37.200000000000003</c:v>
                </c:pt>
                <c:pt idx="170">
                  <c:v>36</c:v>
                </c:pt>
                <c:pt idx="171">
                  <c:v>35</c:v>
                </c:pt>
                <c:pt idx="172">
                  <c:v>34.4</c:v>
                </c:pt>
                <c:pt idx="173">
                  <c:v>33.4</c:v>
                </c:pt>
                <c:pt idx="174">
                  <c:v>34.5</c:v>
                </c:pt>
                <c:pt idx="175">
                  <c:v>33.6</c:v>
                </c:pt>
                <c:pt idx="176">
                  <c:v>36</c:v>
                </c:pt>
                <c:pt idx="177">
                  <c:v>35.6</c:v>
                </c:pt>
                <c:pt idx="178">
                  <c:v>34.299999999999997</c:v>
                </c:pt>
                <c:pt idx="179">
                  <c:v>31.8</c:v>
                </c:pt>
                <c:pt idx="180">
                  <c:v>34.5</c:v>
                </c:pt>
                <c:pt idx="181">
                  <c:v>35.1</c:v>
                </c:pt>
                <c:pt idx="182">
                  <c:v>34.4</c:v>
                </c:pt>
                <c:pt idx="183">
                  <c:v>35</c:v>
                </c:pt>
                <c:pt idx="184">
                  <c:v>35.1</c:v>
                </c:pt>
                <c:pt idx="185">
                  <c:v>34.9</c:v>
                </c:pt>
                <c:pt idx="186">
                  <c:v>34.6</c:v>
                </c:pt>
                <c:pt idx="187">
                  <c:v>34.4</c:v>
                </c:pt>
                <c:pt idx="188">
                  <c:v>32.700000000000003</c:v>
                </c:pt>
                <c:pt idx="189">
                  <c:v>32.200000000000003</c:v>
                </c:pt>
                <c:pt idx="190">
                  <c:v>33.5</c:v>
                </c:pt>
                <c:pt idx="191">
                  <c:v>33.1</c:v>
                </c:pt>
                <c:pt idx="192">
                  <c:v>34.299999999999997</c:v>
                </c:pt>
                <c:pt idx="193">
                  <c:v>34.4</c:v>
                </c:pt>
                <c:pt idx="194">
                  <c:v>34</c:v>
                </c:pt>
                <c:pt idx="195">
                  <c:v>33.299999999999997</c:v>
                </c:pt>
                <c:pt idx="196">
                  <c:v>34.4</c:v>
                </c:pt>
                <c:pt idx="197">
                  <c:v>33</c:v>
                </c:pt>
                <c:pt idx="198">
                  <c:v>33.700000000000003</c:v>
                </c:pt>
                <c:pt idx="199">
                  <c:v>34.200000000000003</c:v>
                </c:pt>
                <c:pt idx="200">
                  <c:v>35.200000000000003</c:v>
                </c:pt>
                <c:pt idx="201">
                  <c:v>34</c:v>
                </c:pt>
                <c:pt idx="202">
                  <c:v>33.5</c:v>
                </c:pt>
                <c:pt idx="203">
                  <c:v>33.5</c:v>
                </c:pt>
                <c:pt idx="204">
                  <c:v>33.9</c:v>
                </c:pt>
                <c:pt idx="205">
                  <c:v>34.200000000000003</c:v>
                </c:pt>
                <c:pt idx="206">
                  <c:v>33.299999999999997</c:v>
                </c:pt>
                <c:pt idx="207">
                  <c:v>34.6</c:v>
                </c:pt>
                <c:pt idx="208">
                  <c:v>34.9</c:v>
                </c:pt>
                <c:pt idx="209">
                  <c:v>34.700000000000003</c:v>
                </c:pt>
                <c:pt idx="210">
                  <c:v>33.4</c:v>
                </c:pt>
                <c:pt idx="211">
                  <c:v>34</c:v>
                </c:pt>
                <c:pt idx="212">
                  <c:v>34.5</c:v>
                </c:pt>
                <c:pt idx="213">
                  <c:v>35.5</c:v>
                </c:pt>
                <c:pt idx="214">
                  <c:v>35</c:v>
                </c:pt>
                <c:pt idx="215">
                  <c:v>34.5</c:v>
                </c:pt>
                <c:pt idx="216">
                  <c:v>36.700000000000003</c:v>
                </c:pt>
                <c:pt idx="217">
                  <c:v>34.700000000000003</c:v>
                </c:pt>
                <c:pt idx="218">
                  <c:v>33.700000000000003</c:v>
                </c:pt>
                <c:pt idx="219">
                  <c:v>34.5</c:v>
                </c:pt>
                <c:pt idx="220">
                  <c:v>32.299999999999997</c:v>
                </c:pt>
                <c:pt idx="221">
                  <c:v>33.299999999999997</c:v>
                </c:pt>
                <c:pt idx="222">
                  <c:v>35.299999999999997</c:v>
                </c:pt>
                <c:pt idx="223">
                  <c:v>35.299999999999997</c:v>
                </c:pt>
                <c:pt idx="224">
                  <c:v>34.200000000000003</c:v>
                </c:pt>
                <c:pt idx="225">
                  <c:v>33.299999999999997</c:v>
                </c:pt>
                <c:pt idx="226">
                  <c:v>30.2</c:v>
                </c:pt>
                <c:pt idx="227">
                  <c:v>34.299999999999997</c:v>
                </c:pt>
                <c:pt idx="228">
                  <c:v>36.4</c:v>
                </c:pt>
                <c:pt idx="229">
                  <c:v>35.4</c:v>
                </c:pt>
                <c:pt idx="230">
                  <c:v>33.200000000000003</c:v>
                </c:pt>
                <c:pt idx="231">
                  <c:v>34.1</c:v>
                </c:pt>
                <c:pt idx="232">
                  <c:v>34.700000000000003</c:v>
                </c:pt>
                <c:pt idx="233">
                  <c:v>34.700000000000003</c:v>
                </c:pt>
                <c:pt idx="234">
                  <c:v>34.200000000000003</c:v>
                </c:pt>
                <c:pt idx="235">
                  <c:v>32.4</c:v>
                </c:pt>
                <c:pt idx="236">
                  <c:v>33.5</c:v>
                </c:pt>
                <c:pt idx="237">
                  <c:v>34</c:v>
                </c:pt>
                <c:pt idx="238">
                  <c:v>32.5</c:v>
                </c:pt>
                <c:pt idx="239">
                  <c:v>33</c:v>
                </c:pt>
                <c:pt idx="240">
                  <c:v>33.700000000000003</c:v>
                </c:pt>
                <c:pt idx="241">
                  <c:v>33.799999999999997</c:v>
                </c:pt>
                <c:pt idx="242">
                  <c:v>32.1</c:v>
                </c:pt>
                <c:pt idx="243">
                  <c:v>33.6</c:v>
                </c:pt>
                <c:pt idx="244">
                  <c:v>32.299999999999997</c:v>
                </c:pt>
                <c:pt idx="245">
                  <c:v>33.200000000000003</c:v>
                </c:pt>
                <c:pt idx="246">
                  <c:v>33.5</c:v>
                </c:pt>
                <c:pt idx="247">
                  <c:v>34.4</c:v>
                </c:pt>
                <c:pt idx="248">
                  <c:v>33.4</c:v>
                </c:pt>
                <c:pt idx="249">
                  <c:v>34.200000000000003</c:v>
                </c:pt>
                <c:pt idx="250">
                  <c:v>33.1</c:v>
                </c:pt>
                <c:pt idx="251">
                  <c:v>33.6</c:v>
                </c:pt>
                <c:pt idx="252">
                  <c:v>32.9</c:v>
                </c:pt>
                <c:pt idx="253">
                  <c:v>33.200000000000003</c:v>
                </c:pt>
                <c:pt idx="254">
                  <c:v>34</c:v>
                </c:pt>
                <c:pt idx="255">
                  <c:v>34.799999999999997</c:v>
                </c:pt>
                <c:pt idx="256">
                  <c:v>34.299999999999997</c:v>
                </c:pt>
                <c:pt idx="257">
                  <c:v>33.200000000000003</c:v>
                </c:pt>
                <c:pt idx="258">
                  <c:v>33.4</c:v>
                </c:pt>
                <c:pt idx="259">
                  <c:v>33.799999999999997</c:v>
                </c:pt>
                <c:pt idx="260">
                  <c:v>34.799999999999997</c:v>
                </c:pt>
                <c:pt idx="261">
                  <c:v>34.1</c:v>
                </c:pt>
                <c:pt idx="262">
                  <c:v>33.700000000000003</c:v>
                </c:pt>
                <c:pt idx="263">
                  <c:v>35.5</c:v>
                </c:pt>
                <c:pt idx="264">
                  <c:v>35.200000000000003</c:v>
                </c:pt>
                <c:pt idx="265">
                  <c:v>33.700000000000003</c:v>
                </c:pt>
                <c:pt idx="266">
                  <c:v>33.5</c:v>
                </c:pt>
                <c:pt idx="267">
                  <c:v>32.4</c:v>
                </c:pt>
                <c:pt idx="268">
                  <c:v>33.4</c:v>
                </c:pt>
                <c:pt idx="269">
                  <c:v>34.4</c:v>
                </c:pt>
                <c:pt idx="270">
                  <c:v>35.799999999999997</c:v>
                </c:pt>
                <c:pt idx="271">
                  <c:v>33.5</c:v>
                </c:pt>
                <c:pt idx="272">
                  <c:v>33.200000000000003</c:v>
                </c:pt>
                <c:pt idx="273">
                  <c:v>31</c:v>
                </c:pt>
                <c:pt idx="274">
                  <c:v>34.1</c:v>
                </c:pt>
                <c:pt idx="275">
                  <c:v>34.5</c:v>
                </c:pt>
                <c:pt idx="276">
                  <c:v>34.5</c:v>
                </c:pt>
                <c:pt idx="277">
                  <c:v>34</c:v>
                </c:pt>
                <c:pt idx="278">
                  <c:v>34.299999999999997</c:v>
                </c:pt>
                <c:pt idx="279">
                  <c:v>34.5</c:v>
                </c:pt>
                <c:pt idx="280">
                  <c:v>34.1</c:v>
                </c:pt>
                <c:pt idx="281">
                  <c:v>33.9</c:v>
                </c:pt>
              </c:numCache>
            </c:numRef>
          </c:xVal>
          <c:yVal>
            <c:numRef>
              <c:f>インセンティブ実施率!$T$2:$T$283</c:f>
              <c:numCache>
                <c:formatCode>#,##0.00_);[Red]\(#,##0.00\)</c:formatCode>
                <c:ptCount val="282"/>
                <c:pt idx="0">
                  <c:v>63191.903068920721</c:v>
                </c:pt>
                <c:pt idx="1">
                  <c:v>50845.923199383411</c:v>
                </c:pt>
                <c:pt idx="2">
                  <c:v>50928.679134681646</c:v>
                </c:pt>
                <c:pt idx="3">
                  <c:v>51405.359141418579</c:v>
                </c:pt>
                <c:pt idx="4">
                  <c:v>59700.083611445218</c:v>
                </c:pt>
                <c:pt idx="5">
                  <c:v>53041.724981840809</c:v>
                </c:pt>
                <c:pt idx="6">
                  <c:v>50487.212900750892</c:v>
                </c:pt>
                <c:pt idx="7">
                  <c:v>46261.680976787567</c:v>
                </c:pt>
                <c:pt idx="8">
                  <c:v>46438.623140139905</c:v>
                </c:pt>
                <c:pt idx="9">
                  <c:v>47982.377641172498</c:v>
                </c:pt>
                <c:pt idx="10">
                  <c:v>46132.467781731641</c:v>
                </c:pt>
                <c:pt idx="11">
                  <c:v>47850.993305556854</c:v>
                </c:pt>
                <c:pt idx="12">
                  <c:v>44900.862841260787</c:v>
                </c:pt>
                <c:pt idx="13">
                  <c:v>47412.128186673639</c:v>
                </c:pt>
                <c:pt idx="14">
                  <c:v>46521.551824080649</c:v>
                </c:pt>
                <c:pt idx="15">
                  <c:v>49060.545540172025</c:v>
                </c:pt>
                <c:pt idx="16">
                  <c:v>54866.361039295109</c:v>
                </c:pt>
                <c:pt idx="17">
                  <c:v>55395.53715846932</c:v>
                </c:pt>
                <c:pt idx="18">
                  <c:v>49099.93436184802</c:v>
                </c:pt>
                <c:pt idx="19">
                  <c:v>48785.337860332605</c:v>
                </c:pt>
                <c:pt idx="20">
                  <c:v>46436.48803050899</c:v>
                </c:pt>
                <c:pt idx="21">
                  <c:v>44989.784615284654</c:v>
                </c:pt>
                <c:pt idx="22">
                  <c:v>42586.584550755768</c:v>
                </c:pt>
                <c:pt idx="23">
                  <c:v>46640.340854376613</c:v>
                </c:pt>
                <c:pt idx="24">
                  <c:v>49425.871212442617</c:v>
                </c:pt>
                <c:pt idx="25">
                  <c:v>50115.685966766992</c:v>
                </c:pt>
                <c:pt idx="26">
                  <c:v>48694.681633515902</c:v>
                </c:pt>
                <c:pt idx="27">
                  <c:v>50298.803847895295</c:v>
                </c:pt>
                <c:pt idx="28">
                  <c:v>53063.738410397025</c:v>
                </c:pt>
                <c:pt idx="29">
                  <c:v>48924.955562066607</c:v>
                </c:pt>
                <c:pt idx="30">
                  <c:v>56662.857203377403</c:v>
                </c:pt>
                <c:pt idx="31">
                  <c:v>59845.05695254256</c:v>
                </c:pt>
                <c:pt idx="32">
                  <c:v>51612.865751962978</c:v>
                </c:pt>
                <c:pt idx="33">
                  <c:v>49698.70250934759</c:v>
                </c:pt>
                <c:pt idx="34">
                  <c:v>57346.27060817802</c:v>
                </c:pt>
                <c:pt idx="35">
                  <c:v>54231.906166092034</c:v>
                </c:pt>
                <c:pt idx="36">
                  <c:v>55053.879066266942</c:v>
                </c:pt>
                <c:pt idx="37">
                  <c:v>52066.760110568903</c:v>
                </c:pt>
                <c:pt idx="38">
                  <c:v>59156.064588592999</c:v>
                </c:pt>
                <c:pt idx="39">
                  <c:v>56372.932196361311</c:v>
                </c:pt>
                <c:pt idx="40">
                  <c:v>65172.195631485658</c:v>
                </c:pt>
                <c:pt idx="41">
                  <c:v>60119.89478741942</c:v>
                </c:pt>
                <c:pt idx="42">
                  <c:v>58106.871129666593</c:v>
                </c:pt>
                <c:pt idx="43">
                  <c:v>58501.735154509726</c:v>
                </c:pt>
                <c:pt idx="44">
                  <c:v>53750.178854206293</c:v>
                </c:pt>
                <c:pt idx="45">
                  <c:v>58391.461767594126</c:v>
                </c:pt>
                <c:pt idx="46">
                  <c:v>54939.673939333639</c:v>
                </c:pt>
                <c:pt idx="47">
                  <c:v>64231.920968520382</c:v>
                </c:pt>
                <c:pt idx="48">
                  <c:v>51907.511353973139</c:v>
                </c:pt>
                <c:pt idx="49">
                  <c:v>51936.55124564968</c:v>
                </c:pt>
                <c:pt idx="50">
                  <c:v>52199.613179616943</c:v>
                </c:pt>
                <c:pt idx="51">
                  <c:v>59286.718296229519</c:v>
                </c:pt>
                <c:pt idx="52">
                  <c:v>55107.192711629767</c:v>
                </c:pt>
                <c:pt idx="53">
                  <c:v>51417.28223125395</c:v>
                </c:pt>
                <c:pt idx="54">
                  <c:v>47356.51550556541</c:v>
                </c:pt>
                <c:pt idx="55">
                  <c:v>48147.117050870511</c:v>
                </c:pt>
                <c:pt idx="56">
                  <c:v>47350.856386380197</c:v>
                </c:pt>
                <c:pt idx="57">
                  <c:v>46754.659043918808</c:v>
                </c:pt>
                <c:pt idx="58">
                  <c:v>49078.396755525544</c:v>
                </c:pt>
                <c:pt idx="59">
                  <c:v>44383.599458815122</c:v>
                </c:pt>
                <c:pt idx="60">
                  <c:v>48944.451119863683</c:v>
                </c:pt>
                <c:pt idx="61">
                  <c:v>46710.68122793558</c:v>
                </c:pt>
                <c:pt idx="62">
                  <c:v>50848.021827489247</c:v>
                </c:pt>
                <c:pt idx="63">
                  <c:v>56770.824478508199</c:v>
                </c:pt>
                <c:pt idx="64">
                  <c:v>56532.153714969609</c:v>
                </c:pt>
                <c:pt idx="65">
                  <c:v>50278.722371872653</c:v>
                </c:pt>
                <c:pt idx="66">
                  <c:v>50498.567503371989</c:v>
                </c:pt>
                <c:pt idx="67">
                  <c:v>46394.472353543846</c:v>
                </c:pt>
                <c:pt idx="68">
                  <c:v>46073.644275763159</c:v>
                </c:pt>
                <c:pt idx="69">
                  <c:v>43580.181311815591</c:v>
                </c:pt>
                <c:pt idx="70">
                  <c:v>47775.478880979674</c:v>
                </c:pt>
                <c:pt idx="71">
                  <c:v>50106.950504308516</c:v>
                </c:pt>
                <c:pt idx="72">
                  <c:v>51220.931945630015</c:v>
                </c:pt>
                <c:pt idx="73">
                  <c:v>50149.482416518411</c:v>
                </c:pt>
                <c:pt idx="74">
                  <c:v>51811.322214768348</c:v>
                </c:pt>
                <c:pt idx="75">
                  <c:v>53094.30890635206</c:v>
                </c:pt>
                <c:pt idx="76">
                  <c:v>50408.749821216632</c:v>
                </c:pt>
                <c:pt idx="77">
                  <c:v>57965.232317014234</c:v>
                </c:pt>
                <c:pt idx="78">
                  <c:v>60669.162024720303</c:v>
                </c:pt>
                <c:pt idx="79">
                  <c:v>53431.24492075642</c:v>
                </c:pt>
                <c:pt idx="80">
                  <c:v>50330.01990027952</c:v>
                </c:pt>
                <c:pt idx="81">
                  <c:v>58162.827887145926</c:v>
                </c:pt>
                <c:pt idx="82">
                  <c:v>55260.213205938388</c:v>
                </c:pt>
                <c:pt idx="83">
                  <c:v>55745.212848737719</c:v>
                </c:pt>
                <c:pt idx="84">
                  <c:v>54164.669422588508</c:v>
                </c:pt>
                <c:pt idx="85">
                  <c:v>59134.228073420221</c:v>
                </c:pt>
                <c:pt idx="86">
                  <c:v>56705.60689796981</c:v>
                </c:pt>
                <c:pt idx="87">
                  <c:v>65523.854883335633</c:v>
                </c:pt>
                <c:pt idx="88">
                  <c:v>62997.988322387682</c:v>
                </c:pt>
                <c:pt idx="89">
                  <c:v>59150.65736875718</c:v>
                </c:pt>
                <c:pt idx="90">
                  <c:v>61118.23091227909</c:v>
                </c:pt>
                <c:pt idx="91">
                  <c:v>54861.681053030334</c:v>
                </c:pt>
                <c:pt idx="92">
                  <c:v>60651.685626103179</c:v>
                </c:pt>
                <c:pt idx="93">
                  <c:v>55494.30956992336</c:v>
                </c:pt>
                <c:pt idx="94">
                  <c:v>61643.307363378975</c:v>
                </c:pt>
                <c:pt idx="95">
                  <c:v>51181.771704412997</c:v>
                </c:pt>
                <c:pt idx="96">
                  <c:v>50621.28285082303</c:v>
                </c:pt>
                <c:pt idx="97">
                  <c:v>52522.485942057632</c:v>
                </c:pt>
                <c:pt idx="98">
                  <c:v>58657.578229827282</c:v>
                </c:pt>
                <c:pt idx="99">
                  <c:v>52221.9256817961</c:v>
                </c:pt>
                <c:pt idx="100">
                  <c:v>48859.130044563746</c:v>
                </c:pt>
                <c:pt idx="101">
                  <c:v>45942.307788423757</c:v>
                </c:pt>
                <c:pt idx="102">
                  <c:v>47247.603953563121</c:v>
                </c:pt>
                <c:pt idx="103">
                  <c:v>46952.555264039154</c:v>
                </c:pt>
                <c:pt idx="104">
                  <c:v>45148.718666916386</c:v>
                </c:pt>
                <c:pt idx="105">
                  <c:v>47668.477274631165</c:v>
                </c:pt>
                <c:pt idx="106">
                  <c:v>42935.762396210812</c:v>
                </c:pt>
                <c:pt idx="107">
                  <c:v>45926.881641184576</c:v>
                </c:pt>
                <c:pt idx="108">
                  <c:v>45542.483623141765</c:v>
                </c:pt>
                <c:pt idx="109">
                  <c:v>49053.366119814971</c:v>
                </c:pt>
                <c:pt idx="110">
                  <c:v>52104.651691366453</c:v>
                </c:pt>
                <c:pt idx="111">
                  <c:v>55832.263135659297</c:v>
                </c:pt>
                <c:pt idx="112">
                  <c:v>47521.60040854886</c:v>
                </c:pt>
                <c:pt idx="113">
                  <c:v>48570.126532798778</c:v>
                </c:pt>
                <c:pt idx="114">
                  <c:v>45834.353308520025</c:v>
                </c:pt>
                <c:pt idx="115">
                  <c:v>44638.675023824391</c:v>
                </c:pt>
                <c:pt idx="116">
                  <c:v>42426.606560380867</c:v>
                </c:pt>
                <c:pt idx="117">
                  <c:v>46323.364260856601</c:v>
                </c:pt>
                <c:pt idx="118">
                  <c:v>48060.511264948094</c:v>
                </c:pt>
                <c:pt idx="119">
                  <c:v>47953.696514170064</c:v>
                </c:pt>
                <c:pt idx="120">
                  <c:v>48217.717955893262</c:v>
                </c:pt>
                <c:pt idx="121">
                  <c:v>49006.376457590675</c:v>
                </c:pt>
                <c:pt idx="122">
                  <c:v>49805.508425370019</c:v>
                </c:pt>
                <c:pt idx="123">
                  <c:v>49755.416612936533</c:v>
                </c:pt>
                <c:pt idx="124">
                  <c:v>56601.133094901277</c:v>
                </c:pt>
                <c:pt idx="125">
                  <c:v>59008.712283905312</c:v>
                </c:pt>
                <c:pt idx="126">
                  <c:v>50894.708669496322</c:v>
                </c:pt>
                <c:pt idx="127">
                  <c:v>49001.011043388971</c:v>
                </c:pt>
                <c:pt idx="128">
                  <c:v>55300.876936757995</c:v>
                </c:pt>
                <c:pt idx="129">
                  <c:v>55683.339250083249</c:v>
                </c:pt>
                <c:pt idx="130">
                  <c:v>53521.643814236813</c:v>
                </c:pt>
                <c:pt idx="131">
                  <c:v>52279.651454118692</c:v>
                </c:pt>
                <c:pt idx="132">
                  <c:v>59008.749844851678</c:v>
                </c:pt>
                <c:pt idx="133">
                  <c:v>54698.54821805247</c:v>
                </c:pt>
                <c:pt idx="134">
                  <c:v>64854.414540184189</c:v>
                </c:pt>
                <c:pt idx="135">
                  <c:v>60564.243681918066</c:v>
                </c:pt>
                <c:pt idx="136">
                  <c:v>59180.942671463177</c:v>
                </c:pt>
                <c:pt idx="137">
                  <c:v>61810.49337633713</c:v>
                </c:pt>
                <c:pt idx="138">
                  <c:v>53745.815413169214</c:v>
                </c:pt>
                <c:pt idx="139">
                  <c:v>59591.635566128309</c:v>
                </c:pt>
                <c:pt idx="140">
                  <c:v>54478.2043806027</c:v>
                </c:pt>
                <c:pt idx="141">
                  <c:v>65002.901529937059</c:v>
                </c:pt>
                <c:pt idx="142">
                  <c:v>54303.058152079982</c:v>
                </c:pt>
                <c:pt idx="143">
                  <c:v>53509.466355470948</c:v>
                </c:pt>
                <c:pt idx="144">
                  <c:v>54079.38506041823</c:v>
                </c:pt>
                <c:pt idx="145">
                  <c:v>61540.136618883385</c:v>
                </c:pt>
                <c:pt idx="146">
                  <c:v>55527.327856639582</c:v>
                </c:pt>
                <c:pt idx="147">
                  <c:v>51221.274603723272</c:v>
                </c:pt>
                <c:pt idx="148">
                  <c:v>48634.675476510281</c:v>
                </c:pt>
                <c:pt idx="149">
                  <c:v>50674.170865629741</c:v>
                </c:pt>
                <c:pt idx="150">
                  <c:v>49899.483084763604</c:v>
                </c:pt>
                <c:pt idx="151">
                  <c:v>48596.641724822461</c:v>
                </c:pt>
                <c:pt idx="152">
                  <c:v>50975.71596462273</c:v>
                </c:pt>
                <c:pt idx="153">
                  <c:v>46661.567826338636</c:v>
                </c:pt>
                <c:pt idx="154">
                  <c:v>50771.297313446899</c:v>
                </c:pt>
                <c:pt idx="155">
                  <c:v>47157.68160351328</c:v>
                </c:pt>
                <c:pt idx="156">
                  <c:v>50975.347158424593</c:v>
                </c:pt>
                <c:pt idx="157">
                  <c:v>54095.017278716536</c:v>
                </c:pt>
                <c:pt idx="158">
                  <c:v>58282.921336337815</c:v>
                </c:pt>
                <c:pt idx="159">
                  <c:v>51897.327384510631</c:v>
                </c:pt>
                <c:pt idx="160">
                  <c:v>50584.697535780062</c:v>
                </c:pt>
                <c:pt idx="161">
                  <c:v>48953.428848538097</c:v>
                </c:pt>
                <c:pt idx="162">
                  <c:v>47702.525798044873</c:v>
                </c:pt>
                <c:pt idx="163">
                  <c:v>45083.558970841834</c:v>
                </c:pt>
                <c:pt idx="164">
                  <c:v>49115.578278615896</c:v>
                </c:pt>
                <c:pt idx="165">
                  <c:v>50331.291104230317</c:v>
                </c:pt>
                <c:pt idx="166">
                  <c:v>52378.915450630528</c:v>
                </c:pt>
                <c:pt idx="167">
                  <c:v>51047.620375138678</c:v>
                </c:pt>
                <c:pt idx="168">
                  <c:v>52493.758511375978</c:v>
                </c:pt>
                <c:pt idx="169">
                  <c:v>54848.362851332779</c:v>
                </c:pt>
                <c:pt idx="170">
                  <c:v>51894.819520822442</c:v>
                </c:pt>
                <c:pt idx="171">
                  <c:v>59427.557812803985</c:v>
                </c:pt>
                <c:pt idx="172">
                  <c:v>63645.137013914005</c:v>
                </c:pt>
                <c:pt idx="173">
                  <c:v>53314.767682212754</c:v>
                </c:pt>
                <c:pt idx="174">
                  <c:v>51160.29588910185</c:v>
                </c:pt>
                <c:pt idx="175">
                  <c:v>56883.818909138601</c:v>
                </c:pt>
                <c:pt idx="176">
                  <c:v>57053.677137662235</c:v>
                </c:pt>
                <c:pt idx="177">
                  <c:v>56080.241768454594</c:v>
                </c:pt>
                <c:pt idx="178">
                  <c:v>54929.977577083882</c:v>
                </c:pt>
                <c:pt idx="179">
                  <c:v>61708.817923009439</c:v>
                </c:pt>
                <c:pt idx="180">
                  <c:v>57875.220565519659</c:v>
                </c:pt>
                <c:pt idx="181">
                  <c:v>64412.252086151238</c:v>
                </c:pt>
                <c:pt idx="182">
                  <c:v>62859.107869699066</c:v>
                </c:pt>
                <c:pt idx="183">
                  <c:v>61006.34426239723</c:v>
                </c:pt>
                <c:pt idx="184">
                  <c:v>63390.012128123177</c:v>
                </c:pt>
                <c:pt idx="185">
                  <c:v>54786.775265294258</c:v>
                </c:pt>
                <c:pt idx="186">
                  <c:v>61762.911568903335</c:v>
                </c:pt>
                <c:pt idx="187">
                  <c:v>56872.318766334683</c:v>
                </c:pt>
                <c:pt idx="188">
                  <c:v>64917.131232199514</c:v>
                </c:pt>
                <c:pt idx="189">
                  <c:v>53761.394866500872</c:v>
                </c:pt>
                <c:pt idx="190">
                  <c:v>52810.07958383744</c:v>
                </c:pt>
                <c:pt idx="191">
                  <c:v>55076.163601855049</c:v>
                </c:pt>
                <c:pt idx="192">
                  <c:v>61062.849472568778</c:v>
                </c:pt>
                <c:pt idx="193">
                  <c:v>56406.711657718493</c:v>
                </c:pt>
                <c:pt idx="194">
                  <c:v>52109.079306792257</c:v>
                </c:pt>
                <c:pt idx="195">
                  <c:v>48198.286592211429</c:v>
                </c:pt>
                <c:pt idx="196">
                  <c:v>49821.861021998804</c:v>
                </c:pt>
                <c:pt idx="197">
                  <c:v>49540.230649852259</c:v>
                </c:pt>
                <c:pt idx="198">
                  <c:v>47756.524782506778</c:v>
                </c:pt>
                <c:pt idx="199">
                  <c:v>50301.261601990249</c:v>
                </c:pt>
                <c:pt idx="200">
                  <c:v>45872.879594260732</c:v>
                </c:pt>
                <c:pt idx="201">
                  <c:v>50633.770750714015</c:v>
                </c:pt>
                <c:pt idx="202">
                  <c:v>48240.33708674676</c:v>
                </c:pt>
                <c:pt idx="203">
                  <c:v>51764.485224256197</c:v>
                </c:pt>
                <c:pt idx="204">
                  <c:v>54390.23216997819</c:v>
                </c:pt>
                <c:pt idx="205">
                  <c:v>58743.554650319114</c:v>
                </c:pt>
                <c:pt idx="206">
                  <c:v>53646.162741833599</c:v>
                </c:pt>
                <c:pt idx="207">
                  <c:v>49277.363359873227</c:v>
                </c:pt>
                <c:pt idx="208">
                  <c:v>48503.077383644588</c:v>
                </c:pt>
                <c:pt idx="209">
                  <c:v>47983.22099005121</c:v>
                </c:pt>
                <c:pt idx="210">
                  <c:v>44717.773037667132</c:v>
                </c:pt>
                <c:pt idx="211">
                  <c:v>50565.311478822827</c:v>
                </c:pt>
                <c:pt idx="212">
                  <c:v>50582.5574118738</c:v>
                </c:pt>
                <c:pt idx="213">
                  <c:v>52586.978290399667</c:v>
                </c:pt>
                <c:pt idx="214">
                  <c:v>50836.31212609967</c:v>
                </c:pt>
                <c:pt idx="215">
                  <c:v>52071.325087476856</c:v>
                </c:pt>
                <c:pt idx="216">
                  <c:v>54350.472395001925</c:v>
                </c:pt>
                <c:pt idx="217">
                  <c:v>51349.30881206815</c:v>
                </c:pt>
                <c:pt idx="218">
                  <c:v>59031.681296466973</c:v>
                </c:pt>
                <c:pt idx="219">
                  <c:v>61428.018439324318</c:v>
                </c:pt>
                <c:pt idx="220">
                  <c:v>52327.69674014581</c:v>
                </c:pt>
                <c:pt idx="221">
                  <c:v>51050.782272800949</c:v>
                </c:pt>
                <c:pt idx="222">
                  <c:v>59004.346993463376</c:v>
                </c:pt>
                <c:pt idx="223">
                  <c:v>56857.96336640048</c:v>
                </c:pt>
                <c:pt idx="224">
                  <c:v>55867.337915264798</c:v>
                </c:pt>
                <c:pt idx="225">
                  <c:v>55217.291423079849</c:v>
                </c:pt>
                <c:pt idx="226">
                  <c:v>61465.732821395475</c:v>
                </c:pt>
                <c:pt idx="227">
                  <c:v>57410.882670210238</c:v>
                </c:pt>
                <c:pt idx="228">
                  <c:v>65252.064370210639</c:v>
                </c:pt>
                <c:pt idx="229">
                  <c:v>63913.950695119172</c:v>
                </c:pt>
                <c:pt idx="230">
                  <c:v>60516.579339660471</c:v>
                </c:pt>
                <c:pt idx="231">
                  <c:v>63063.36524735581</c:v>
                </c:pt>
                <c:pt idx="232">
                  <c:v>54828.981283445966</c:v>
                </c:pt>
                <c:pt idx="233">
                  <c:v>61254.50225681594</c:v>
                </c:pt>
                <c:pt idx="234">
                  <c:v>53966.218179768126</c:v>
                </c:pt>
                <c:pt idx="235">
                  <c:v>67505.210689343119</c:v>
                </c:pt>
                <c:pt idx="236">
                  <c:v>56151.59272821778</c:v>
                </c:pt>
                <c:pt idx="237">
                  <c:v>53145.528751008664</c:v>
                </c:pt>
                <c:pt idx="238">
                  <c:v>57348.604767816731</c:v>
                </c:pt>
                <c:pt idx="239">
                  <c:v>63999.061547372919</c:v>
                </c:pt>
                <c:pt idx="240">
                  <c:v>56623.701633337587</c:v>
                </c:pt>
                <c:pt idx="241">
                  <c:v>54482.035454304503</c:v>
                </c:pt>
                <c:pt idx="242">
                  <c:v>50320.872712446195</c:v>
                </c:pt>
                <c:pt idx="243">
                  <c:v>52988.360325925983</c:v>
                </c:pt>
                <c:pt idx="244">
                  <c:v>50867.378512894255</c:v>
                </c:pt>
                <c:pt idx="245">
                  <c:v>50517.464334582641</c:v>
                </c:pt>
                <c:pt idx="246">
                  <c:v>52398.581525592715</c:v>
                </c:pt>
                <c:pt idx="247">
                  <c:v>46724.7480140357</c:v>
                </c:pt>
                <c:pt idx="248">
                  <c:v>51549.375791095903</c:v>
                </c:pt>
                <c:pt idx="249">
                  <c:v>49885.673630342011</c:v>
                </c:pt>
                <c:pt idx="250">
                  <c:v>52690.412735843995</c:v>
                </c:pt>
                <c:pt idx="251">
                  <c:v>55471.204968103149</c:v>
                </c:pt>
                <c:pt idx="252">
                  <c:v>59847.234463744535</c:v>
                </c:pt>
                <c:pt idx="253">
                  <c:v>53781.029468805602</c:v>
                </c:pt>
                <c:pt idx="254">
                  <c:v>53374.16100037071</c:v>
                </c:pt>
                <c:pt idx="255">
                  <c:v>50964.696420513494</c:v>
                </c:pt>
                <c:pt idx="256">
                  <c:v>49824.500306560389</c:v>
                </c:pt>
                <c:pt idx="257">
                  <c:v>46940.104795947984</c:v>
                </c:pt>
                <c:pt idx="258">
                  <c:v>53600.510666159302</c:v>
                </c:pt>
                <c:pt idx="259">
                  <c:v>53634.272667955556</c:v>
                </c:pt>
                <c:pt idx="260">
                  <c:v>54182.083624490035</c:v>
                </c:pt>
                <c:pt idx="261">
                  <c:v>52528.892079866622</c:v>
                </c:pt>
                <c:pt idx="262">
                  <c:v>53847.861339209856</c:v>
                </c:pt>
                <c:pt idx="263">
                  <c:v>55510.838518534336</c:v>
                </c:pt>
                <c:pt idx="264">
                  <c:v>54343.967871429304</c:v>
                </c:pt>
                <c:pt idx="265">
                  <c:v>61875.908256162438</c:v>
                </c:pt>
                <c:pt idx="266">
                  <c:v>62316.990204735164</c:v>
                </c:pt>
                <c:pt idx="267">
                  <c:v>55296.420018863639</c:v>
                </c:pt>
                <c:pt idx="268">
                  <c:v>52204.143136114348</c:v>
                </c:pt>
                <c:pt idx="269">
                  <c:v>61510.888264931418</c:v>
                </c:pt>
                <c:pt idx="270">
                  <c:v>61297.129786410427</c:v>
                </c:pt>
                <c:pt idx="271">
                  <c:v>56911.388223588947</c:v>
                </c:pt>
                <c:pt idx="272">
                  <c:v>56948.765794338287</c:v>
                </c:pt>
                <c:pt idx="273">
                  <c:v>64461.896296477418</c:v>
                </c:pt>
                <c:pt idx="274">
                  <c:v>59495.877500457384</c:v>
                </c:pt>
                <c:pt idx="275">
                  <c:v>68563.872173188196</c:v>
                </c:pt>
                <c:pt idx="276">
                  <c:v>67345.451336875965</c:v>
                </c:pt>
                <c:pt idx="277">
                  <c:v>62153.455287983365</c:v>
                </c:pt>
                <c:pt idx="278">
                  <c:v>64192.96900319132</c:v>
                </c:pt>
                <c:pt idx="279">
                  <c:v>58409.486075670749</c:v>
                </c:pt>
                <c:pt idx="280">
                  <c:v>64202.202318248841</c:v>
                </c:pt>
                <c:pt idx="281">
                  <c:v>57866.488064573517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A5-458C-AA2D-41FC41AA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955519"/>
        <c:axId val="430954559"/>
      </c:scatterChart>
      <c:valAx>
        <c:axId val="430955519"/>
        <c:scaling>
          <c:orientation val="minMax"/>
          <c:min val="2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0954559"/>
        <c:crosses val="autoZero"/>
        <c:crossBetween val="midCat"/>
      </c:valAx>
      <c:valAx>
        <c:axId val="430954559"/>
        <c:scaling>
          <c:orientation val="minMax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0955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インセンティブ実施率!$U$1</c:f>
              <c:strCache>
                <c:ptCount val="1"/>
                <c:pt idx="0">
                  <c:v>１人当たり医療費_入院外（調剤を含む）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インセンティブ実施率!$H$2:$H$283</c:f>
              <c:numCache>
                <c:formatCode>#,##0.0;[Red]\-#,##0.0</c:formatCode>
                <c:ptCount val="282"/>
                <c:pt idx="0">
                  <c:v>32.5</c:v>
                </c:pt>
                <c:pt idx="1">
                  <c:v>34</c:v>
                </c:pt>
                <c:pt idx="2">
                  <c:v>30.8</c:v>
                </c:pt>
                <c:pt idx="3">
                  <c:v>33.5</c:v>
                </c:pt>
                <c:pt idx="4">
                  <c:v>31.5</c:v>
                </c:pt>
                <c:pt idx="5">
                  <c:v>31.8</c:v>
                </c:pt>
                <c:pt idx="6">
                  <c:v>33.5</c:v>
                </c:pt>
                <c:pt idx="7">
                  <c:v>31.7</c:v>
                </c:pt>
                <c:pt idx="8">
                  <c:v>33</c:v>
                </c:pt>
                <c:pt idx="9">
                  <c:v>31.9</c:v>
                </c:pt>
                <c:pt idx="10">
                  <c:v>31.6</c:v>
                </c:pt>
                <c:pt idx="11">
                  <c:v>33.299999999999997</c:v>
                </c:pt>
                <c:pt idx="12">
                  <c:v>32.9</c:v>
                </c:pt>
                <c:pt idx="13">
                  <c:v>32.5</c:v>
                </c:pt>
                <c:pt idx="14">
                  <c:v>33.4</c:v>
                </c:pt>
                <c:pt idx="15">
                  <c:v>31.5</c:v>
                </c:pt>
                <c:pt idx="16">
                  <c:v>31.8</c:v>
                </c:pt>
                <c:pt idx="17">
                  <c:v>32.5</c:v>
                </c:pt>
                <c:pt idx="18">
                  <c:v>31.8</c:v>
                </c:pt>
                <c:pt idx="19">
                  <c:v>32</c:v>
                </c:pt>
                <c:pt idx="20">
                  <c:v>33.700000000000003</c:v>
                </c:pt>
                <c:pt idx="21">
                  <c:v>34.799999999999997</c:v>
                </c:pt>
                <c:pt idx="22">
                  <c:v>32.9</c:v>
                </c:pt>
                <c:pt idx="23">
                  <c:v>33.700000000000003</c:v>
                </c:pt>
                <c:pt idx="24">
                  <c:v>34.200000000000003</c:v>
                </c:pt>
                <c:pt idx="25">
                  <c:v>34</c:v>
                </c:pt>
                <c:pt idx="26">
                  <c:v>33.4</c:v>
                </c:pt>
                <c:pt idx="27">
                  <c:v>32.799999999999997</c:v>
                </c:pt>
                <c:pt idx="28">
                  <c:v>34.4</c:v>
                </c:pt>
                <c:pt idx="29">
                  <c:v>34</c:v>
                </c:pt>
                <c:pt idx="30">
                  <c:v>33.1</c:v>
                </c:pt>
                <c:pt idx="31">
                  <c:v>32.6</c:v>
                </c:pt>
                <c:pt idx="32">
                  <c:v>32.299999999999997</c:v>
                </c:pt>
                <c:pt idx="33">
                  <c:v>32.200000000000003</c:v>
                </c:pt>
                <c:pt idx="34">
                  <c:v>32.5</c:v>
                </c:pt>
                <c:pt idx="35">
                  <c:v>34.299999999999997</c:v>
                </c:pt>
                <c:pt idx="36">
                  <c:v>33.4</c:v>
                </c:pt>
                <c:pt idx="37">
                  <c:v>31.7</c:v>
                </c:pt>
                <c:pt idx="38">
                  <c:v>29.2</c:v>
                </c:pt>
                <c:pt idx="39">
                  <c:v>33</c:v>
                </c:pt>
                <c:pt idx="40">
                  <c:v>33.700000000000003</c:v>
                </c:pt>
                <c:pt idx="41">
                  <c:v>33.700000000000003</c:v>
                </c:pt>
                <c:pt idx="42">
                  <c:v>32.700000000000003</c:v>
                </c:pt>
                <c:pt idx="43">
                  <c:v>33.799999999999997</c:v>
                </c:pt>
                <c:pt idx="44">
                  <c:v>33.6</c:v>
                </c:pt>
                <c:pt idx="45">
                  <c:v>33.700000000000003</c:v>
                </c:pt>
                <c:pt idx="46">
                  <c:v>32.700000000000003</c:v>
                </c:pt>
                <c:pt idx="47">
                  <c:v>32.5</c:v>
                </c:pt>
                <c:pt idx="48">
                  <c:v>32.299999999999997</c:v>
                </c:pt>
                <c:pt idx="49">
                  <c:v>32.299999999999997</c:v>
                </c:pt>
                <c:pt idx="50">
                  <c:v>32.700000000000003</c:v>
                </c:pt>
                <c:pt idx="51">
                  <c:v>32.299999999999997</c:v>
                </c:pt>
                <c:pt idx="52">
                  <c:v>33.6</c:v>
                </c:pt>
                <c:pt idx="53">
                  <c:v>33.9</c:v>
                </c:pt>
                <c:pt idx="54">
                  <c:v>32.4</c:v>
                </c:pt>
                <c:pt idx="55">
                  <c:v>33.9</c:v>
                </c:pt>
                <c:pt idx="56">
                  <c:v>33</c:v>
                </c:pt>
                <c:pt idx="57">
                  <c:v>31.7</c:v>
                </c:pt>
                <c:pt idx="58">
                  <c:v>32.4</c:v>
                </c:pt>
                <c:pt idx="59">
                  <c:v>32.9</c:v>
                </c:pt>
                <c:pt idx="60">
                  <c:v>32.1</c:v>
                </c:pt>
                <c:pt idx="61">
                  <c:v>33.4</c:v>
                </c:pt>
                <c:pt idx="62">
                  <c:v>31.4</c:v>
                </c:pt>
                <c:pt idx="63">
                  <c:v>31.5</c:v>
                </c:pt>
                <c:pt idx="64">
                  <c:v>33.700000000000003</c:v>
                </c:pt>
                <c:pt idx="65">
                  <c:v>31.7</c:v>
                </c:pt>
                <c:pt idx="66">
                  <c:v>33.1</c:v>
                </c:pt>
                <c:pt idx="67">
                  <c:v>33.6</c:v>
                </c:pt>
                <c:pt idx="68">
                  <c:v>33.700000000000003</c:v>
                </c:pt>
                <c:pt idx="69">
                  <c:v>33.299999999999997</c:v>
                </c:pt>
                <c:pt idx="70">
                  <c:v>32.799999999999997</c:v>
                </c:pt>
                <c:pt idx="71">
                  <c:v>35.5</c:v>
                </c:pt>
                <c:pt idx="72">
                  <c:v>34.299999999999997</c:v>
                </c:pt>
                <c:pt idx="73">
                  <c:v>33.5</c:v>
                </c:pt>
                <c:pt idx="74">
                  <c:v>33.200000000000003</c:v>
                </c:pt>
                <c:pt idx="75">
                  <c:v>35.4</c:v>
                </c:pt>
                <c:pt idx="76">
                  <c:v>34</c:v>
                </c:pt>
                <c:pt idx="77">
                  <c:v>32.799999999999997</c:v>
                </c:pt>
                <c:pt idx="78">
                  <c:v>34.200000000000003</c:v>
                </c:pt>
                <c:pt idx="79">
                  <c:v>32.4</c:v>
                </c:pt>
                <c:pt idx="80">
                  <c:v>32.9</c:v>
                </c:pt>
                <c:pt idx="81">
                  <c:v>33.1</c:v>
                </c:pt>
                <c:pt idx="82">
                  <c:v>34</c:v>
                </c:pt>
                <c:pt idx="83">
                  <c:v>32.5</c:v>
                </c:pt>
                <c:pt idx="84">
                  <c:v>32.200000000000003</c:v>
                </c:pt>
                <c:pt idx="85">
                  <c:v>30.6</c:v>
                </c:pt>
                <c:pt idx="86">
                  <c:v>33</c:v>
                </c:pt>
                <c:pt idx="87">
                  <c:v>35.299999999999997</c:v>
                </c:pt>
                <c:pt idx="88">
                  <c:v>33.299999999999997</c:v>
                </c:pt>
                <c:pt idx="89">
                  <c:v>33.200000000000003</c:v>
                </c:pt>
                <c:pt idx="90">
                  <c:v>33.700000000000003</c:v>
                </c:pt>
                <c:pt idx="91">
                  <c:v>34.200000000000003</c:v>
                </c:pt>
                <c:pt idx="92">
                  <c:v>33.1</c:v>
                </c:pt>
                <c:pt idx="93">
                  <c:v>33.200000000000003</c:v>
                </c:pt>
                <c:pt idx="94">
                  <c:v>31.7</c:v>
                </c:pt>
                <c:pt idx="95">
                  <c:v>31.4</c:v>
                </c:pt>
                <c:pt idx="96">
                  <c:v>31.4</c:v>
                </c:pt>
                <c:pt idx="97">
                  <c:v>31.6</c:v>
                </c:pt>
                <c:pt idx="98">
                  <c:v>33.200000000000003</c:v>
                </c:pt>
                <c:pt idx="99">
                  <c:v>33.299999999999997</c:v>
                </c:pt>
                <c:pt idx="100">
                  <c:v>33.5</c:v>
                </c:pt>
                <c:pt idx="101">
                  <c:v>31.7</c:v>
                </c:pt>
                <c:pt idx="102">
                  <c:v>32.4</c:v>
                </c:pt>
                <c:pt idx="103">
                  <c:v>31.7</c:v>
                </c:pt>
                <c:pt idx="104">
                  <c:v>31.8</c:v>
                </c:pt>
                <c:pt idx="105">
                  <c:v>31.4</c:v>
                </c:pt>
                <c:pt idx="106">
                  <c:v>32.4</c:v>
                </c:pt>
                <c:pt idx="107">
                  <c:v>31.7</c:v>
                </c:pt>
                <c:pt idx="108">
                  <c:v>33.1</c:v>
                </c:pt>
                <c:pt idx="109">
                  <c:v>31.6</c:v>
                </c:pt>
                <c:pt idx="110">
                  <c:v>31</c:v>
                </c:pt>
                <c:pt idx="111">
                  <c:v>32.700000000000003</c:v>
                </c:pt>
                <c:pt idx="112">
                  <c:v>31.6</c:v>
                </c:pt>
                <c:pt idx="113">
                  <c:v>32.299999999999997</c:v>
                </c:pt>
                <c:pt idx="114">
                  <c:v>33.200000000000003</c:v>
                </c:pt>
                <c:pt idx="115">
                  <c:v>33.5</c:v>
                </c:pt>
                <c:pt idx="116">
                  <c:v>31.8</c:v>
                </c:pt>
                <c:pt idx="117">
                  <c:v>32.4</c:v>
                </c:pt>
                <c:pt idx="118">
                  <c:v>33.9</c:v>
                </c:pt>
                <c:pt idx="119">
                  <c:v>33.700000000000003</c:v>
                </c:pt>
                <c:pt idx="120">
                  <c:v>32.9</c:v>
                </c:pt>
                <c:pt idx="121">
                  <c:v>32.6</c:v>
                </c:pt>
                <c:pt idx="122">
                  <c:v>35.1</c:v>
                </c:pt>
                <c:pt idx="123">
                  <c:v>34.799999999999997</c:v>
                </c:pt>
                <c:pt idx="124">
                  <c:v>32.6</c:v>
                </c:pt>
                <c:pt idx="125">
                  <c:v>32.799999999999997</c:v>
                </c:pt>
                <c:pt idx="126">
                  <c:v>31.6</c:v>
                </c:pt>
                <c:pt idx="127">
                  <c:v>31.8</c:v>
                </c:pt>
                <c:pt idx="128">
                  <c:v>33</c:v>
                </c:pt>
                <c:pt idx="129">
                  <c:v>34.700000000000003</c:v>
                </c:pt>
                <c:pt idx="130">
                  <c:v>32.5</c:v>
                </c:pt>
                <c:pt idx="131">
                  <c:v>32.200000000000003</c:v>
                </c:pt>
                <c:pt idx="132">
                  <c:v>29.3</c:v>
                </c:pt>
                <c:pt idx="133">
                  <c:v>32.9</c:v>
                </c:pt>
                <c:pt idx="134">
                  <c:v>33.4</c:v>
                </c:pt>
                <c:pt idx="135">
                  <c:v>33.1</c:v>
                </c:pt>
                <c:pt idx="136">
                  <c:v>32.799999999999997</c:v>
                </c:pt>
                <c:pt idx="137">
                  <c:v>33.1</c:v>
                </c:pt>
                <c:pt idx="138">
                  <c:v>34.299999999999997</c:v>
                </c:pt>
                <c:pt idx="139">
                  <c:v>32.200000000000003</c:v>
                </c:pt>
                <c:pt idx="140">
                  <c:v>33.1</c:v>
                </c:pt>
                <c:pt idx="141">
                  <c:v>34.5</c:v>
                </c:pt>
                <c:pt idx="142">
                  <c:v>34.299999999999997</c:v>
                </c:pt>
                <c:pt idx="143">
                  <c:v>33.299999999999997</c:v>
                </c:pt>
                <c:pt idx="144">
                  <c:v>35</c:v>
                </c:pt>
                <c:pt idx="145">
                  <c:v>34.5</c:v>
                </c:pt>
                <c:pt idx="146">
                  <c:v>34.700000000000003</c:v>
                </c:pt>
                <c:pt idx="147">
                  <c:v>35.1</c:v>
                </c:pt>
                <c:pt idx="148">
                  <c:v>33</c:v>
                </c:pt>
                <c:pt idx="149">
                  <c:v>34.9</c:v>
                </c:pt>
                <c:pt idx="150">
                  <c:v>33.6</c:v>
                </c:pt>
                <c:pt idx="151">
                  <c:v>34.4</c:v>
                </c:pt>
                <c:pt idx="152">
                  <c:v>34.799999999999997</c:v>
                </c:pt>
                <c:pt idx="153">
                  <c:v>35.5</c:v>
                </c:pt>
                <c:pt idx="154">
                  <c:v>35.1</c:v>
                </c:pt>
                <c:pt idx="155">
                  <c:v>34.9</c:v>
                </c:pt>
                <c:pt idx="156">
                  <c:v>33.700000000000003</c:v>
                </c:pt>
                <c:pt idx="157">
                  <c:v>35.1</c:v>
                </c:pt>
                <c:pt idx="158">
                  <c:v>35.200000000000003</c:v>
                </c:pt>
                <c:pt idx="159">
                  <c:v>33.4</c:v>
                </c:pt>
                <c:pt idx="160">
                  <c:v>35.200000000000003</c:v>
                </c:pt>
                <c:pt idx="161">
                  <c:v>36.1</c:v>
                </c:pt>
                <c:pt idx="162">
                  <c:v>35.5</c:v>
                </c:pt>
                <c:pt idx="163">
                  <c:v>34.700000000000003</c:v>
                </c:pt>
                <c:pt idx="164">
                  <c:v>33.799999999999997</c:v>
                </c:pt>
                <c:pt idx="165">
                  <c:v>34.9</c:v>
                </c:pt>
                <c:pt idx="166">
                  <c:v>36.1</c:v>
                </c:pt>
                <c:pt idx="167">
                  <c:v>35.5</c:v>
                </c:pt>
                <c:pt idx="168">
                  <c:v>34.700000000000003</c:v>
                </c:pt>
                <c:pt idx="169">
                  <c:v>37.200000000000003</c:v>
                </c:pt>
                <c:pt idx="170">
                  <c:v>36</c:v>
                </c:pt>
                <c:pt idx="171">
                  <c:v>35</c:v>
                </c:pt>
                <c:pt idx="172">
                  <c:v>34.4</c:v>
                </c:pt>
                <c:pt idx="173">
                  <c:v>33.4</c:v>
                </c:pt>
                <c:pt idx="174">
                  <c:v>34.5</c:v>
                </c:pt>
                <c:pt idx="175">
                  <c:v>33.6</c:v>
                </c:pt>
                <c:pt idx="176">
                  <c:v>36</c:v>
                </c:pt>
                <c:pt idx="177">
                  <c:v>35.6</c:v>
                </c:pt>
                <c:pt idx="178">
                  <c:v>34.299999999999997</c:v>
                </c:pt>
                <c:pt idx="179">
                  <c:v>31.8</c:v>
                </c:pt>
                <c:pt idx="180">
                  <c:v>34.5</c:v>
                </c:pt>
                <c:pt idx="181">
                  <c:v>35.1</c:v>
                </c:pt>
                <c:pt idx="182">
                  <c:v>34.4</c:v>
                </c:pt>
                <c:pt idx="183">
                  <c:v>35</c:v>
                </c:pt>
                <c:pt idx="184">
                  <c:v>35.1</c:v>
                </c:pt>
                <c:pt idx="185">
                  <c:v>34.9</c:v>
                </c:pt>
                <c:pt idx="186">
                  <c:v>34.6</c:v>
                </c:pt>
                <c:pt idx="187">
                  <c:v>34.4</c:v>
                </c:pt>
                <c:pt idx="188">
                  <c:v>32.700000000000003</c:v>
                </c:pt>
                <c:pt idx="189">
                  <c:v>32.200000000000003</c:v>
                </c:pt>
                <c:pt idx="190">
                  <c:v>33.5</c:v>
                </c:pt>
                <c:pt idx="191">
                  <c:v>33.1</c:v>
                </c:pt>
                <c:pt idx="192">
                  <c:v>34.299999999999997</c:v>
                </c:pt>
                <c:pt idx="193">
                  <c:v>34.4</c:v>
                </c:pt>
                <c:pt idx="194">
                  <c:v>34</c:v>
                </c:pt>
                <c:pt idx="195">
                  <c:v>33.299999999999997</c:v>
                </c:pt>
                <c:pt idx="196">
                  <c:v>34.4</c:v>
                </c:pt>
                <c:pt idx="197">
                  <c:v>33</c:v>
                </c:pt>
                <c:pt idx="198">
                  <c:v>33.700000000000003</c:v>
                </c:pt>
                <c:pt idx="199">
                  <c:v>34.200000000000003</c:v>
                </c:pt>
                <c:pt idx="200">
                  <c:v>35.200000000000003</c:v>
                </c:pt>
                <c:pt idx="201">
                  <c:v>34</c:v>
                </c:pt>
                <c:pt idx="202">
                  <c:v>33.5</c:v>
                </c:pt>
                <c:pt idx="203">
                  <c:v>33.5</c:v>
                </c:pt>
                <c:pt idx="204">
                  <c:v>33.9</c:v>
                </c:pt>
                <c:pt idx="205">
                  <c:v>34.200000000000003</c:v>
                </c:pt>
                <c:pt idx="206">
                  <c:v>33.299999999999997</c:v>
                </c:pt>
                <c:pt idx="207">
                  <c:v>34.6</c:v>
                </c:pt>
                <c:pt idx="208">
                  <c:v>34.9</c:v>
                </c:pt>
                <c:pt idx="209">
                  <c:v>34.700000000000003</c:v>
                </c:pt>
                <c:pt idx="210">
                  <c:v>33.4</c:v>
                </c:pt>
                <c:pt idx="211">
                  <c:v>34</c:v>
                </c:pt>
                <c:pt idx="212">
                  <c:v>34.5</c:v>
                </c:pt>
                <c:pt idx="213">
                  <c:v>35.5</c:v>
                </c:pt>
                <c:pt idx="214">
                  <c:v>35</c:v>
                </c:pt>
                <c:pt idx="215">
                  <c:v>34.5</c:v>
                </c:pt>
                <c:pt idx="216">
                  <c:v>36.700000000000003</c:v>
                </c:pt>
                <c:pt idx="217">
                  <c:v>34.700000000000003</c:v>
                </c:pt>
                <c:pt idx="218">
                  <c:v>33.700000000000003</c:v>
                </c:pt>
                <c:pt idx="219">
                  <c:v>34.5</c:v>
                </c:pt>
                <c:pt idx="220">
                  <c:v>32.299999999999997</c:v>
                </c:pt>
                <c:pt idx="221">
                  <c:v>33.299999999999997</c:v>
                </c:pt>
                <c:pt idx="222">
                  <c:v>35.299999999999997</c:v>
                </c:pt>
                <c:pt idx="223">
                  <c:v>35.299999999999997</c:v>
                </c:pt>
                <c:pt idx="224">
                  <c:v>34.200000000000003</c:v>
                </c:pt>
                <c:pt idx="225">
                  <c:v>33.299999999999997</c:v>
                </c:pt>
                <c:pt idx="226">
                  <c:v>30.2</c:v>
                </c:pt>
                <c:pt idx="227">
                  <c:v>34.299999999999997</c:v>
                </c:pt>
                <c:pt idx="228">
                  <c:v>36.4</c:v>
                </c:pt>
                <c:pt idx="229">
                  <c:v>35.4</c:v>
                </c:pt>
                <c:pt idx="230">
                  <c:v>33.200000000000003</c:v>
                </c:pt>
                <c:pt idx="231">
                  <c:v>34.1</c:v>
                </c:pt>
                <c:pt idx="232">
                  <c:v>34.700000000000003</c:v>
                </c:pt>
                <c:pt idx="233">
                  <c:v>34.700000000000003</c:v>
                </c:pt>
                <c:pt idx="234">
                  <c:v>34.200000000000003</c:v>
                </c:pt>
                <c:pt idx="235">
                  <c:v>32.4</c:v>
                </c:pt>
                <c:pt idx="236">
                  <c:v>33.5</c:v>
                </c:pt>
                <c:pt idx="237">
                  <c:v>34</c:v>
                </c:pt>
                <c:pt idx="238">
                  <c:v>32.5</c:v>
                </c:pt>
                <c:pt idx="239">
                  <c:v>33</c:v>
                </c:pt>
                <c:pt idx="240">
                  <c:v>33.700000000000003</c:v>
                </c:pt>
                <c:pt idx="241">
                  <c:v>33.799999999999997</c:v>
                </c:pt>
                <c:pt idx="242">
                  <c:v>32.1</c:v>
                </c:pt>
                <c:pt idx="243">
                  <c:v>33.6</c:v>
                </c:pt>
                <c:pt idx="244">
                  <c:v>32.299999999999997</c:v>
                </c:pt>
                <c:pt idx="245">
                  <c:v>33.200000000000003</c:v>
                </c:pt>
                <c:pt idx="246">
                  <c:v>33.5</c:v>
                </c:pt>
                <c:pt idx="247">
                  <c:v>34.4</c:v>
                </c:pt>
                <c:pt idx="248">
                  <c:v>33.4</c:v>
                </c:pt>
                <c:pt idx="249">
                  <c:v>34.200000000000003</c:v>
                </c:pt>
                <c:pt idx="250">
                  <c:v>33.1</c:v>
                </c:pt>
                <c:pt idx="251">
                  <c:v>33.6</c:v>
                </c:pt>
                <c:pt idx="252">
                  <c:v>32.9</c:v>
                </c:pt>
                <c:pt idx="253">
                  <c:v>33.200000000000003</c:v>
                </c:pt>
                <c:pt idx="254">
                  <c:v>34</c:v>
                </c:pt>
                <c:pt idx="255">
                  <c:v>34.799999999999997</c:v>
                </c:pt>
                <c:pt idx="256">
                  <c:v>34.299999999999997</c:v>
                </c:pt>
                <c:pt idx="257">
                  <c:v>33.200000000000003</c:v>
                </c:pt>
                <c:pt idx="258">
                  <c:v>33.4</c:v>
                </c:pt>
                <c:pt idx="259">
                  <c:v>33.799999999999997</c:v>
                </c:pt>
                <c:pt idx="260">
                  <c:v>34.799999999999997</c:v>
                </c:pt>
                <c:pt idx="261">
                  <c:v>34.1</c:v>
                </c:pt>
                <c:pt idx="262">
                  <c:v>33.700000000000003</c:v>
                </c:pt>
                <c:pt idx="263">
                  <c:v>35.5</c:v>
                </c:pt>
                <c:pt idx="264">
                  <c:v>35.200000000000003</c:v>
                </c:pt>
                <c:pt idx="265">
                  <c:v>33.700000000000003</c:v>
                </c:pt>
                <c:pt idx="266">
                  <c:v>33.5</c:v>
                </c:pt>
                <c:pt idx="267">
                  <c:v>32.4</c:v>
                </c:pt>
                <c:pt idx="268">
                  <c:v>33.4</c:v>
                </c:pt>
                <c:pt idx="269">
                  <c:v>34.4</c:v>
                </c:pt>
                <c:pt idx="270">
                  <c:v>35.799999999999997</c:v>
                </c:pt>
                <c:pt idx="271">
                  <c:v>33.5</c:v>
                </c:pt>
                <c:pt idx="272">
                  <c:v>33.200000000000003</c:v>
                </c:pt>
                <c:pt idx="273">
                  <c:v>31</c:v>
                </c:pt>
                <c:pt idx="274">
                  <c:v>34.1</c:v>
                </c:pt>
                <c:pt idx="275">
                  <c:v>34.5</c:v>
                </c:pt>
                <c:pt idx="276">
                  <c:v>34.5</c:v>
                </c:pt>
                <c:pt idx="277">
                  <c:v>34</c:v>
                </c:pt>
                <c:pt idx="278">
                  <c:v>34.299999999999997</c:v>
                </c:pt>
                <c:pt idx="279">
                  <c:v>34.5</c:v>
                </c:pt>
                <c:pt idx="280">
                  <c:v>34.1</c:v>
                </c:pt>
                <c:pt idx="281">
                  <c:v>33.9</c:v>
                </c:pt>
              </c:numCache>
            </c:numRef>
          </c:xVal>
          <c:yVal>
            <c:numRef>
              <c:f>インセンティブ実施率!$U$2:$U$283</c:f>
              <c:numCache>
                <c:formatCode>#,##0.00_);[Red]\(#,##0.00\)</c:formatCode>
                <c:ptCount val="282"/>
                <c:pt idx="0">
                  <c:v>112323.35697301815</c:v>
                </c:pt>
                <c:pt idx="1">
                  <c:v>111752.0528067376</c:v>
                </c:pt>
                <c:pt idx="2">
                  <c:v>107802.0992245356</c:v>
                </c:pt>
                <c:pt idx="3">
                  <c:v>112299.01727242164</c:v>
                </c:pt>
                <c:pt idx="4">
                  <c:v>118296.64468769089</c:v>
                </c:pt>
                <c:pt idx="5">
                  <c:v>112224.63063992414</c:v>
                </c:pt>
                <c:pt idx="6">
                  <c:v>107946.44513942057</c:v>
                </c:pt>
                <c:pt idx="7">
                  <c:v>105209.57425961045</c:v>
                </c:pt>
                <c:pt idx="8">
                  <c:v>108328.47711437917</c:v>
                </c:pt>
                <c:pt idx="9">
                  <c:v>103988.05813679103</c:v>
                </c:pt>
                <c:pt idx="10">
                  <c:v>103391.76343718852</c:v>
                </c:pt>
                <c:pt idx="11">
                  <c:v>104961.47397385682</c:v>
                </c:pt>
                <c:pt idx="12">
                  <c:v>106029.65103297262</c:v>
                </c:pt>
                <c:pt idx="13">
                  <c:v>107754.64110093167</c:v>
                </c:pt>
                <c:pt idx="14">
                  <c:v>102125.89279983405</c:v>
                </c:pt>
                <c:pt idx="15">
                  <c:v>99176.629878613516</c:v>
                </c:pt>
                <c:pt idx="16">
                  <c:v>104564.34147841761</c:v>
                </c:pt>
                <c:pt idx="17">
                  <c:v>104302.11041581299</c:v>
                </c:pt>
                <c:pt idx="18">
                  <c:v>106418.5933051446</c:v>
                </c:pt>
                <c:pt idx="19">
                  <c:v>99664.243376121362</c:v>
                </c:pt>
                <c:pt idx="20">
                  <c:v>104736.14606899276</c:v>
                </c:pt>
                <c:pt idx="21">
                  <c:v>106480.40528214326</c:v>
                </c:pt>
                <c:pt idx="22">
                  <c:v>103053.34166729436</c:v>
                </c:pt>
                <c:pt idx="23">
                  <c:v>103244.23227625563</c:v>
                </c:pt>
                <c:pt idx="24">
                  <c:v>99745.415786332698</c:v>
                </c:pt>
                <c:pt idx="25">
                  <c:v>103285.81161809243</c:v>
                </c:pt>
                <c:pt idx="26">
                  <c:v>105025.26318755405</c:v>
                </c:pt>
                <c:pt idx="27">
                  <c:v>108005.14877886875</c:v>
                </c:pt>
                <c:pt idx="28">
                  <c:v>105305.71116590293</c:v>
                </c:pt>
                <c:pt idx="29">
                  <c:v>108400.718887553</c:v>
                </c:pt>
                <c:pt idx="30">
                  <c:v>103222.55335442851</c:v>
                </c:pt>
                <c:pt idx="31">
                  <c:v>110129.06683675208</c:v>
                </c:pt>
                <c:pt idx="32">
                  <c:v>107933.57001194604</c:v>
                </c:pt>
                <c:pt idx="33">
                  <c:v>106754.5586458078</c:v>
                </c:pt>
                <c:pt idx="34">
                  <c:v>112345.32871361454</c:v>
                </c:pt>
                <c:pt idx="35">
                  <c:v>111537.83749381668</c:v>
                </c:pt>
                <c:pt idx="36">
                  <c:v>112593.66673783229</c:v>
                </c:pt>
                <c:pt idx="37">
                  <c:v>106693.01350116296</c:v>
                </c:pt>
                <c:pt idx="38">
                  <c:v>108699.68733520433</c:v>
                </c:pt>
                <c:pt idx="39">
                  <c:v>105944.14036792726</c:v>
                </c:pt>
                <c:pt idx="40">
                  <c:v>116467.58356998159</c:v>
                </c:pt>
                <c:pt idx="41">
                  <c:v>106347.94061464153</c:v>
                </c:pt>
                <c:pt idx="42">
                  <c:v>109348.27425034851</c:v>
                </c:pt>
                <c:pt idx="43">
                  <c:v>110889.39064155136</c:v>
                </c:pt>
                <c:pt idx="44">
                  <c:v>103153.71343084692</c:v>
                </c:pt>
                <c:pt idx="45">
                  <c:v>105259.89004776964</c:v>
                </c:pt>
                <c:pt idx="46">
                  <c:v>92077.629576007923</c:v>
                </c:pt>
                <c:pt idx="47">
                  <c:v>117370.47800910196</c:v>
                </c:pt>
                <c:pt idx="48">
                  <c:v>116589.82753105834</c:v>
                </c:pt>
                <c:pt idx="49">
                  <c:v>111817.68874621049</c:v>
                </c:pt>
                <c:pt idx="50">
                  <c:v>116003.33155743568</c:v>
                </c:pt>
                <c:pt idx="51">
                  <c:v>123264.73522303406</c:v>
                </c:pt>
                <c:pt idx="52">
                  <c:v>116260.9026283221</c:v>
                </c:pt>
                <c:pt idx="53">
                  <c:v>110882.88196730528</c:v>
                </c:pt>
                <c:pt idx="54">
                  <c:v>108571.6032525927</c:v>
                </c:pt>
                <c:pt idx="55">
                  <c:v>111355.23114883235</c:v>
                </c:pt>
                <c:pt idx="56">
                  <c:v>106656.49611359782</c:v>
                </c:pt>
                <c:pt idx="57">
                  <c:v>106319.00023517046</c:v>
                </c:pt>
                <c:pt idx="58">
                  <c:v>108031.62297609836</c:v>
                </c:pt>
                <c:pt idx="59">
                  <c:v>107302.49936921187</c:v>
                </c:pt>
                <c:pt idx="60">
                  <c:v>111652.63093561042</c:v>
                </c:pt>
                <c:pt idx="61">
                  <c:v>105319.8089927632</c:v>
                </c:pt>
                <c:pt idx="62">
                  <c:v>102481.07594884535</c:v>
                </c:pt>
                <c:pt idx="63">
                  <c:v>107972.03246346577</c:v>
                </c:pt>
                <c:pt idx="64">
                  <c:v>107552.52119303436</c:v>
                </c:pt>
                <c:pt idx="65">
                  <c:v>109846.99086019155</c:v>
                </c:pt>
                <c:pt idx="66">
                  <c:v>102589.09990755476</c:v>
                </c:pt>
                <c:pt idx="67">
                  <c:v>107376.2172097752</c:v>
                </c:pt>
                <c:pt idx="68">
                  <c:v>109117.73764589988</c:v>
                </c:pt>
                <c:pt idx="69">
                  <c:v>105848.16248612087</c:v>
                </c:pt>
                <c:pt idx="70">
                  <c:v>107181.29315828026</c:v>
                </c:pt>
                <c:pt idx="71">
                  <c:v>103804.38426554634</c:v>
                </c:pt>
                <c:pt idx="72">
                  <c:v>106930.01366281342</c:v>
                </c:pt>
                <c:pt idx="73">
                  <c:v>108354.32193035859</c:v>
                </c:pt>
                <c:pt idx="74">
                  <c:v>112189.62938908245</c:v>
                </c:pt>
                <c:pt idx="75">
                  <c:v>108673.64811878423</c:v>
                </c:pt>
                <c:pt idx="76">
                  <c:v>112105.89080957291</c:v>
                </c:pt>
                <c:pt idx="77">
                  <c:v>107111.963384847</c:v>
                </c:pt>
                <c:pt idx="78">
                  <c:v>115144.22718231601</c:v>
                </c:pt>
                <c:pt idx="79">
                  <c:v>111243.97001885583</c:v>
                </c:pt>
                <c:pt idx="80">
                  <c:v>110972.73595067652</c:v>
                </c:pt>
                <c:pt idx="81">
                  <c:v>115978.33472768417</c:v>
                </c:pt>
                <c:pt idx="82">
                  <c:v>115789.57569974358</c:v>
                </c:pt>
                <c:pt idx="83">
                  <c:v>115694.38692174332</c:v>
                </c:pt>
                <c:pt idx="84">
                  <c:v>111383.92213920048</c:v>
                </c:pt>
                <c:pt idx="85">
                  <c:v>111668.07228812572</c:v>
                </c:pt>
                <c:pt idx="86">
                  <c:v>108819.59296264465</c:v>
                </c:pt>
                <c:pt idx="87">
                  <c:v>120890.35450220644</c:v>
                </c:pt>
                <c:pt idx="88">
                  <c:v>110790.92896866069</c:v>
                </c:pt>
                <c:pt idx="89">
                  <c:v>112703.12788939309</c:v>
                </c:pt>
                <c:pt idx="90">
                  <c:v>114464.69899848942</c:v>
                </c:pt>
                <c:pt idx="91">
                  <c:v>106772.97646324705</c:v>
                </c:pt>
                <c:pt idx="92">
                  <c:v>109506.21909946525</c:v>
                </c:pt>
                <c:pt idx="93">
                  <c:v>97202.308990321151</c:v>
                </c:pt>
                <c:pt idx="94">
                  <c:v>114276.53453266762</c:v>
                </c:pt>
                <c:pt idx="95">
                  <c:v>112917.36050103065</c:v>
                </c:pt>
                <c:pt idx="96">
                  <c:v>110075.85755655954</c:v>
                </c:pt>
                <c:pt idx="97">
                  <c:v>112632.89503915588</c:v>
                </c:pt>
                <c:pt idx="98">
                  <c:v>121445.1691837402</c:v>
                </c:pt>
                <c:pt idx="99">
                  <c:v>113126.21207794914</c:v>
                </c:pt>
                <c:pt idx="100">
                  <c:v>107702.6261204253</c:v>
                </c:pt>
                <c:pt idx="101">
                  <c:v>105596.49217123065</c:v>
                </c:pt>
                <c:pt idx="102">
                  <c:v>108095.66264758496</c:v>
                </c:pt>
                <c:pt idx="103">
                  <c:v>102837.0339281147</c:v>
                </c:pt>
                <c:pt idx="104">
                  <c:v>102977.26035905447</c:v>
                </c:pt>
                <c:pt idx="105">
                  <c:v>104189.2034921625</c:v>
                </c:pt>
                <c:pt idx="106">
                  <c:v>102001.18744681851</c:v>
                </c:pt>
                <c:pt idx="107">
                  <c:v>107949.72889581625</c:v>
                </c:pt>
                <c:pt idx="108">
                  <c:v>101273.39541312343</c:v>
                </c:pt>
                <c:pt idx="109">
                  <c:v>98028.844119417932</c:v>
                </c:pt>
                <c:pt idx="110">
                  <c:v>103790.39226816779</c:v>
                </c:pt>
                <c:pt idx="111">
                  <c:v>102831.40961481207</c:v>
                </c:pt>
                <c:pt idx="112">
                  <c:v>106158.62660983748</c:v>
                </c:pt>
                <c:pt idx="113">
                  <c:v>99189.917224562043</c:v>
                </c:pt>
                <c:pt idx="114">
                  <c:v>103167.96744384714</c:v>
                </c:pt>
                <c:pt idx="115">
                  <c:v>105875.61558829511</c:v>
                </c:pt>
                <c:pt idx="116">
                  <c:v>102212.74761122701</c:v>
                </c:pt>
                <c:pt idx="117">
                  <c:v>104045.87874172915</c:v>
                </c:pt>
                <c:pt idx="118">
                  <c:v>99821.390067993503</c:v>
                </c:pt>
                <c:pt idx="119">
                  <c:v>102719.02028864261</c:v>
                </c:pt>
                <c:pt idx="120">
                  <c:v>103821.40675009541</c:v>
                </c:pt>
                <c:pt idx="121">
                  <c:v>107666.82253030463</c:v>
                </c:pt>
                <c:pt idx="122">
                  <c:v>105986.83220352208</c:v>
                </c:pt>
                <c:pt idx="123">
                  <c:v>108723.72994180289</c:v>
                </c:pt>
                <c:pt idx="124">
                  <c:v>102979.34249402971</c:v>
                </c:pt>
                <c:pt idx="125">
                  <c:v>112417.79988034496</c:v>
                </c:pt>
                <c:pt idx="126">
                  <c:v>106829.89420934257</c:v>
                </c:pt>
                <c:pt idx="127">
                  <c:v>106828.70794794448</c:v>
                </c:pt>
                <c:pt idx="128">
                  <c:v>111702.03908892047</c:v>
                </c:pt>
                <c:pt idx="129">
                  <c:v>111116.83803961135</c:v>
                </c:pt>
                <c:pt idx="130">
                  <c:v>111912.34583857925</c:v>
                </c:pt>
                <c:pt idx="131">
                  <c:v>107272.78941705768</c:v>
                </c:pt>
                <c:pt idx="132">
                  <c:v>108489.88240758165</c:v>
                </c:pt>
                <c:pt idx="133">
                  <c:v>104629.13366134132</c:v>
                </c:pt>
                <c:pt idx="134">
                  <c:v>117894.4920427727</c:v>
                </c:pt>
                <c:pt idx="135">
                  <c:v>108377.83401273428</c:v>
                </c:pt>
                <c:pt idx="136">
                  <c:v>108872.42124797442</c:v>
                </c:pt>
                <c:pt idx="137">
                  <c:v>111009.84802108223</c:v>
                </c:pt>
                <c:pt idx="138">
                  <c:v>104556.46036654124</c:v>
                </c:pt>
                <c:pt idx="139">
                  <c:v>107794.80695702448</c:v>
                </c:pt>
                <c:pt idx="140">
                  <c:v>93338.144650351955</c:v>
                </c:pt>
                <c:pt idx="141">
                  <c:v>122908.10703956946</c:v>
                </c:pt>
                <c:pt idx="142">
                  <c:v>120740.78849490749</c:v>
                </c:pt>
                <c:pt idx="143">
                  <c:v>117717.44199446125</c:v>
                </c:pt>
                <c:pt idx="144">
                  <c:v>122033.72440423013</c:v>
                </c:pt>
                <c:pt idx="145">
                  <c:v>127367.97856168357</c:v>
                </c:pt>
                <c:pt idx="146">
                  <c:v>123103.34809480722</c:v>
                </c:pt>
                <c:pt idx="147">
                  <c:v>116751.97848539293</c:v>
                </c:pt>
                <c:pt idx="148">
                  <c:v>115444.06854206533</c:v>
                </c:pt>
                <c:pt idx="149">
                  <c:v>118599.68976970152</c:v>
                </c:pt>
                <c:pt idx="150">
                  <c:v>112452.22333527234</c:v>
                </c:pt>
                <c:pt idx="151">
                  <c:v>113830.14339984169</c:v>
                </c:pt>
                <c:pt idx="152">
                  <c:v>114882.83746194238</c:v>
                </c:pt>
                <c:pt idx="153">
                  <c:v>113840.13239053542</c:v>
                </c:pt>
                <c:pt idx="154">
                  <c:v>119479.4854642495</c:v>
                </c:pt>
                <c:pt idx="155">
                  <c:v>108914.26578945403</c:v>
                </c:pt>
                <c:pt idx="156">
                  <c:v>107654.07880474659</c:v>
                </c:pt>
                <c:pt idx="157">
                  <c:v>112509.47777400067</c:v>
                </c:pt>
                <c:pt idx="158">
                  <c:v>113028.54650109916</c:v>
                </c:pt>
                <c:pt idx="159">
                  <c:v>114203.19395563719</c:v>
                </c:pt>
                <c:pt idx="160">
                  <c:v>107446.74986118844</c:v>
                </c:pt>
                <c:pt idx="161">
                  <c:v>112625.12578712053</c:v>
                </c:pt>
                <c:pt idx="162">
                  <c:v>115414.51290277726</c:v>
                </c:pt>
                <c:pt idx="163">
                  <c:v>113564.68449623011</c:v>
                </c:pt>
                <c:pt idx="164">
                  <c:v>113506.57188201908</c:v>
                </c:pt>
                <c:pt idx="165">
                  <c:v>108187.38251398776</c:v>
                </c:pt>
                <c:pt idx="166">
                  <c:v>113871.16439021489</c:v>
                </c:pt>
                <c:pt idx="167">
                  <c:v>115474.41156048352</c:v>
                </c:pt>
                <c:pt idx="168">
                  <c:v>118685.1729446823</c:v>
                </c:pt>
                <c:pt idx="169">
                  <c:v>116167.49637809236</c:v>
                </c:pt>
                <c:pt idx="170">
                  <c:v>117050.30399827025</c:v>
                </c:pt>
                <c:pt idx="171">
                  <c:v>110090.35458081972</c:v>
                </c:pt>
                <c:pt idx="172">
                  <c:v>120446.57817276123</c:v>
                </c:pt>
                <c:pt idx="173">
                  <c:v>115475.32869453316</c:v>
                </c:pt>
                <c:pt idx="174">
                  <c:v>115082.72066284457</c:v>
                </c:pt>
                <c:pt idx="175">
                  <c:v>119922.52139335516</c:v>
                </c:pt>
                <c:pt idx="176">
                  <c:v>120144.12789168715</c:v>
                </c:pt>
                <c:pt idx="177">
                  <c:v>122033.1627456187</c:v>
                </c:pt>
                <c:pt idx="178">
                  <c:v>114593.19844304815</c:v>
                </c:pt>
                <c:pt idx="179">
                  <c:v>115913.89236123866</c:v>
                </c:pt>
                <c:pt idx="180">
                  <c:v>115290.7504967983</c:v>
                </c:pt>
                <c:pt idx="181">
                  <c:v>127176.26888019573</c:v>
                </c:pt>
                <c:pt idx="182">
                  <c:v>116531.88669013146</c:v>
                </c:pt>
                <c:pt idx="183">
                  <c:v>118370.00665152549</c:v>
                </c:pt>
                <c:pt idx="184">
                  <c:v>120450.75968589928</c:v>
                </c:pt>
                <c:pt idx="185">
                  <c:v>112206.35541357812</c:v>
                </c:pt>
                <c:pt idx="186">
                  <c:v>116316.53346131447</c:v>
                </c:pt>
                <c:pt idx="187">
                  <c:v>103430.94596748284</c:v>
                </c:pt>
                <c:pt idx="188">
                  <c:v>132159.87161694292</c:v>
                </c:pt>
                <c:pt idx="189">
                  <c:v>128267.35369058233</c:v>
                </c:pt>
                <c:pt idx="190">
                  <c:v>127898.94671618244</c:v>
                </c:pt>
                <c:pt idx="191">
                  <c:v>131202.70073633516</c:v>
                </c:pt>
                <c:pt idx="192">
                  <c:v>137315.24581284518</c:v>
                </c:pt>
                <c:pt idx="193">
                  <c:v>132436.36083467095</c:v>
                </c:pt>
                <c:pt idx="194">
                  <c:v>126708.22162834203</c:v>
                </c:pt>
                <c:pt idx="195">
                  <c:v>123844.40840772033</c:v>
                </c:pt>
                <c:pt idx="196">
                  <c:v>127153.29718357787</c:v>
                </c:pt>
                <c:pt idx="197">
                  <c:v>122421.80822929577</c:v>
                </c:pt>
                <c:pt idx="198">
                  <c:v>121518.78776082821</c:v>
                </c:pt>
                <c:pt idx="199">
                  <c:v>121460.28755818389</c:v>
                </c:pt>
                <c:pt idx="200">
                  <c:v>121969.48038651979</c:v>
                </c:pt>
                <c:pt idx="201">
                  <c:v>126742.63780021585</c:v>
                </c:pt>
                <c:pt idx="202">
                  <c:v>117625.82645547579</c:v>
                </c:pt>
                <c:pt idx="203">
                  <c:v>116109.31535183778</c:v>
                </c:pt>
                <c:pt idx="204">
                  <c:v>123425.12876431296</c:v>
                </c:pt>
                <c:pt idx="205">
                  <c:v>125293.19764190546</c:v>
                </c:pt>
                <c:pt idx="206">
                  <c:v>123948.14302041734</c:v>
                </c:pt>
                <c:pt idx="207">
                  <c:v>118861.45704530619</c:v>
                </c:pt>
                <c:pt idx="208">
                  <c:v>123892.16727515291</c:v>
                </c:pt>
                <c:pt idx="209">
                  <c:v>125288.80952694644</c:v>
                </c:pt>
                <c:pt idx="210">
                  <c:v>123742.59987165702</c:v>
                </c:pt>
                <c:pt idx="211">
                  <c:v>123961.10094936636</c:v>
                </c:pt>
                <c:pt idx="212">
                  <c:v>119658.38426710534</c:v>
                </c:pt>
                <c:pt idx="213">
                  <c:v>123298.22899483654</c:v>
                </c:pt>
                <c:pt idx="214">
                  <c:v>125838.04248522519</c:v>
                </c:pt>
                <c:pt idx="215">
                  <c:v>128396.82936571552</c:v>
                </c:pt>
                <c:pt idx="216">
                  <c:v>127759.16986057922</c:v>
                </c:pt>
                <c:pt idx="217">
                  <c:v>128611.04668447278</c:v>
                </c:pt>
                <c:pt idx="218">
                  <c:v>118092.59625383625</c:v>
                </c:pt>
                <c:pt idx="219">
                  <c:v>131523.62119597534</c:v>
                </c:pt>
                <c:pt idx="220">
                  <c:v>125892.84577035441</c:v>
                </c:pt>
                <c:pt idx="221">
                  <c:v>125806.91112606792</c:v>
                </c:pt>
                <c:pt idx="222">
                  <c:v>130761.21258649846</c:v>
                </c:pt>
                <c:pt idx="223">
                  <c:v>131891.17328314288</c:v>
                </c:pt>
                <c:pt idx="224">
                  <c:v>133232.28470479208</c:v>
                </c:pt>
                <c:pt idx="225">
                  <c:v>125682.11763405785</c:v>
                </c:pt>
                <c:pt idx="226">
                  <c:v>124409.77641464882</c:v>
                </c:pt>
                <c:pt idx="227">
                  <c:v>127261.15179582062</c:v>
                </c:pt>
                <c:pt idx="228">
                  <c:v>140944.97516187644</c:v>
                </c:pt>
                <c:pt idx="229">
                  <c:v>127885.58782850284</c:v>
                </c:pt>
                <c:pt idx="230">
                  <c:v>131030.26955754578</c:v>
                </c:pt>
                <c:pt idx="231">
                  <c:v>132997.53149628517</c:v>
                </c:pt>
                <c:pt idx="232">
                  <c:v>126479.7194589116</c:v>
                </c:pt>
                <c:pt idx="233">
                  <c:v>128849.13142070634</c:v>
                </c:pt>
                <c:pt idx="234">
                  <c:v>112325.59775088808</c:v>
                </c:pt>
                <c:pt idx="235">
                  <c:v>137861.93409467724</c:v>
                </c:pt>
                <c:pt idx="236">
                  <c:v>135981.60575505192</c:v>
                </c:pt>
                <c:pt idx="237">
                  <c:v>132341.85875569348</c:v>
                </c:pt>
                <c:pt idx="238">
                  <c:v>135531.3169816825</c:v>
                </c:pt>
                <c:pt idx="239">
                  <c:v>141195.80603508416</c:v>
                </c:pt>
                <c:pt idx="240">
                  <c:v>137114.37297883589</c:v>
                </c:pt>
                <c:pt idx="241">
                  <c:v>128805.9331490911</c:v>
                </c:pt>
                <c:pt idx="242">
                  <c:v>126063.6947930006</c:v>
                </c:pt>
                <c:pt idx="243">
                  <c:v>130303.63063922494</c:v>
                </c:pt>
                <c:pt idx="244">
                  <c:v>125716.81209308191</c:v>
                </c:pt>
                <c:pt idx="245">
                  <c:v>124902.12935468723</c:v>
                </c:pt>
                <c:pt idx="246">
                  <c:v>126364.43778666868</c:v>
                </c:pt>
                <c:pt idx="247">
                  <c:v>127026.60381521333</c:v>
                </c:pt>
                <c:pt idx="248">
                  <c:v>132307.3729151458</c:v>
                </c:pt>
                <c:pt idx="249">
                  <c:v>122635.90303864695</c:v>
                </c:pt>
                <c:pt idx="250">
                  <c:v>120569.26392875747</c:v>
                </c:pt>
                <c:pt idx="251">
                  <c:v>125349.29741139343</c:v>
                </c:pt>
                <c:pt idx="252">
                  <c:v>127137.35701893936</c:v>
                </c:pt>
                <c:pt idx="253">
                  <c:v>127740.36790560561</c:v>
                </c:pt>
                <c:pt idx="254">
                  <c:v>121709.96816068584</c:v>
                </c:pt>
                <c:pt idx="255">
                  <c:v>128018.79256910789</c:v>
                </c:pt>
                <c:pt idx="256">
                  <c:v>128674.83024556925</c:v>
                </c:pt>
                <c:pt idx="257">
                  <c:v>127669.68366862403</c:v>
                </c:pt>
                <c:pt idx="258">
                  <c:v>126153.66030794881</c:v>
                </c:pt>
                <c:pt idx="259">
                  <c:v>121883.41922546692</c:v>
                </c:pt>
                <c:pt idx="260">
                  <c:v>124828.90313413301</c:v>
                </c:pt>
                <c:pt idx="261">
                  <c:v>128612.45515075132</c:v>
                </c:pt>
                <c:pt idx="262">
                  <c:v>131574.38514538953</c:v>
                </c:pt>
                <c:pt idx="263">
                  <c:v>127735.84441194056</c:v>
                </c:pt>
                <c:pt idx="264">
                  <c:v>133210.1074184489</c:v>
                </c:pt>
                <c:pt idx="265">
                  <c:v>124634.74020556675</c:v>
                </c:pt>
                <c:pt idx="266">
                  <c:v>135116.9700500234</c:v>
                </c:pt>
                <c:pt idx="267">
                  <c:v>128280.61596761765</c:v>
                </c:pt>
                <c:pt idx="268">
                  <c:v>128283.94488053081</c:v>
                </c:pt>
                <c:pt idx="269">
                  <c:v>134944.08813363564</c:v>
                </c:pt>
                <c:pt idx="270">
                  <c:v>135567.63059352676</c:v>
                </c:pt>
                <c:pt idx="271">
                  <c:v>134852.88302121058</c:v>
                </c:pt>
                <c:pt idx="272">
                  <c:v>130792.5592763266</c:v>
                </c:pt>
                <c:pt idx="273">
                  <c:v>128761.06414110013</c:v>
                </c:pt>
                <c:pt idx="274">
                  <c:v>129137.53986597741</c:v>
                </c:pt>
                <c:pt idx="275">
                  <c:v>141701.20744225668</c:v>
                </c:pt>
                <c:pt idx="276">
                  <c:v>132166.12309462851</c:v>
                </c:pt>
                <c:pt idx="277">
                  <c:v>132621.81872877022</c:v>
                </c:pt>
                <c:pt idx="278">
                  <c:v>136508.04272580773</c:v>
                </c:pt>
                <c:pt idx="279">
                  <c:v>129818.62904030774</c:v>
                </c:pt>
                <c:pt idx="280">
                  <c:v>131222.10246196802</c:v>
                </c:pt>
                <c:pt idx="281">
                  <c:v>112740.99734975038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CC-499D-8A2C-0127ABF55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955519"/>
        <c:axId val="430954559"/>
      </c:scatterChart>
      <c:valAx>
        <c:axId val="430955519"/>
        <c:scaling>
          <c:orientation val="minMax"/>
          <c:min val="2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0954559"/>
        <c:crosses val="autoZero"/>
        <c:crossBetween val="midCat"/>
      </c:valAx>
      <c:valAx>
        <c:axId val="430954559"/>
        <c:scaling>
          <c:orientation val="minMax"/>
          <c:min val="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0955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インセンティブ実施率!$X$1</c:f>
              <c:strCache>
                <c:ptCount val="1"/>
                <c:pt idx="0">
                  <c:v>（再掲）生活習慣病_入院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インセンティブ実施率!$H$2:$H$283</c:f>
              <c:numCache>
                <c:formatCode>#,##0.0;[Red]\-#,##0.0</c:formatCode>
                <c:ptCount val="282"/>
                <c:pt idx="0">
                  <c:v>32.5</c:v>
                </c:pt>
                <c:pt idx="1">
                  <c:v>34</c:v>
                </c:pt>
                <c:pt idx="2">
                  <c:v>30.8</c:v>
                </c:pt>
                <c:pt idx="3">
                  <c:v>33.5</c:v>
                </c:pt>
                <c:pt idx="4">
                  <c:v>31.5</c:v>
                </c:pt>
                <c:pt idx="5">
                  <c:v>31.8</c:v>
                </c:pt>
                <c:pt idx="6">
                  <c:v>33.5</c:v>
                </c:pt>
                <c:pt idx="7">
                  <c:v>31.7</c:v>
                </c:pt>
                <c:pt idx="8">
                  <c:v>33</c:v>
                </c:pt>
                <c:pt idx="9">
                  <c:v>31.9</c:v>
                </c:pt>
                <c:pt idx="10">
                  <c:v>31.6</c:v>
                </c:pt>
                <c:pt idx="11">
                  <c:v>33.299999999999997</c:v>
                </c:pt>
                <c:pt idx="12">
                  <c:v>32.9</c:v>
                </c:pt>
                <c:pt idx="13">
                  <c:v>32.5</c:v>
                </c:pt>
                <c:pt idx="14">
                  <c:v>33.4</c:v>
                </c:pt>
                <c:pt idx="15">
                  <c:v>31.5</c:v>
                </c:pt>
                <c:pt idx="16">
                  <c:v>31.8</c:v>
                </c:pt>
                <c:pt idx="17">
                  <c:v>32.5</c:v>
                </c:pt>
                <c:pt idx="18">
                  <c:v>31.8</c:v>
                </c:pt>
                <c:pt idx="19">
                  <c:v>32</c:v>
                </c:pt>
                <c:pt idx="20">
                  <c:v>33.700000000000003</c:v>
                </c:pt>
                <c:pt idx="21">
                  <c:v>34.799999999999997</c:v>
                </c:pt>
                <c:pt idx="22">
                  <c:v>32.9</c:v>
                </c:pt>
                <c:pt idx="23">
                  <c:v>33.700000000000003</c:v>
                </c:pt>
                <c:pt idx="24">
                  <c:v>34.200000000000003</c:v>
                </c:pt>
                <c:pt idx="25">
                  <c:v>34</c:v>
                </c:pt>
                <c:pt idx="26">
                  <c:v>33.4</c:v>
                </c:pt>
                <c:pt idx="27">
                  <c:v>32.799999999999997</c:v>
                </c:pt>
                <c:pt idx="28">
                  <c:v>34.4</c:v>
                </c:pt>
                <c:pt idx="29">
                  <c:v>34</c:v>
                </c:pt>
                <c:pt idx="30">
                  <c:v>33.1</c:v>
                </c:pt>
                <c:pt idx="31">
                  <c:v>32.6</c:v>
                </c:pt>
                <c:pt idx="32">
                  <c:v>32.299999999999997</c:v>
                </c:pt>
                <c:pt idx="33">
                  <c:v>32.200000000000003</c:v>
                </c:pt>
                <c:pt idx="34">
                  <c:v>32.5</c:v>
                </c:pt>
                <c:pt idx="35">
                  <c:v>34.299999999999997</c:v>
                </c:pt>
                <c:pt idx="36">
                  <c:v>33.4</c:v>
                </c:pt>
                <c:pt idx="37">
                  <c:v>31.7</c:v>
                </c:pt>
                <c:pt idx="38">
                  <c:v>29.2</c:v>
                </c:pt>
                <c:pt idx="39">
                  <c:v>33</c:v>
                </c:pt>
                <c:pt idx="40">
                  <c:v>33.700000000000003</c:v>
                </c:pt>
                <c:pt idx="41">
                  <c:v>33.700000000000003</c:v>
                </c:pt>
                <c:pt idx="42">
                  <c:v>32.700000000000003</c:v>
                </c:pt>
                <c:pt idx="43">
                  <c:v>33.799999999999997</c:v>
                </c:pt>
                <c:pt idx="44">
                  <c:v>33.6</c:v>
                </c:pt>
                <c:pt idx="45">
                  <c:v>33.700000000000003</c:v>
                </c:pt>
                <c:pt idx="46">
                  <c:v>32.700000000000003</c:v>
                </c:pt>
                <c:pt idx="47">
                  <c:v>32.5</c:v>
                </c:pt>
                <c:pt idx="48">
                  <c:v>32.299999999999997</c:v>
                </c:pt>
                <c:pt idx="49">
                  <c:v>32.299999999999997</c:v>
                </c:pt>
                <c:pt idx="50">
                  <c:v>32.700000000000003</c:v>
                </c:pt>
                <c:pt idx="51">
                  <c:v>32.299999999999997</c:v>
                </c:pt>
                <c:pt idx="52">
                  <c:v>33.6</c:v>
                </c:pt>
                <c:pt idx="53">
                  <c:v>33.9</c:v>
                </c:pt>
                <c:pt idx="54">
                  <c:v>32.4</c:v>
                </c:pt>
                <c:pt idx="55">
                  <c:v>33.9</c:v>
                </c:pt>
                <c:pt idx="56">
                  <c:v>33</c:v>
                </c:pt>
                <c:pt idx="57">
                  <c:v>31.7</c:v>
                </c:pt>
                <c:pt idx="58">
                  <c:v>32.4</c:v>
                </c:pt>
                <c:pt idx="59">
                  <c:v>32.9</c:v>
                </c:pt>
                <c:pt idx="60">
                  <c:v>32.1</c:v>
                </c:pt>
                <c:pt idx="61">
                  <c:v>33.4</c:v>
                </c:pt>
                <c:pt idx="62">
                  <c:v>31.4</c:v>
                </c:pt>
                <c:pt idx="63">
                  <c:v>31.5</c:v>
                </c:pt>
                <c:pt idx="64">
                  <c:v>33.700000000000003</c:v>
                </c:pt>
                <c:pt idx="65">
                  <c:v>31.7</c:v>
                </c:pt>
                <c:pt idx="66">
                  <c:v>33.1</c:v>
                </c:pt>
                <c:pt idx="67">
                  <c:v>33.6</c:v>
                </c:pt>
                <c:pt idx="68">
                  <c:v>33.700000000000003</c:v>
                </c:pt>
                <c:pt idx="69">
                  <c:v>33.299999999999997</c:v>
                </c:pt>
                <c:pt idx="70">
                  <c:v>32.799999999999997</c:v>
                </c:pt>
                <c:pt idx="71">
                  <c:v>35.5</c:v>
                </c:pt>
                <c:pt idx="72">
                  <c:v>34.299999999999997</c:v>
                </c:pt>
                <c:pt idx="73">
                  <c:v>33.5</c:v>
                </c:pt>
                <c:pt idx="74">
                  <c:v>33.200000000000003</c:v>
                </c:pt>
                <c:pt idx="75">
                  <c:v>35.4</c:v>
                </c:pt>
                <c:pt idx="76">
                  <c:v>34</c:v>
                </c:pt>
                <c:pt idx="77">
                  <c:v>32.799999999999997</c:v>
                </c:pt>
                <c:pt idx="78">
                  <c:v>34.200000000000003</c:v>
                </c:pt>
                <c:pt idx="79">
                  <c:v>32.4</c:v>
                </c:pt>
                <c:pt idx="80">
                  <c:v>32.9</c:v>
                </c:pt>
                <c:pt idx="81">
                  <c:v>33.1</c:v>
                </c:pt>
                <c:pt idx="82">
                  <c:v>34</c:v>
                </c:pt>
                <c:pt idx="83">
                  <c:v>32.5</c:v>
                </c:pt>
                <c:pt idx="84">
                  <c:v>32.200000000000003</c:v>
                </c:pt>
                <c:pt idx="85">
                  <c:v>30.6</c:v>
                </c:pt>
                <c:pt idx="86">
                  <c:v>33</c:v>
                </c:pt>
                <c:pt idx="87">
                  <c:v>35.299999999999997</c:v>
                </c:pt>
                <c:pt idx="88">
                  <c:v>33.299999999999997</c:v>
                </c:pt>
                <c:pt idx="89">
                  <c:v>33.200000000000003</c:v>
                </c:pt>
                <c:pt idx="90">
                  <c:v>33.700000000000003</c:v>
                </c:pt>
                <c:pt idx="91">
                  <c:v>34.200000000000003</c:v>
                </c:pt>
                <c:pt idx="92">
                  <c:v>33.1</c:v>
                </c:pt>
                <c:pt idx="93">
                  <c:v>33.200000000000003</c:v>
                </c:pt>
                <c:pt idx="94">
                  <c:v>31.7</c:v>
                </c:pt>
                <c:pt idx="95">
                  <c:v>31.4</c:v>
                </c:pt>
                <c:pt idx="96">
                  <c:v>31.4</c:v>
                </c:pt>
                <c:pt idx="97">
                  <c:v>31.6</c:v>
                </c:pt>
                <c:pt idx="98">
                  <c:v>33.200000000000003</c:v>
                </c:pt>
                <c:pt idx="99">
                  <c:v>33.299999999999997</c:v>
                </c:pt>
                <c:pt idx="100">
                  <c:v>33.5</c:v>
                </c:pt>
                <c:pt idx="101">
                  <c:v>31.7</c:v>
                </c:pt>
                <c:pt idx="102">
                  <c:v>32.4</c:v>
                </c:pt>
                <c:pt idx="103">
                  <c:v>31.7</c:v>
                </c:pt>
                <c:pt idx="104">
                  <c:v>31.8</c:v>
                </c:pt>
                <c:pt idx="105">
                  <c:v>31.4</c:v>
                </c:pt>
                <c:pt idx="106">
                  <c:v>32.4</c:v>
                </c:pt>
                <c:pt idx="107">
                  <c:v>31.7</c:v>
                </c:pt>
                <c:pt idx="108">
                  <c:v>33.1</c:v>
                </c:pt>
                <c:pt idx="109">
                  <c:v>31.6</c:v>
                </c:pt>
                <c:pt idx="110">
                  <c:v>31</c:v>
                </c:pt>
                <c:pt idx="111">
                  <c:v>32.700000000000003</c:v>
                </c:pt>
                <c:pt idx="112">
                  <c:v>31.6</c:v>
                </c:pt>
                <c:pt idx="113">
                  <c:v>32.299999999999997</c:v>
                </c:pt>
                <c:pt idx="114">
                  <c:v>33.200000000000003</c:v>
                </c:pt>
                <c:pt idx="115">
                  <c:v>33.5</c:v>
                </c:pt>
                <c:pt idx="116">
                  <c:v>31.8</c:v>
                </c:pt>
                <c:pt idx="117">
                  <c:v>32.4</c:v>
                </c:pt>
                <c:pt idx="118">
                  <c:v>33.9</c:v>
                </c:pt>
                <c:pt idx="119">
                  <c:v>33.700000000000003</c:v>
                </c:pt>
                <c:pt idx="120">
                  <c:v>32.9</c:v>
                </c:pt>
                <c:pt idx="121">
                  <c:v>32.6</c:v>
                </c:pt>
                <c:pt idx="122">
                  <c:v>35.1</c:v>
                </c:pt>
                <c:pt idx="123">
                  <c:v>34.799999999999997</c:v>
                </c:pt>
                <c:pt idx="124">
                  <c:v>32.6</c:v>
                </c:pt>
                <c:pt idx="125">
                  <c:v>32.799999999999997</c:v>
                </c:pt>
                <c:pt idx="126">
                  <c:v>31.6</c:v>
                </c:pt>
                <c:pt idx="127">
                  <c:v>31.8</c:v>
                </c:pt>
                <c:pt idx="128">
                  <c:v>33</c:v>
                </c:pt>
                <c:pt idx="129">
                  <c:v>34.700000000000003</c:v>
                </c:pt>
                <c:pt idx="130">
                  <c:v>32.5</c:v>
                </c:pt>
                <c:pt idx="131">
                  <c:v>32.200000000000003</c:v>
                </c:pt>
                <c:pt idx="132">
                  <c:v>29.3</c:v>
                </c:pt>
                <c:pt idx="133">
                  <c:v>32.9</c:v>
                </c:pt>
                <c:pt idx="134">
                  <c:v>33.4</c:v>
                </c:pt>
                <c:pt idx="135">
                  <c:v>33.1</c:v>
                </c:pt>
                <c:pt idx="136">
                  <c:v>32.799999999999997</c:v>
                </c:pt>
                <c:pt idx="137">
                  <c:v>33.1</c:v>
                </c:pt>
                <c:pt idx="138">
                  <c:v>34.299999999999997</c:v>
                </c:pt>
                <c:pt idx="139">
                  <c:v>32.200000000000003</c:v>
                </c:pt>
                <c:pt idx="140">
                  <c:v>33.1</c:v>
                </c:pt>
                <c:pt idx="141">
                  <c:v>34.5</c:v>
                </c:pt>
                <c:pt idx="142">
                  <c:v>34.299999999999997</c:v>
                </c:pt>
                <c:pt idx="143">
                  <c:v>33.299999999999997</c:v>
                </c:pt>
                <c:pt idx="144">
                  <c:v>35</c:v>
                </c:pt>
                <c:pt idx="145">
                  <c:v>34.5</c:v>
                </c:pt>
                <c:pt idx="146">
                  <c:v>34.700000000000003</c:v>
                </c:pt>
                <c:pt idx="147">
                  <c:v>35.1</c:v>
                </c:pt>
                <c:pt idx="148">
                  <c:v>33</c:v>
                </c:pt>
                <c:pt idx="149">
                  <c:v>34.9</c:v>
                </c:pt>
                <c:pt idx="150">
                  <c:v>33.6</c:v>
                </c:pt>
                <c:pt idx="151">
                  <c:v>34.4</c:v>
                </c:pt>
                <c:pt idx="152">
                  <c:v>34.799999999999997</c:v>
                </c:pt>
                <c:pt idx="153">
                  <c:v>35.5</c:v>
                </c:pt>
                <c:pt idx="154">
                  <c:v>35.1</c:v>
                </c:pt>
                <c:pt idx="155">
                  <c:v>34.9</c:v>
                </c:pt>
                <c:pt idx="156">
                  <c:v>33.700000000000003</c:v>
                </c:pt>
                <c:pt idx="157">
                  <c:v>35.1</c:v>
                </c:pt>
                <c:pt idx="158">
                  <c:v>35.200000000000003</c:v>
                </c:pt>
                <c:pt idx="159">
                  <c:v>33.4</c:v>
                </c:pt>
                <c:pt idx="160">
                  <c:v>35.200000000000003</c:v>
                </c:pt>
                <c:pt idx="161">
                  <c:v>36.1</c:v>
                </c:pt>
                <c:pt idx="162">
                  <c:v>35.5</c:v>
                </c:pt>
                <c:pt idx="163">
                  <c:v>34.700000000000003</c:v>
                </c:pt>
                <c:pt idx="164">
                  <c:v>33.799999999999997</c:v>
                </c:pt>
                <c:pt idx="165">
                  <c:v>34.9</c:v>
                </c:pt>
                <c:pt idx="166">
                  <c:v>36.1</c:v>
                </c:pt>
                <c:pt idx="167">
                  <c:v>35.5</c:v>
                </c:pt>
                <c:pt idx="168">
                  <c:v>34.700000000000003</c:v>
                </c:pt>
                <c:pt idx="169">
                  <c:v>37.200000000000003</c:v>
                </c:pt>
                <c:pt idx="170">
                  <c:v>36</c:v>
                </c:pt>
                <c:pt idx="171">
                  <c:v>35</c:v>
                </c:pt>
                <c:pt idx="172">
                  <c:v>34.4</c:v>
                </c:pt>
                <c:pt idx="173">
                  <c:v>33.4</c:v>
                </c:pt>
                <c:pt idx="174">
                  <c:v>34.5</c:v>
                </c:pt>
                <c:pt idx="175">
                  <c:v>33.6</c:v>
                </c:pt>
                <c:pt idx="176">
                  <c:v>36</c:v>
                </c:pt>
                <c:pt idx="177">
                  <c:v>35.6</c:v>
                </c:pt>
                <c:pt idx="178">
                  <c:v>34.299999999999997</c:v>
                </c:pt>
                <c:pt idx="179">
                  <c:v>31.8</c:v>
                </c:pt>
                <c:pt idx="180">
                  <c:v>34.5</c:v>
                </c:pt>
                <c:pt idx="181">
                  <c:v>35.1</c:v>
                </c:pt>
                <c:pt idx="182">
                  <c:v>34.4</c:v>
                </c:pt>
                <c:pt idx="183">
                  <c:v>35</c:v>
                </c:pt>
                <c:pt idx="184">
                  <c:v>35.1</c:v>
                </c:pt>
                <c:pt idx="185">
                  <c:v>34.9</c:v>
                </c:pt>
                <c:pt idx="186">
                  <c:v>34.6</c:v>
                </c:pt>
                <c:pt idx="187">
                  <c:v>34.4</c:v>
                </c:pt>
                <c:pt idx="188">
                  <c:v>32.700000000000003</c:v>
                </c:pt>
                <c:pt idx="189">
                  <c:v>32.200000000000003</c:v>
                </c:pt>
                <c:pt idx="190">
                  <c:v>33.5</c:v>
                </c:pt>
                <c:pt idx="191">
                  <c:v>33.1</c:v>
                </c:pt>
                <c:pt idx="192">
                  <c:v>34.299999999999997</c:v>
                </c:pt>
                <c:pt idx="193">
                  <c:v>34.4</c:v>
                </c:pt>
                <c:pt idx="194">
                  <c:v>34</c:v>
                </c:pt>
                <c:pt idx="195">
                  <c:v>33.299999999999997</c:v>
                </c:pt>
                <c:pt idx="196">
                  <c:v>34.4</c:v>
                </c:pt>
                <c:pt idx="197">
                  <c:v>33</c:v>
                </c:pt>
                <c:pt idx="198">
                  <c:v>33.700000000000003</c:v>
                </c:pt>
                <c:pt idx="199">
                  <c:v>34.200000000000003</c:v>
                </c:pt>
                <c:pt idx="200">
                  <c:v>35.200000000000003</c:v>
                </c:pt>
                <c:pt idx="201">
                  <c:v>34</c:v>
                </c:pt>
                <c:pt idx="202">
                  <c:v>33.5</c:v>
                </c:pt>
                <c:pt idx="203">
                  <c:v>33.5</c:v>
                </c:pt>
                <c:pt idx="204">
                  <c:v>33.9</c:v>
                </c:pt>
                <c:pt idx="205">
                  <c:v>34.200000000000003</c:v>
                </c:pt>
                <c:pt idx="206">
                  <c:v>33.299999999999997</c:v>
                </c:pt>
                <c:pt idx="207">
                  <c:v>34.6</c:v>
                </c:pt>
                <c:pt idx="208">
                  <c:v>34.9</c:v>
                </c:pt>
                <c:pt idx="209">
                  <c:v>34.700000000000003</c:v>
                </c:pt>
                <c:pt idx="210">
                  <c:v>33.4</c:v>
                </c:pt>
                <c:pt idx="211">
                  <c:v>34</c:v>
                </c:pt>
                <c:pt idx="212">
                  <c:v>34.5</c:v>
                </c:pt>
                <c:pt idx="213">
                  <c:v>35.5</c:v>
                </c:pt>
                <c:pt idx="214">
                  <c:v>35</c:v>
                </c:pt>
                <c:pt idx="215">
                  <c:v>34.5</c:v>
                </c:pt>
                <c:pt idx="216">
                  <c:v>36.700000000000003</c:v>
                </c:pt>
                <c:pt idx="217">
                  <c:v>34.700000000000003</c:v>
                </c:pt>
                <c:pt idx="218">
                  <c:v>33.700000000000003</c:v>
                </c:pt>
                <c:pt idx="219">
                  <c:v>34.5</c:v>
                </c:pt>
                <c:pt idx="220">
                  <c:v>32.299999999999997</c:v>
                </c:pt>
                <c:pt idx="221">
                  <c:v>33.299999999999997</c:v>
                </c:pt>
                <c:pt idx="222">
                  <c:v>35.299999999999997</c:v>
                </c:pt>
                <c:pt idx="223">
                  <c:v>35.299999999999997</c:v>
                </c:pt>
                <c:pt idx="224">
                  <c:v>34.200000000000003</c:v>
                </c:pt>
                <c:pt idx="225">
                  <c:v>33.299999999999997</c:v>
                </c:pt>
                <c:pt idx="226">
                  <c:v>30.2</c:v>
                </c:pt>
                <c:pt idx="227">
                  <c:v>34.299999999999997</c:v>
                </c:pt>
                <c:pt idx="228">
                  <c:v>36.4</c:v>
                </c:pt>
                <c:pt idx="229">
                  <c:v>35.4</c:v>
                </c:pt>
                <c:pt idx="230">
                  <c:v>33.200000000000003</c:v>
                </c:pt>
                <c:pt idx="231">
                  <c:v>34.1</c:v>
                </c:pt>
                <c:pt idx="232">
                  <c:v>34.700000000000003</c:v>
                </c:pt>
                <c:pt idx="233">
                  <c:v>34.700000000000003</c:v>
                </c:pt>
                <c:pt idx="234">
                  <c:v>34.200000000000003</c:v>
                </c:pt>
                <c:pt idx="235">
                  <c:v>32.4</c:v>
                </c:pt>
                <c:pt idx="236">
                  <c:v>33.5</c:v>
                </c:pt>
                <c:pt idx="237">
                  <c:v>34</c:v>
                </c:pt>
                <c:pt idx="238">
                  <c:v>32.5</c:v>
                </c:pt>
                <c:pt idx="239">
                  <c:v>33</c:v>
                </c:pt>
                <c:pt idx="240">
                  <c:v>33.700000000000003</c:v>
                </c:pt>
                <c:pt idx="241">
                  <c:v>33.799999999999997</c:v>
                </c:pt>
                <c:pt idx="242">
                  <c:v>32.1</c:v>
                </c:pt>
                <c:pt idx="243">
                  <c:v>33.6</c:v>
                </c:pt>
                <c:pt idx="244">
                  <c:v>32.299999999999997</c:v>
                </c:pt>
                <c:pt idx="245">
                  <c:v>33.200000000000003</c:v>
                </c:pt>
                <c:pt idx="246">
                  <c:v>33.5</c:v>
                </c:pt>
                <c:pt idx="247">
                  <c:v>34.4</c:v>
                </c:pt>
                <c:pt idx="248">
                  <c:v>33.4</c:v>
                </c:pt>
                <c:pt idx="249">
                  <c:v>34.200000000000003</c:v>
                </c:pt>
                <c:pt idx="250">
                  <c:v>33.1</c:v>
                </c:pt>
                <c:pt idx="251">
                  <c:v>33.6</c:v>
                </c:pt>
                <c:pt idx="252">
                  <c:v>32.9</c:v>
                </c:pt>
                <c:pt idx="253">
                  <c:v>33.200000000000003</c:v>
                </c:pt>
                <c:pt idx="254">
                  <c:v>34</c:v>
                </c:pt>
                <c:pt idx="255">
                  <c:v>34.799999999999997</c:v>
                </c:pt>
                <c:pt idx="256">
                  <c:v>34.299999999999997</c:v>
                </c:pt>
                <c:pt idx="257">
                  <c:v>33.200000000000003</c:v>
                </c:pt>
                <c:pt idx="258">
                  <c:v>33.4</c:v>
                </c:pt>
                <c:pt idx="259">
                  <c:v>33.799999999999997</c:v>
                </c:pt>
                <c:pt idx="260">
                  <c:v>34.799999999999997</c:v>
                </c:pt>
                <c:pt idx="261">
                  <c:v>34.1</c:v>
                </c:pt>
                <c:pt idx="262">
                  <c:v>33.700000000000003</c:v>
                </c:pt>
                <c:pt idx="263">
                  <c:v>35.5</c:v>
                </c:pt>
                <c:pt idx="264">
                  <c:v>35.200000000000003</c:v>
                </c:pt>
                <c:pt idx="265">
                  <c:v>33.700000000000003</c:v>
                </c:pt>
                <c:pt idx="266">
                  <c:v>33.5</c:v>
                </c:pt>
                <c:pt idx="267">
                  <c:v>32.4</c:v>
                </c:pt>
                <c:pt idx="268">
                  <c:v>33.4</c:v>
                </c:pt>
                <c:pt idx="269">
                  <c:v>34.4</c:v>
                </c:pt>
                <c:pt idx="270">
                  <c:v>35.799999999999997</c:v>
                </c:pt>
                <c:pt idx="271">
                  <c:v>33.5</c:v>
                </c:pt>
                <c:pt idx="272">
                  <c:v>33.200000000000003</c:v>
                </c:pt>
                <c:pt idx="273">
                  <c:v>31</c:v>
                </c:pt>
                <c:pt idx="274">
                  <c:v>34.1</c:v>
                </c:pt>
                <c:pt idx="275">
                  <c:v>34.5</c:v>
                </c:pt>
                <c:pt idx="276">
                  <c:v>34.5</c:v>
                </c:pt>
                <c:pt idx="277">
                  <c:v>34</c:v>
                </c:pt>
                <c:pt idx="278">
                  <c:v>34.299999999999997</c:v>
                </c:pt>
                <c:pt idx="279">
                  <c:v>34.5</c:v>
                </c:pt>
                <c:pt idx="280">
                  <c:v>34.1</c:v>
                </c:pt>
                <c:pt idx="281">
                  <c:v>33.9</c:v>
                </c:pt>
              </c:numCache>
            </c:numRef>
          </c:xVal>
          <c:yVal>
            <c:numRef>
              <c:f>インセンティブ実施率!$X$2:$X$283</c:f>
              <c:numCache>
                <c:formatCode>#,##0.00_);[Red]\(#,##0.00\)</c:formatCode>
                <c:ptCount val="282"/>
                <c:pt idx="0">
                  <c:v>8101.2156058804112</c:v>
                </c:pt>
                <c:pt idx="1">
                  <c:v>6228.4656975080106</c:v>
                </c:pt>
                <c:pt idx="2">
                  <c:v>6540.3978249683278</c:v>
                </c:pt>
                <c:pt idx="3">
                  <c:v>6601.4962766218014</c:v>
                </c:pt>
                <c:pt idx="4">
                  <c:v>6739.7889806382664</c:v>
                </c:pt>
                <c:pt idx="5">
                  <c:v>5834.3728891314995</c:v>
                </c:pt>
                <c:pt idx="6">
                  <c:v>6007.8744403025921</c:v>
                </c:pt>
                <c:pt idx="7">
                  <c:v>6068.3295787985244</c:v>
                </c:pt>
                <c:pt idx="8">
                  <c:v>5948.5169410073922</c:v>
                </c:pt>
                <c:pt idx="9">
                  <c:v>5995.0741148097632</c:v>
                </c:pt>
                <c:pt idx="10">
                  <c:v>6208.0956790779292</c:v>
                </c:pt>
                <c:pt idx="11">
                  <c:v>6803.5629210034904</c:v>
                </c:pt>
                <c:pt idx="12">
                  <c:v>5600.6469265243686</c:v>
                </c:pt>
                <c:pt idx="13">
                  <c:v>6375.384132953759</c:v>
                </c:pt>
                <c:pt idx="14">
                  <c:v>4787.460292757165</c:v>
                </c:pt>
                <c:pt idx="15">
                  <c:v>5948.84001809658</c:v>
                </c:pt>
                <c:pt idx="16">
                  <c:v>6504.5635187957032</c:v>
                </c:pt>
                <c:pt idx="17">
                  <c:v>6588.6441270515106</c:v>
                </c:pt>
                <c:pt idx="18">
                  <c:v>5826.001247439699</c:v>
                </c:pt>
                <c:pt idx="19">
                  <c:v>5836.5480684962859</c:v>
                </c:pt>
                <c:pt idx="20">
                  <c:v>5642.0232702830517</c:v>
                </c:pt>
                <c:pt idx="21">
                  <c:v>5589.020760094877</c:v>
                </c:pt>
                <c:pt idx="22">
                  <c:v>5161.6197520920841</c:v>
                </c:pt>
                <c:pt idx="23">
                  <c:v>5593.2007860490212</c:v>
                </c:pt>
                <c:pt idx="24">
                  <c:v>6007.1225170339321</c:v>
                </c:pt>
                <c:pt idx="25">
                  <c:v>6241.03995172543</c:v>
                </c:pt>
                <c:pt idx="26">
                  <c:v>5762.7965217828014</c:v>
                </c:pt>
                <c:pt idx="27">
                  <c:v>5961.7602034540287</c:v>
                </c:pt>
                <c:pt idx="28">
                  <c:v>6475.9131853954023</c:v>
                </c:pt>
                <c:pt idx="29">
                  <c:v>5413.3679878490284</c:v>
                </c:pt>
                <c:pt idx="30">
                  <c:v>6118.3315681590811</c:v>
                </c:pt>
                <c:pt idx="31">
                  <c:v>6359.4583340854797</c:v>
                </c:pt>
                <c:pt idx="32">
                  <c:v>5817.2751046728754</c:v>
                </c:pt>
                <c:pt idx="33">
                  <c:v>5667.0154955593489</c:v>
                </c:pt>
                <c:pt idx="34">
                  <c:v>7061.2689540843339</c:v>
                </c:pt>
                <c:pt idx="35">
                  <c:v>6569.7608710053064</c:v>
                </c:pt>
                <c:pt idx="36">
                  <c:v>6319.459341733741</c:v>
                </c:pt>
                <c:pt idx="37">
                  <c:v>5780.525680323597</c:v>
                </c:pt>
                <c:pt idx="38">
                  <c:v>7598.3947439749309</c:v>
                </c:pt>
                <c:pt idx="39">
                  <c:v>6736.5236624641311</c:v>
                </c:pt>
                <c:pt idx="40">
                  <c:v>7653.8425852039309</c:v>
                </c:pt>
                <c:pt idx="41">
                  <c:v>6632.0767909766273</c:v>
                </c:pt>
                <c:pt idx="42">
                  <c:v>6287.1461170381644</c:v>
                </c:pt>
                <c:pt idx="43">
                  <c:v>6659.1320987739164</c:v>
                </c:pt>
                <c:pt idx="44">
                  <c:v>6595.798006885997</c:v>
                </c:pt>
                <c:pt idx="45">
                  <c:v>7319.6882582099452</c:v>
                </c:pt>
                <c:pt idx="46">
                  <c:v>7304.0480205297454</c:v>
                </c:pt>
                <c:pt idx="47">
                  <c:v>8277.4247651076439</c:v>
                </c:pt>
                <c:pt idx="48">
                  <c:v>6655.7562721298</c:v>
                </c:pt>
                <c:pt idx="49">
                  <c:v>6446.9836658697759</c:v>
                </c:pt>
                <c:pt idx="50">
                  <c:v>6317.8698257064343</c:v>
                </c:pt>
                <c:pt idx="51">
                  <c:v>6766.8180962984106</c:v>
                </c:pt>
                <c:pt idx="52">
                  <c:v>6123.7624379708832</c:v>
                </c:pt>
                <c:pt idx="53">
                  <c:v>5684.0278211363111</c:v>
                </c:pt>
                <c:pt idx="54">
                  <c:v>5978.9148472721163</c:v>
                </c:pt>
                <c:pt idx="55">
                  <c:v>5987.2677927042387</c:v>
                </c:pt>
                <c:pt idx="56">
                  <c:v>5620.3849277592826</c:v>
                </c:pt>
                <c:pt idx="57">
                  <c:v>6421.6894913689121</c:v>
                </c:pt>
                <c:pt idx="58">
                  <c:v>6967.7242379106747</c:v>
                </c:pt>
                <c:pt idx="59">
                  <c:v>5343.407898486772</c:v>
                </c:pt>
                <c:pt idx="60">
                  <c:v>6334.2560960083101</c:v>
                </c:pt>
                <c:pt idx="61">
                  <c:v>5044.3542167952855</c:v>
                </c:pt>
                <c:pt idx="62">
                  <c:v>6348.5307964439853</c:v>
                </c:pt>
                <c:pt idx="63">
                  <c:v>6851.8938019913103</c:v>
                </c:pt>
                <c:pt idx="64">
                  <c:v>6357.0713423618618</c:v>
                </c:pt>
                <c:pt idx="65">
                  <c:v>5495.7973198684931</c:v>
                </c:pt>
                <c:pt idx="66">
                  <c:v>5449.7442961737406</c:v>
                </c:pt>
                <c:pt idx="67">
                  <c:v>5190.8907958511063</c:v>
                </c:pt>
                <c:pt idx="68">
                  <c:v>5842.2205140573069</c:v>
                </c:pt>
                <c:pt idx="69">
                  <c:v>5305.5125756206871</c:v>
                </c:pt>
                <c:pt idx="70">
                  <c:v>5590.1916497776547</c:v>
                </c:pt>
                <c:pt idx="71">
                  <c:v>6158.9965969396917</c:v>
                </c:pt>
                <c:pt idx="72">
                  <c:v>5947.4599969800056</c:v>
                </c:pt>
                <c:pt idx="73">
                  <c:v>5970.1648448945416</c:v>
                </c:pt>
                <c:pt idx="74">
                  <c:v>6250.5097761911402</c:v>
                </c:pt>
                <c:pt idx="75">
                  <c:v>6457.7149564767305</c:v>
                </c:pt>
                <c:pt idx="76">
                  <c:v>5712.5569576632624</c:v>
                </c:pt>
                <c:pt idx="77">
                  <c:v>6791.4661390322599</c:v>
                </c:pt>
                <c:pt idx="78">
                  <c:v>6179.8209356039533</c:v>
                </c:pt>
                <c:pt idx="79">
                  <c:v>6057.4836346454122</c:v>
                </c:pt>
                <c:pt idx="80">
                  <c:v>5596.3489924798851</c:v>
                </c:pt>
                <c:pt idx="81">
                  <c:v>6799.0136189471214</c:v>
                </c:pt>
                <c:pt idx="82">
                  <c:v>6287.1754707281998</c:v>
                </c:pt>
                <c:pt idx="83">
                  <c:v>6447.1469084571636</c:v>
                </c:pt>
                <c:pt idx="84">
                  <c:v>6046.1329844602478</c:v>
                </c:pt>
                <c:pt idx="85">
                  <c:v>7462.326992073371</c:v>
                </c:pt>
                <c:pt idx="86">
                  <c:v>6779.3663961399952</c:v>
                </c:pt>
                <c:pt idx="87">
                  <c:v>7428.3414816288405</c:v>
                </c:pt>
                <c:pt idx="88">
                  <c:v>6925.8690265717005</c:v>
                </c:pt>
                <c:pt idx="89">
                  <c:v>6516.3472338244774</c:v>
                </c:pt>
                <c:pt idx="90">
                  <c:v>7398.6447473464623</c:v>
                </c:pt>
                <c:pt idx="91">
                  <c:v>6309.3902560122988</c:v>
                </c:pt>
                <c:pt idx="92">
                  <c:v>7668.0033012512231</c:v>
                </c:pt>
                <c:pt idx="93">
                  <c:v>6685.5529261908587</c:v>
                </c:pt>
                <c:pt idx="94">
                  <c:v>7838.4304711064842</c:v>
                </c:pt>
                <c:pt idx="95">
                  <c:v>6460.5363481474305</c:v>
                </c:pt>
                <c:pt idx="96">
                  <c:v>6626.7962806217847</c:v>
                </c:pt>
                <c:pt idx="97">
                  <c:v>6807.3877932958212</c:v>
                </c:pt>
                <c:pt idx="98">
                  <c:v>6006.7783365905098</c:v>
                </c:pt>
                <c:pt idx="99">
                  <c:v>6171.9707777730173</c:v>
                </c:pt>
                <c:pt idx="100">
                  <c:v>5907.3326101777329</c:v>
                </c:pt>
                <c:pt idx="101">
                  <c:v>5464.7184534623957</c:v>
                </c:pt>
                <c:pt idx="102">
                  <c:v>5701.0460496138685</c:v>
                </c:pt>
                <c:pt idx="103">
                  <c:v>5860.1673438929665</c:v>
                </c:pt>
                <c:pt idx="104">
                  <c:v>6330.9336167660531</c:v>
                </c:pt>
                <c:pt idx="105">
                  <c:v>6948.5953260752285</c:v>
                </c:pt>
                <c:pt idx="106">
                  <c:v>5148.0651542677742</c:v>
                </c:pt>
                <c:pt idx="107">
                  <c:v>6407.8178323557941</c:v>
                </c:pt>
                <c:pt idx="108">
                  <c:v>4727.092187563575</c:v>
                </c:pt>
                <c:pt idx="109">
                  <c:v>5878.4139661924091</c:v>
                </c:pt>
                <c:pt idx="110">
                  <c:v>6491.6818604693071</c:v>
                </c:pt>
                <c:pt idx="111">
                  <c:v>6299.8261338021175</c:v>
                </c:pt>
                <c:pt idx="112">
                  <c:v>5344.8618564557528</c:v>
                </c:pt>
                <c:pt idx="113">
                  <c:v>5802.8286029948631</c:v>
                </c:pt>
                <c:pt idx="114">
                  <c:v>5345.701218212972</c:v>
                </c:pt>
                <c:pt idx="115">
                  <c:v>5676.5564735199778</c:v>
                </c:pt>
                <c:pt idx="116">
                  <c:v>5425.7899320942815</c:v>
                </c:pt>
                <c:pt idx="117">
                  <c:v>5816.3040237967161</c:v>
                </c:pt>
                <c:pt idx="118">
                  <c:v>5997.8879019312981</c:v>
                </c:pt>
                <c:pt idx="119">
                  <c:v>5704.9759930087839</c:v>
                </c:pt>
                <c:pt idx="120">
                  <c:v>5943.8607346147128</c:v>
                </c:pt>
                <c:pt idx="121">
                  <c:v>5908.8768037666596</c:v>
                </c:pt>
                <c:pt idx="122">
                  <c:v>6114.2488671203419</c:v>
                </c:pt>
                <c:pt idx="123">
                  <c:v>5860.2139934343886</c:v>
                </c:pt>
                <c:pt idx="124">
                  <c:v>5933.8384576690851</c:v>
                </c:pt>
                <c:pt idx="125">
                  <c:v>5921.5607113641081</c:v>
                </c:pt>
                <c:pt idx="126">
                  <c:v>5480.7661508614456</c:v>
                </c:pt>
                <c:pt idx="127">
                  <c:v>5829.4535441071639</c:v>
                </c:pt>
                <c:pt idx="128">
                  <c:v>7132.0857357482282</c:v>
                </c:pt>
                <c:pt idx="129">
                  <c:v>7214.3756743968297</c:v>
                </c:pt>
                <c:pt idx="130">
                  <c:v>6448.4630626001435</c:v>
                </c:pt>
                <c:pt idx="131">
                  <c:v>6172.3344484754889</c:v>
                </c:pt>
                <c:pt idx="132">
                  <c:v>7811.7129575874533</c:v>
                </c:pt>
                <c:pt idx="133">
                  <c:v>6441.5759339166525</c:v>
                </c:pt>
                <c:pt idx="134">
                  <c:v>7108.4517173843269</c:v>
                </c:pt>
                <c:pt idx="135">
                  <c:v>6324.2904456812976</c:v>
                </c:pt>
                <c:pt idx="136">
                  <c:v>6419.3404133569784</c:v>
                </c:pt>
                <c:pt idx="137">
                  <c:v>7247.7521298045285</c:v>
                </c:pt>
                <c:pt idx="138">
                  <c:v>6245.5019145377937</c:v>
                </c:pt>
                <c:pt idx="139">
                  <c:v>7314.4900165778017</c:v>
                </c:pt>
                <c:pt idx="140">
                  <c:v>6662.3389450598961</c:v>
                </c:pt>
                <c:pt idx="141">
                  <c:v>7780.7680184468236</c:v>
                </c:pt>
                <c:pt idx="142">
                  <c:v>6661.4409993596782</c:v>
                </c:pt>
                <c:pt idx="143">
                  <c:v>6674.3205192824471</c:v>
                </c:pt>
                <c:pt idx="144">
                  <c:v>6661.3884172920443</c:v>
                </c:pt>
                <c:pt idx="145">
                  <c:v>6898.6272140344136</c:v>
                </c:pt>
                <c:pt idx="146">
                  <c:v>6227.2515273065064</c:v>
                </c:pt>
                <c:pt idx="147">
                  <c:v>5758.9618746272745</c:v>
                </c:pt>
                <c:pt idx="148">
                  <c:v>6073.8739604774164</c:v>
                </c:pt>
                <c:pt idx="149">
                  <c:v>5801.9556623373137</c:v>
                </c:pt>
                <c:pt idx="150">
                  <c:v>6102.6998368195018</c:v>
                </c:pt>
                <c:pt idx="151">
                  <c:v>6230.1295048815118</c:v>
                </c:pt>
                <c:pt idx="152">
                  <c:v>6864.4324619251893</c:v>
                </c:pt>
                <c:pt idx="153">
                  <c:v>5427.8911515118407</c:v>
                </c:pt>
                <c:pt idx="154">
                  <c:v>6433.8469822600546</c:v>
                </c:pt>
                <c:pt idx="155">
                  <c:v>4959.3543599365657</c:v>
                </c:pt>
                <c:pt idx="156">
                  <c:v>5253.8028043963741</c:v>
                </c:pt>
                <c:pt idx="157">
                  <c:v>6368.2674886740178</c:v>
                </c:pt>
                <c:pt idx="158">
                  <c:v>6841.3780467956631</c:v>
                </c:pt>
                <c:pt idx="159">
                  <c:v>5232.9287526870658</c:v>
                </c:pt>
                <c:pt idx="160">
                  <c:v>5594.7157447027148</c:v>
                </c:pt>
                <c:pt idx="161">
                  <c:v>5534.9187243056995</c:v>
                </c:pt>
                <c:pt idx="162">
                  <c:v>5934.1146010223765</c:v>
                </c:pt>
                <c:pt idx="163">
                  <c:v>5340.3936388530574</c:v>
                </c:pt>
                <c:pt idx="164">
                  <c:v>5936.4357047557814</c:v>
                </c:pt>
                <c:pt idx="165">
                  <c:v>5998.2747428417761</c:v>
                </c:pt>
                <c:pt idx="166">
                  <c:v>6033.8943138529103</c:v>
                </c:pt>
                <c:pt idx="167">
                  <c:v>5648.3037335202198</c:v>
                </c:pt>
                <c:pt idx="168">
                  <c:v>6027.6036921466175</c:v>
                </c:pt>
                <c:pt idx="169">
                  <c:v>6247.0438504146341</c:v>
                </c:pt>
                <c:pt idx="170">
                  <c:v>5566.235913063234</c:v>
                </c:pt>
                <c:pt idx="171">
                  <c:v>6538.7345909822616</c:v>
                </c:pt>
                <c:pt idx="172">
                  <c:v>6471.6175069652872</c:v>
                </c:pt>
                <c:pt idx="173">
                  <c:v>5669.892716195398</c:v>
                </c:pt>
                <c:pt idx="174">
                  <c:v>5816.9308873928176</c:v>
                </c:pt>
                <c:pt idx="175">
                  <c:v>7019.0273699020499</c:v>
                </c:pt>
                <c:pt idx="176">
                  <c:v>7122.8890510673364</c:v>
                </c:pt>
                <c:pt idx="177">
                  <c:v>6419.0392989909724</c:v>
                </c:pt>
                <c:pt idx="178">
                  <c:v>6281.1582944343918</c:v>
                </c:pt>
                <c:pt idx="179">
                  <c:v>7341.2485292833953</c:v>
                </c:pt>
                <c:pt idx="180">
                  <c:v>6538.8465844604252</c:v>
                </c:pt>
                <c:pt idx="181">
                  <c:v>6545.4515122958437</c:v>
                </c:pt>
                <c:pt idx="182">
                  <c:v>6884.4847649272979</c:v>
                </c:pt>
                <c:pt idx="183">
                  <c:v>6185.7147975412727</c:v>
                </c:pt>
                <c:pt idx="184">
                  <c:v>7133.3679572670972</c:v>
                </c:pt>
                <c:pt idx="185">
                  <c:v>6620.5963395675954</c:v>
                </c:pt>
                <c:pt idx="186">
                  <c:v>6979.5031407865499</c:v>
                </c:pt>
                <c:pt idx="187">
                  <c:v>6422.6525787209193</c:v>
                </c:pt>
                <c:pt idx="188">
                  <c:v>7558.7087477044961</c:v>
                </c:pt>
                <c:pt idx="189">
                  <c:v>6478.1565623386987</c:v>
                </c:pt>
                <c:pt idx="190">
                  <c:v>7084.3196046404191</c:v>
                </c:pt>
                <c:pt idx="191">
                  <c:v>6349.8078756089672</c:v>
                </c:pt>
                <c:pt idx="192">
                  <c:v>6575.7131907899293</c:v>
                </c:pt>
                <c:pt idx="193">
                  <c:v>5827.3256655781261</c:v>
                </c:pt>
                <c:pt idx="194">
                  <c:v>5839.3044362280298</c:v>
                </c:pt>
                <c:pt idx="195">
                  <c:v>5854.9532094896313</c:v>
                </c:pt>
                <c:pt idx="196">
                  <c:v>6165.0762278330767</c:v>
                </c:pt>
                <c:pt idx="197">
                  <c:v>6204.5202734865379</c:v>
                </c:pt>
                <c:pt idx="198">
                  <c:v>6481.1778597921048</c:v>
                </c:pt>
                <c:pt idx="199">
                  <c:v>6938.9904061069101</c:v>
                </c:pt>
                <c:pt idx="200">
                  <c:v>5514.6779931345936</c:v>
                </c:pt>
                <c:pt idx="201">
                  <c:v>6761.0718068515835</c:v>
                </c:pt>
                <c:pt idx="202">
                  <c:v>4902.9242068068952</c:v>
                </c:pt>
                <c:pt idx="203">
                  <c:v>5667.6634807874543</c:v>
                </c:pt>
                <c:pt idx="204">
                  <c:v>6619.1604168913836</c:v>
                </c:pt>
                <c:pt idx="205">
                  <c:v>6700.7482227747541</c:v>
                </c:pt>
                <c:pt idx="206">
                  <c:v>5613.7735677348201</c:v>
                </c:pt>
                <c:pt idx="207">
                  <c:v>5563.4570539113147</c:v>
                </c:pt>
                <c:pt idx="208">
                  <c:v>5560.4347034059301</c:v>
                </c:pt>
                <c:pt idx="209">
                  <c:v>6315.2284908235015</c:v>
                </c:pt>
                <c:pt idx="210">
                  <c:v>5344.7362016229563</c:v>
                </c:pt>
                <c:pt idx="211">
                  <c:v>5873.7743022967861</c:v>
                </c:pt>
                <c:pt idx="212">
                  <c:v>5653.6509940268215</c:v>
                </c:pt>
                <c:pt idx="213">
                  <c:v>6020.9685236732348</c:v>
                </c:pt>
                <c:pt idx="214">
                  <c:v>5793.5208688778785</c:v>
                </c:pt>
                <c:pt idx="215">
                  <c:v>5901.5965456155891</c:v>
                </c:pt>
                <c:pt idx="216">
                  <c:v>6528.3308038908854</c:v>
                </c:pt>
                <c:pt idx="217">
                  <c:v>5756.377065411697</c:v>
                </c:pt>
                <c:pt idx="218">
                  <c:v>6154.3113828603682</c:v>
                </c:pt>
                <c:pt idx="219">
                  <c:v>7225.5018823208084</c:v>
                </c:pt>
                <c:pt idx="220">
                  <c:v>5226.332313196619</c:v>
                </c:pt>
                <c:pt idx="221">
                  <c:v>5371.788108991972</c:v>
                </c:pt>
                <c:pt idx="222">
                  <c:v>7185.6476422437754</c:v>
                </c:pt>
                <c:pt idx="223">
                  <c:v>6701.3912580966271</c:v>
                </c:pt>
                <c:pt idx="224">
                  <c:v>6481.1962712288059</c:v>
                </c:pt>
                <c:pt idx="225">
                  <c:v>6432.5829428544075</c:v>
                </c:pt>
                <c:pt idx="226">
                  <c:v>6984.0347111384017</c:v>
                </c:pt>
                <c:pt idx="227">
                  <c:v>6701.4493354560036</c:v>
                </c:pt>
                <c:pt idx="228">
                  <c:v>7232.9877901414102</c:v>
                </c:pt>
                <c:pt idx="229">
                  <c:v>6815.2806478172552</c:v>
                </c:pt>
                <c:pt idx="230">
                  <c:v>6419.0445555407032</c:v>
                </c:pt>
                <c:pt idx="231">
                  <c:v>7244.4800000663954</c:v>
                </c:pt>
                <c:pt idx="232">
                  <c:v>6273.0767211681805</c:v>
                </c:pt>
                <c:pt idx="233">
                  <c:v>6806.8757266755783</c:v>
                </c:pt>
                <c:pt idx="234">
                  <c:v>7003.1333604437086</c:v>
                </c:pt>
                <c:pt idx="235">
                  <c:v>8030.5053636658749</c:v>
                </c:pt>
                <c:pt idx="236">
                  <c:v>7103.9296889944226</c:v>
                </c:pt>
                <c:pt idx="237">
                  <c:v>6083.9292362336992</c:v>
                </c:pt>
                <c:pt idx="238">
                  <c:v>6832.1265169308472</c:v>
                </c:pt>
                <c:pt idx="239">
                  <c:v>6952.3138209938397</c:v>
                </c:pt>
                <c:pt idx="240">
                  <c:v>6072.5885484076789</c:v>
                </c:pt>
                <c:pt idx="241">
                  <c:v>6174.1944186035362</c:v>
                </c:pt>
                <c:pt idx="242">
                  <c:v>5990.0326932144744</c:v>
                </c:pt>
                <c:pt idx="243">
                  <c:v>6414.1594050846652</c:v>
                </c:pt>
                <c:pt idx="244">
                  <c:v>5927.8904430563834</c:v>
                </c:pt>
                <c:pt idx="245">
                  <c:v>6584.949822282264</c:v>
                </c:pt>
                <c:pt idx="246">
                  <c:v>6963.2623747681264</c:v>
                </c:pt>
                <c:pt idx="247">
                  <c:v>5436.6668840694092</c:v>
                </c:pt>
                <c:pt idx="248">
                  <c:v>6784.7517164543578</c:v>
                </c:pt>
                <c:pt idx="249">
                  <c:v>5181.0195326585845</c:v>
                </c:pt>
                <c:pt idx="250">
                  <c:v>5787.4341244643201</c:v>
                </c:pt>
                <c:pt idx="251">
                  <c:v>7054.4242342425141</c:v>
                </c:pt>
                <c:pt idx="252">
                  <c:v>7010.1576480920266</c:v>
                </c:pt>
                <c:pt idx="253">
                  <c:v>5640.7156401819784</c:v>
                </c:pt>
                <c:pt idx="254">
                  <c:v>5724.1400897727444</c:v>
                </c:pt>
                <c:pt idx="255">
                  <c:v>6065.5218476788432</c:v>
                </c:pt>
                <c:pt idx="256">
                  <c:v>6097.0113566974997</c:v>
                </c:pt>
                <c:pt idx="257">
                  <c:v>5360.7283790135152</c:v>
                </c:pt>
                <c:pt idx="258">
                  <c:v>6103.0738619824388</c:v>
                </c:pt>
                <c:pt idx="259">
                  <c:v>6048.639233486032</c:v>
                </c:pt>
                <c:pt idx="260">
                  <c:v>6347.8397420664851</c:v>
                </c:pt>
                <c:pt idx="261">
                  <c:v>6019.9510312680522</c:v>
                </c:pt>
                <c:pt idx="262">
                  <c:v>6002.0302606438854</c:v>
                </c:pt>
                <c:pt idx="263">
                  <c:v>5699.4886509224471</c:v>
                </c:pt>
                <c:pt idx="264">
                  <c:v>6388.7804224455722</c:v>
                </c:pt>
                <c:pt idx="265">
                  <c:v>6641.9905785533774</c:v>
                </c:pt>
                <c:pt idx="266">
                  <c:v>6787.2514929658937</c:v>
                </c:pt>
                <c:pt idx="267">
                  <c:v>5491.99356727348</c:v>
                </c:pt>
                <c:pt idx="268">
                  <c:v>5815.5281605962591</c:v>
                </c:pt>
                <c:pt idx="269">
                  <c:v>7399.6413688103539</c:v>
                </c:pt>
                <c:pt idx="270">
                  <c:v>7231.6940752659011</c:v>
                </c:pt>
                <c:pt idx="271">
                  <c:v>6527.9657284307641</c:v>
                </c:pt>
                <c:pt idx="272">
                  <c:v>6523.6220397346688</c:v>
                </c:pt>
                <c:pt idx="273">
                  <c:v>7632.2208801534143</c:v>
                </c:pt>
                <c:pt idx="274">
                  <c:v>6779.234375196861</c:v>
                </c:pt>
                <c:pt idx="275">
                  <c:v>7977.7144686817373</c:v>
                </c:pt>
                <c:pt idx="276">
                  <c:v>7108.5668857324572</c:v>
                </c:pt>
                <c:pt idx="277">
                  <c:v>6586.7947050070825</c:v>
                </c:pt>
                <c:pt idx="278">
                  <c:v>7108.7188698565124</c:v>
                </c:pt>
                <c:pt idx="279">
                  <c:v>6674.353102869326</c:v>
                </c:pt>
                <c:pt idx="280">
                  <c:v>7632.0595836235243</c:v>
                </c:pt>
                <c:pt idx="281">
                  <c:v>7413.4222932625034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DC-43B6-A056-5AAE902BD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955519"/>
        <c:axId val="430954559"/>
      </c:scatterChart>
      <c:valAx>
        <c:axId val="430955519"/>
        <c:scaling>
          <c:orientation val="minMax"/>
          <c:min val="2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0954559"/>
        <c:crosses val="autoZero"/>
        <c:crossBetween val="midCat"/>
      </c:valAx>
      <c:valAx>
        <c:axId val="430954559"/>
        <c:scaling>
          <c:orientation val="minMax"/>
          <c:min val="4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0955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インセンティブ実施率!$Y$1</c:f>
              <c:strCache>
                <c:ptCount val="1"/>
                <c:pt idx="0">
                  <c:v>（再掲）生活習慣病_入院外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インセンティブ実施率!$H$2:$H$283</c:f>
              <c:numCache>
                <c:formatCode>#,##0.0;[Red]\-#,##0.0</c:formatCode>
                <c:ptCount val="282"/>
                <c:pt idx="0">
                  <c:v>32.5</c:v>
                </c:pt>
                <c:pt idx="1">
                  <c:v>34</c:v>
                </c:pt>
                <c:pt idx="2">
                  <c:v>30.8</c:v>
                </c:pt>
                <c:pt idx="3">
                  <c:v>33.5</c:v>
                </c:pt>
                <c:pt idx="4">
                  <c:v>31.5</c:v>
                </c:pt>
                <c:pt idx="5">
                  <c:v>31.8</c:v>
                </c:pt>
                <c:pt idx="6">
                  <c:v>33.5</c:v>
                </c:pt>
                <c:pt idx="7">
                  <c:v>31.7</c:v>
                </c:pt>
                <c:pt idx="8">
                  <c:v>33</c:v>
                </c:pt>
                <c:pt idx="9">
                  <c:v>31.9</c:v>
                </c:pt>
                <c:pt idx="10">
                  <c:v>31.6</c:v>
                </c:pt>
                <c:pt idx="11">
                  <c:v>33.299999999999997</c:v>
                </c:pt>
                <c:pt idx="12">
                  <c:v>32.9</c:v>
                </c:pt>
                <c:pt idx="13">
                  <c:v>32.5</c:v>
                </c:pt>
                <c:pt idx="14">
                  <c:v>33.4</c:v>
                </c:pt>
                <c:pt idx="15">
                  <c:v>31.5</c:v>
                </c:pt>
                <c:pt idx="16">
                  <c:v>31.8</c:v>
                </c:pt>
                <c:pt idx="17">
                  <c:v>32.5</c:v>
                </c:pt>
                <c:pt idx="18">
                  <c:v>31.8</c:v>
                </c:pt>
                <c:pt idx="19">
                  <c:v>32</c:v>
                </c:pt>
                <c:pt idx="20">
                  <c:v>33.700000000000003</c:v>
                </c:pt>
                <c:pt idx="21">
                  <c:v>34.799999999999997</c:v>
                </c:pt>
                <c:pt idx="22">
                  <c:v>32.9</c:v>
                </c:pt>
                <c:pt idx="23">
                  <c:v>33.700000000000003</c:v>
                </c:pt>
                <c:pt idx="24">
                  <c:v>34.200000000000003</c:v>
                </c:pt>
                <c:pt idx="25">
                  <c:v>34</c:v>
                </c:pt>
                <c:pt idx="26">
                  <c:v>33.4</c:v>
                </c:pt>
                <c:pt idx="27">
                  <c:v>32.799999999999997</c:v>
                </c:pt>
                <c:pt idx="28">
                  <c:v>34.4</c:v>
                </c:pt>
                <c:pt idx="29">
                  <c:v>34</c:v>
                </c:pt>
                <c:pt idx="30">
                  <c:v>33.1</c:v>
                </c:pt>
                <c:pt idx="31">
                  <c:v>32.6</c:v>
                </c:pt>
                <c:pt idx="32">
                  <c:v>32.299999999999997</c:v>
                </c:pt>
                <c:pt idx="33">
                  <c:v>32.200000000000003</c:v>
                </c:pt>
                <c:pt idx="34">
                  <c:v>32.5</c:v>
                </c:pt>
                <c:pt idx="35">
                  <c:v>34.299999999999997</c:v>
                </c:pt>
                <c:pt idx="36">
                  <c:v>33.4</c:v>
                </c:pt>
                <c:pt idx="37">
                  <c:v>31.7</c:v>
                </c:pt>
                <c:pt idx="38">
                  <c:v>29.2</c:v>
                </c:pt>
                <c:pt idx="39">
                  <c:v>33</c:v>
                </c:pt>
                <c:pt idx="40">
                  <c:v>33.700000000000003</c:v>
                </c:pt>
                <c:pt idx="41">
                  <c:v>33.700000000000003</c:v>
                </c:pt>
                <c:pt idx="42">
                  <c:v>32.700000000000003</c:v>
                </c:pt>
                <c:pt idx="43">
                  <c:v>33.799999999999997</c:v>
                </c:pt>
                <c:pt idx="44">
                  <c:v>33.6</c:v>
                </c:pt>
                <c:pt idx="45">
                  <c:v>33.700000000000003</c:v>
                </c:pt>
                <c:pt idx="46">
                  <c:v>32.700000000000003</c:v>
                </c:pt>
                <c:pt idx="47">
                  <c:v>32.5</c:v>
                </c:pt>
                <c:pt idx="48">
                  <c:v>32.299999999999997</c:v>
                </c:pt>
                <c:pt idx="49">
                  <c:v>32.299999999999997</c:v>
                </c:pt>
                <c:pt idx="50">
                  <c:v>32.700000000000003</c:v>
                </c:pt>
                <c:pt idx="51">
                  <c:v>32.299999999999997</c:v>
                </c:pt>
                <c:pt idx="52">
                  <c:v>33.6</c:v>
                </c:pt>
                <c:pt idx="53">
                  <c:v>33.9</c:v>
                </c:pt>
                <c:pt idx="54">
                  <c:v>32.4</c:v>
                </c:pt>
                <c:pt idx="55">
                  <c:v>33.9</c:v>
                </c:pt>
                <c:pt idx="56">
                  <c:v>33</c:v>
                </c:pt>
                <c:pt idx="57">
                  <c:v>31.7</c:v>
                </c:pt>
                <c:pt idx="58">
                  <c:v>32.4</c:v>
                </c:pt>
                <c:pt idx="59">
                  <c:v>32.9</c:v>
                </c:pt>
                <c:pt idx="60">
                  <c:v>32.1</c:v>
                </c:pt>
                <c:pt idx="61">
                  <c:v>33.4</c:v>
                </c:pt>
                <c:pt idx="62">
                  <c:v>31.4</c:v>
                </c:pt>
                <c:pt idx="63">
                  <c:v>31.5</c:v>
                </c:pt>
                <c:pt idx="64">
                  <c:v>33.700000000000003</c:v>
                </c:pt>
                <c:pt idx="65">
                  <c:v>31.7</c:v>
                </c:pt>
                <c:pt idx="66">
                  <c:v>33.1</c:v>
                </c:pt>
                <c:pt idx="67">
                  <c:v>33.6</c:v>
                </c:pt>
                <c:pt idx="68">
                  <c:v>33.700000000000003</c:v>
                </c:pt>
                <c:pt idx="69">
                  <c:v>33.299999999999997</c:v>
                </c:pt>
                <c:pt idx="70">
                  <c:v>32.799999999999997</c:v>
                </c:pt>
                <c:pt idx="71">
                  <c:v>35.5</c:v>
                </c:pt>
                <c:pt idx="72">
                  <c:v>34.299999999999997</c:v>
                </c:pt>
                <c:pt idx="73">
                  <c:v>33.5</c:v>
                </c:pt>
                <c:pt idx="74">
                  <c:v>33.200000000000003</c:v>
                </c:pt>
                <c:pt idx="75">
                  <c:v>35.4</c:v>
                </c:pt>
                <c:pt idx="76">
                  <c:v>34</c:v>
                </c:pt>
                <c:pt idx="77">
                  <c:v>32.799999999999997</c:v>
                </c:pt>
                <c:pt idx="78">
                  <c:v>34.200000000000003</c:v>
                </c:pt>
                <c:pt idx="79">
                  <c:v>32.4</c:v>
                </c:pt>
                <c:pt idx="80">
                  <c:v>32.9</c:v>
                </c:pt>
                <c:pt idx="81">
                  <c:v>33.1</c:v>
                </c:pt>
                <c:pt idx="82">
                  <c:v>34</c:v>
                </c:pt>
                <c:pt idx="83">
                  <c:v>32.5</c:v>
                </c:pt>
                <c:pt idx="84">
                  <c:v>32.200000000000003</c:v>
                </c:pt>
                <c:pt idx="85">
                  <c:v>30.6</c:v>
                </c:pt>
                <c:pt idx="86">
                  <c:v>33</c:v>
                </c:pt>
                <c:pt idx="87">
                  <c:v>35.299999999999997</c:v>
                </c:pt>
                <c:pt idx="88">
                  <c:v>33.299999999999997</c:v>
                </c:pt>
                <c:pt idx="89">
                  <c:v>33.200000000000003</c:v>
                </c:pt>
                <c:pt idx="90">
                  <c:v>33.700000000000003</c:v>
                </c:pt>
                <c:pt idx="91">
                  <c:v>34.200000000000003</c:v>
                </c:pt>
                <c:pt idx="92">
                  <c:v>33.1</c:v>
                </c:pt>
                <c:pt idx="93">
                  <c:v>33.200000000000003</c:v>
                </c:pt>
                <c:pt idx="94">
                  <c:v>31.7</c:v>
                </c:pt>
                <c:pt idx="95">
                  <c:v>31.4</c:v>
                </c:pt>
                <c:pt idx="96">
                  <c:v>31.4</c:v>
                </c:pt>
                <c:pt idx="97">
                  <c:v>31.6</c:v>
                </c:pt>
                <c:pt idx="98">
                  <c:v>33.200000000000003</c:v>
                </c:pt>
                <c:pt idx="99">
                  <c:v>33.299999999999997</c:v>
                </c:pt>
                <c:pt idx="100">
                  <c:v>33.5</c:v>
                </c:pt>
                <c:pt idx="101">
                  <c:v>31.7</c:v>
                </c:pt>
                <c:pt idx="102">
                  <c:v>32.4</c:v>
                </c:pt>
                <c:pt idx="103">
                  <c:v>31.7</c:v>
                </c:pt>
                <c:pt idx="104">
                  <c:v>31.8</c:v>
                </c:pt>
                <c:pt idx="105">
                  <c:v>31.4</c:v>
                </c:pt>
                <c:pt idx="106">
                  <c:v>32.4</c:v>
                </c:pt>
                <c:pt idx="107">
                  <c:v>31.7</c:v>
                </c:pt>
                <c:pt idx="108">
                  <c:v>33.1</c:v>
                </c:pt>
                <c:pt idx="109">
                  <c:v>31.6</c:v>
                </c:pt>
                <c:pt idx="110">
                  <c:v>31</c:v>
                </c:pt>
                <c:pt idx="111">
                  <c:v>32.700000000000003</c:v>
                </c:pt>
                <c:pt idx="112">
                  <c:v>31.6</c:v>
                </c:pt>
                <c:pt idx="113">
                  <c:v>32.299999999999997</c:v>
                </c:pt>
                <c:pt idx="114">
                  <c:v>33.200000000000003</c:v>
                </c:pt>
                <c:pt idx="115">
                  <c:v>33.5</c:v>
                </c:pt>
                <c:pt idx="116">
                  <c:v>31.8</c:v>
                </c:pt>
                <c:pt idx="117">
                  <c:v>32.4</c:v>
                </c:pt>
                <c:pt idx="118">
                  <c:v>33.9</c:v>
                </c:pt>
                <c:pt idx="119">
                  <c:v>33.700000000000003</c:v>
                </c:pt>
                <c:pt idx="120">
                  <c:v>32.9</c:v>
                </c:pt>
                <c:pt idx="121">
                  <c:v>32.6</c:v>
                </c:pt>
                <c:pt idx="122">
                  <c:v>35.1</c:v>
                </c:pt>
                <c:pt idx="123">
                  <c:v>34.799999999999997</c:v>
                </c:pt>
                <c:pt idx="124">
                  <c:v>32.6</c:v>
                </c:pt>
                <c:pt idx="125">
                  <c:v>32.799999999999997</c:v>
                </c:pt>
                <c:pt idx="126">
                  <c:v>31.6</c:v>
                </c:pt>
                <c:pt idx="127">
                  <c:v>31.8</c:v>
                </c:pt>
                <c:pt idx="128">
                  <c:v>33</c:v>
                </c:pt>
                <c:pt idx="129">
                  <c:v>34.700000000000003</c:v>
                </c:pt>
                <c:pt idx="130">
                  <c:v>32.5</c:v>
                </c:pt>
                <c:pt idx="131">
                  <c:v>32.200000000000003</c:v>
                </c:pt>
                <c:pt idx="132">
                  <c:v>29.3</c:v>
                </c:pt>
                <c:pt idx="133">
                  <c:v>32.9</c:v>
                </c:pt>
                <c:pt idx="134">
                  <c:v>33.4</c:v>
                </c:pt>
                <c:pt idx="135">
                  <c:v>33.1</c:v>
                </c:pt>
                <c:pt idx="136">
                  <c:v>32.799999999999997</c:v>
                </c:pt>
                <c:pt idx="137">
                  <c:v>33.1</c:v>
                </c:pt>
                <c:pt idx="138">
                  <c:v>34.299999999999997</c:v>
                </c:pt>
                <c:pt idx="139">
                  <c:v>32.200000000000003</c:v>
                </c:pt>
                <c:pt idx="140">
                  <c:v>33.1</c:v>
                </c:pt>
                <c:pt idx="141">
                  <c:v>34.5</c:v>
                </c:pt>
                <c:pt idx="142">
                  <c:v>34.299999999999997</c:v>
                </c:pt>
                <c:pt idx="143">
                  <c:v>33.299999999999997</c:v>
                </c:pt>
                <c:pt idx="144">
                  <c:v>35</c:v>
                </c:pt>
                <c:pt idx="145">
                  <c:v>34.5</c:v>
                </c:pt>
                <c:pt idx="146">
                  <c:v>34.700000000000003</c:v>
                </c:pt>
                <c:pt idx="147">
                  <c:v>35.1</c:v>
                </c:pt>
                <c:pt idx="148">
                  <c:v>33</c:v>
                </c:pt>
                <c:pt idx="149">
                  <c:v>34.9</c:v>
                </c:pt>
                <c:pt idx="150">
                  <c:v>33.6</c:v>
                </c:pt>
                <c:pt idx="151">
                  <c:v>34.4</c:v>
                </c:pt>
                <c:pt idx="152">
                  <c:v>34.799999999999997</c:v>
                </c:pt>
                <c:pt idx="153">
                  <c:v>35.5</c:v>
                </c:pt>
                <c:pt idx="154">
                  <c:v>35.1</c:v>
                </c:pt>
                <c:pt idx="155">
                  <c:v>34.9</c:v>
                </c:pt>
                <c:pt idx="156">
                  <c:v>33.700000000000003</c:v>
                </c:pt>
                <c:pt idx="157">
                  <c:v>35.1</c:v>
                </c:pt>
                <c:pt idx="158">
                  <c:v>35.200000000000003</c:v>
                </c:pt>
                <c:pt idx="159">
                  <c:v>33.4</c:v>
                </c:pt>
                <c:pt idx="160">
                  <c:v>35.200000000000003</c:v>
                </c:pt>
                <c:pt idx="161">
                  <c:v>36.1</c:v>
                </c:pt>
                <c:pt idx="162">
                  <c:v>35.5</c:v>
                </c:pt>
                <c:pt idx="163">
                  <c:v>34.700000000000003</c:v>
                </c:pt>
                <c:pt idx="164">
                  <c:v>33.799999999999997</c:v>
                </c:pt>
                <c:pt idx="165">
                  <c:v>34.9</c:v>
                </c:pt>
                <c:pt idx="166">
                  <c:v>36.1</c:v>
                </c:pt>
                <c:pt idx="167">
                  <c:v>35.5</c:v>
                </c:pt>
                <c:pt idx="168">
                  <c:v>34.700000000000003</c:v>
                </c:pt>
                <c:pt idx="169">
                  <c:v>37.200000000000003</c:v>
                </c:pt>
                <c:pt idx="170">
                  <c:v>36</c:v>
                </c:pt>
                <c:pt idx="171">
                  <c:v>35</c:v>
                </c:pt>
                <c:pt idx="172">
                  <c:v>34.4</c:v>
                </c:pt>
                <c:pt idx="173">
                  <c:v>33.4</c:v>
                </c:pt>
                <c:pt idx="174">
                  <c:v>34.5</c:v>
                </c:pt>
                <c:pt idx="175">
                  <c:v>33.6</c:v>
                </c:pt>
                <c:pt idx="176">
                  <c:v>36</c:v>
                </c:pt>
                <c:pt idx="177">
                  <c:v>35.6</c:v>
                </c:pt>
                <c:pt idx="178">
                  <c:v>34.299999999999997</c:v>
                </c:pt>
                <c:pt idx="179">
                  <c:v>31.8</c:v>
                </c:pt>
                <c:pt idx="180">
                  <c:v>34.5</c:v>
                </c:pt>
                <c:pt idx="181">
                  <c:v>35.1</c:v>
                </c:pt>
                <c:pt idx="182">
                  <c:v>34.4</c:v>
                </c:pt>
                <c:pt idx="183">
                  <c:v>35</c:v>
                </c:pt>
                <c:pt idx="184">
                  <c:v>35.1</c:v>
                </c:pt>
                <c:pt idx="185">
                  <c:v>34.9</c:v>
                </c:pt>
                <c:pt idx="186">
                  <c:v>34.6</c:v>
                </c:pt>
                <c:pt idx="187">
                  <c:v>34.4</c:v>
                </c:pt>
                <c:pt idx="188">
                  <c:v>32.700000000000003</c:v>
                </c:pt>
                <c:pt idx="189">
                  <c:v>32.200000000000003</c:v>
                </c:pt>
                <c:pt idx="190">
                  <c:v>33.5</c:v>
                </c:pt>
                <c:pt idx="191">
                  <c:v>33.1</c:v>
                </c:pt>
                <c:pt idx="192">
                  <c:v>34.299999999999997</c:v>
                </c:pt>
                <c:pt idx="193">
                  <c:v>34.4</c:v>
                </c:pt>
                <c:pt idx="194">
                  <c:v>34</c:v>
                </c:pt>
                <c:pt idx="195">
                  <c:v>33.299999999999997</c:v>
                </c:pt>
                <c:pt idx="196">
                  <c:v>34.4</c:v>
                </c:pt>
                <c:pt idx="197">
                  <c:v>33</c:v>
                </c:pt>
                <c:pt idx="198">
                  <c:v>33.700000000000003</c:v>
                </c:pt>
                <c:pt idx="199">
                  <c:v>34.200000000000003</c:v>
                </c:pt>
                <c:pt idx="200">
                  <c:v>35.200000000000003</c:v>
                </c:pt>
                <c:pt idx="201">
                  <c:v>34</c:v>
                </c:pt>
                <c:pt idx="202">
                  <c:v>33.5</c:v>
                </c:pt>
                <c:pt idx="203">
                  <c:v>33.5</c:v>
                </c:pt>
                <c:pt idx="204">
                  <c:v>33.9</c:v>
                </c:pt>
                <c:pt idx="205">
                  <c:v>34.200000000000003</c:v>
                </c:pt>
                <c:pt idx="206">
                  <c:v>33.299999999999997</c:v>
                </c:pt>
                <c:pt idx="207">
                  <c:v>34.6</c:v>
                </c:pt>
                <c:pt idx="208">
                  <c:v>34.9</c:v>
                </c:pt>
                <c:pt idx="209">
                  <c:v>34.700000000000003</c:v>
                </c:pt>
                <c:pt idx="210">
                  <c:v>33.4</c:v>
                </c:pt>
                <c:pt idx="211">
                  <c:v>34</c:v>
                </c:pt>
                <c:pt idx="212">
                  <c:v>34.5</c:v>
                </c:pt>
                <c:pt idx="213">
                  <c:v>35.5</c:v>
                </c:pt>
                <c:pt idx="214">
                  <c:v>35</c:v>
                </c:pt>
                <c:pt idx="215">
                  <c:v>34.5</c:v>
                </c:pt>
                <c:pt idx="216">
                  <c:v>36.700000000000003</c:v>
                </c:pt>
                <c:pt idx="217">
                  <c:v>34.700000000000003</c:v>
                </c:pt>
                <c:pt idx="218">
                  <c:v>33.700000000000003</c:v>
                </c:pt>
                <c:pt idx="219">
                  <c:v>34.5</c:v>
                </c:pt>
                <c:pt idx="220">
                  <c:v>32.299999999999997</c:v>
                </c:pt>
                <c:pt idx="221">
                  <c:v>33.299999999999997</c:v>
                </c:pt>
                <c:pt idx="222">
                  <c:v>35.299999999999997</c:v>
                </c:pt>
                <c:pt idx="223">
                  <c:v>35.299999999999997</c:v>
                </c:pt>
                <c:pt idx="224">
                  <c:v>34.200000000000003</c:v>
                </c:pt>
                <c:pt idx="225">
                  <c:v>33.299999999999997</c:v>
                </c:pt>
                <c:pt idx="226">
                  <c:v>30.2</c:v>
                </c:pt>
                <c:pt idx="227">
                  <c:v>34.299999999999997</c:v>
                </c:pt>
                <c:pt idx="228">
                  <c:v>36.4</c:v>
                </c:pt>
                <c:pt idx="229">
                  <c:v>35.4</c:v>
                </c:pt>
                <c:pt idx="230">
                  <c:v>33.200000000000003</c:v>
                </c:pt>
                <c:pt idx="231">
                  <c:v>34.1</c:v>
                </c:pt>
                <c:pt idx="232">
                  <c:v>34.700000000000003</c:v>
                </c:pt>
                <c:pt idx="233">
                  <c:v>34.700000000000003</c:v>
                </c:pt>
                <c:pt idx="234">
                  <c:v>34.200000000000003</c:v>
                </c:pt>
                <c:pt idx="235">
                  <c:v>32.4</c:v>
                </c:pt>
                <c:pt idx="236">
                  <c:v>33.5</c:v>
                </c:pt>
                <c:pt idx="237">
                  <c:v>34</c:v>
                </c:pt>
                <c:pt idx="238">
                  <c:v>32.5</c:v>
                </c:pt>
                <c:pt idx="239">
                  <c:v>33</c:v>
                </c:pt>
                <c:pt idx="240">
                  <c:v>33.700000000000003</c:v>
                </c:pt>
                <c:pt idx="241">
                  <c:v>33.799999999999997</c:v>
                </c:pt>
                <c:pt idx="242">
                  <c:v>32.1</c:v>
                </c:pt>
                <c:pt idx="243">
                  <c:v>33.6</c:v>
                </c:pt>
                <c:pt idx="244">
                  <c:v>32.299999999999997</c:v>
                </c:pt>
                <c:pt idx="245">
                  <c:v>33.200000000000003</c:v>
                </c:pt>
                <c:pt idx="246">
                  <c:v>33.5</c:v>
                </c:pt>
                <c:pt idx="247">
                  <c:v>34.4</c:v>
                </c:pt>
                <c:pt idx="248">
                  <c:v>33.4</c:v>
                </c:pt>
                <c:pt idx="249">
                  <c:v>34.200000000000003</c:v>
                </c:pt>
                <c:pt idx="250">
                  <c:v>33.1</c:v>
                </c:pt>
                <c:pt idx="251">
                  <c:v>33.6</c:v>
                </c:pt>
                <c:pt idx="252">
                  <c:v>32.9</c:v>
                </c:pt>
                <c:pt idx="253">
                  <c:v>33.200000000000003</c:v>
                </c:pt>
                <c:pt idx="254">
                  <c:v>34</c:v>
                </c:pt>
                <c:pt idx="255">
                  <c:v>34.799999999999997</c:v>
                </c:pt>
                <c:pt idx="256">
                  <c:v>34.299999999999997</c:v>
                </c:pt>
                <c:pt idx="257">
                  <c:v>33.200000000000003</c:v>
                </c:pt>
                <c:pt idx="258">
                  <c:v>33.4</c:v>
                </c:pt>
                <c:pt idx="259">
                  <c:v>33.799999999999997</c:v>
                </c:pt>
                <c:pt idx="260">
                  <c:v>34.799999999999997</c:v>
                </c:pt>
                <c:pt idx="261">
                  <c:v>34.1</c:v>
                </c:pt>
                <c:pt idx="262">
                  <c:v>33.700000000000003</c:v>
                </c:pt>
                <c:pt idx="263">
                  <c:v>35.5</c:v>
                </c:pt>
                <c:pt idx="264">
                  <c:v>35.200000000000003</c:v>
                </c:pt>
                <c:pt idx="265">
                  <c:v>33.700000000000003</c:v>
                </c:pt>
                <c:pt idx="266">
                  <c:v>33.5</c:v>
                </c:pt>
                <c:pt idx="267">
                  <c:v>32.4</c:v>
                </c:pt>
                <c:pt idx="268">
                  <c:v>33.4</c:v>
                </c:pt>
                <c:pt idx="269">
                  <c:v>34.4</c:v>
                </c:pt>
                <c:pt idx="270">
                  <c:v>35.799999999999997</c:v>
                </c:pt>
                <c:pt idx="271">
                  <c:v>33.5</c:v>
                </c:pt>
                <c:pt idx="272">
                  <c:v>33.200000000000003</c:v>
                </c:pt>
                <c:pt idx="273">
                  <c:v>31</c:v>
                </c:pt>
                <c:pt idx="274">
                  <c:v>34.1</c:v>
                </c:pt>
                <c:pt idx="275">
                  <c:v>34.5</c:v>
                </c:pt>
                <c:pt idx="276">
                  <c:v>34.5</c:v>
                </c:pt>
                <c:pt idx="277">
                  <c:v>34</c:v>
                </c:pt>
                <c:pt idx="278">
                  <c:v>34.299999999999997</c:v>
                </c:pt>
                <c:pt idx="279">
                  <c:v>34.5</c:v>
                </c:pt>
                <c:pt idx="280">
                  <c:v>34.1</c:v>
                </c:pt>
                <c:pt idx="281">
                  <c:v>33.9</c:v>
                </c:pt>
              </c:numCache>
            </c:numRef>
          </c:xVal>
          <c:yVal>
            <c:numRef>
              <c:f>インセンティブ実施率!$Y$2:$Y$283</c:f>
              <c:numCache>
                <c:formatCode>#,##0.00_);[Red]\(#,##0.00\)</c:formatCode>
                <c:ptCount val="282"/>
                <c:pt idx="0">
                  <c:v>23206.538448812094</c:v>
                </c:pt>
                <c:pt idx="1">
                  <c:v>25714.879262786231</c:v>
                </c:pt>
                <c:pt idx="2">
                  <c:v>24283.541441139751</c:v>
                </c:pt>
                <c:pt idx="3">
                  <c:v>24977.514865600337</c:v>
                </c:pt>
                <c:pt idx="4">
                  <c:v>25547.624212939318</c:v>
                </c:pt>
                <c:pt idx="5">
                  <c:v>25132.778631424117</c:v>
                </c:pt>
                <c:pt idx="6">
                  <c:v>24988.804591420612</c:v>
                </c:pt>
                <c:pt idx="7">
                  <c:v>21607.896961390783</c:v>
                </c:pt>
                <c:pt idx="8">
                  <c:v>21907.605418906503</c:v>
                </c:pt>
                <c:pt idx="9">
                  <c:v>20526.547906792424</c:v>
                </c:pt>
                <c:pt idx="10">
                  <c:v>20537.230287107515</c:v>
                </c:pt>
                <c:pt idx="11">
                  <c:v>21108.187310575067</c:v>
                </c:pt>
                <c:pt idx="12">
                  <c:v>17865.11743432987</c:v>
                </c:pt>
                <c:pt idx="13">
                  <c:v>20026.082621548223</c:v>
                </c:pt>
                <c:pt idx="14">
                  <c:v>19392.177497480548</c:v>
                </c:pt>
                <c:pt idx="15">
                  <c:v>19487.744108242969</c:v>
                </c:pt>
                <c:pt idx="16">
                  <c:v>20082.446608414368</c:v>
                </c:pt>
                <c:pt idx="17">
                  <c:v>21257.865900563451</c:v>
                </c:pt>
                <c:pt idx="18">
                  <c:v>20906.550496157815</c:v>
                </c:pt>
                <c:pt idx="19">
                  <c:v>18478.193764182452</c:v>
                </c:pt>
                <c:pt idx="20">
                  <c:v>19910.901711601451</c:v>
                </c:pt>
                <c:pt idx="21">
                  <c:v>20040.322113131955</c:v>
                </c:pt>
                <c:pt idx="22">
                  <c:v>18570.766001488395</c:v>
                </c:pt>
                <c:pt idx="23">
                  <c:v>19956.444132512985</c:v>
                </c:pt>
                <c:pt idx="24">
                  <c:v>19323.848732359478</c:v>
                </c:pt>
                <c:pt idx="25">
                  <c:v>17149.419953795619</c:v>
                </c:pt>
                <c:pt idx="26">
                  <c:v>18141.91081279183</c:v>
                </c:pt>
                <c:pt idx="27">
                  <c:v>19385.838920159935</c:v>
                </c:pt>
                <c:pt idx="28">
                  <c:v>19978.599246652586</c:v>
                </c:pt>
                <c:pt idx="29">
                  <c:v>19817.578181419296</c:v>
                </c:pt>
                <c:pt idx="30">
                  <c:v>18354.681702523842</c:v>
                </c:pt>
                <c:pt idx="31">
                  <c:v>21610.905781042806</c:v>
                </c:pt>
                <c:pt idx="32">
                  <c:v>19956.967486263507</c:v>
                </c:pt>
                <c:pt idx="33">
                  <c:v>19663.455270675324</c:v>
                </c:pt>
                <c:pt idx="34">
                  <c:v>21751.168796547445</c:v>
                </c:pt>
                <c:pt idx="35">
                  <c:v>22830.382778119532</c:v>
                </c:pt>
                <c:pt idx="36">
                  <c:v>20328.168872273269</c:v>
                </c:pt>
                <c:pt idx="37">
                  <c:v>20057.058311496552</c:v>
                </c:pt>
                <c:pt idx="38">
                  <c:v>21539.237879299148</c:v>
                </c:pt>
                <c:pt idx="39">
                  <c:v>20051.713069308578</c:v>
                </c:pt>
                <c:pt idx="40">
                  <c:v>24604.601724438187</c:v>
                </c:pt>
                <c:pt idx="41">
                  <c:v>22030.962424892463</c:v>
                </c:pt>
                <c:pt idx="42">
                  <c:v>22270.723769092459</c:v>
                </c:pt>
                <c:pt idx="43">
                  <c:v>22353.31996481189</c:v>
                </c:pt>
                <c:pt idx="44">
                  <c:v>20618.644299878841</c:v>
                </c:pt>
                <c:pt idx="45">
                  <c:v>21550.61731798252</c:v>
                </c:pt>
                <c:pt idx="46">
                  <c:v>17057.83941919477</c:v>
                </c:pt>
                <c:pt idx="47">
                  <c:v>23996.004630208608</c:v>
                </c:pt>
                <c:pt idx="48">
                  <c:v>26639.235903648376</c:v>
                </c:pt>
                <c:pt idx="49">
                  <c:v>25375.782904575201</c:v>
                </c:pt>
                <c:pt idx="50">
                  <c:v>25675.13884225678</c:v>
                </c:pt>
                <c:pt idx="51">
                  <c:v>26807.362238643575</c:v>
                </c:pt>
                <c:pt idx="52">
                  <c:v>26229.343641149662</c:v>
                </c:pt>
                <c:pt idx="53">
                  <c:v>25902.843036323542</c:v>
                </c:pt>
                <c:pt idx="54">
                  <c:v>22488.638218809556</c:v>
                </c:pt>
                <c:pt idx="55">
                  <c:v>22723.499568847219</c:v>
                </c:pt>
                <c:pt idx="56">
                  <c:v>21224.159652777784</c:v>
                </c:pt>
                <c:pt idx="57">
                  <c:v>21194.20655620535</c:v>
                </c:pt>
                <c:pt idx="58">
                  <c:v>21908.047950706714</c:v>
                </c:pt>
                <c:pt idx="59">
                  <c:v>17424.340526644308</c:v>
                </c:pt>
                <c:pt idx="60">
                  <c:v>20712.614861476439</c:v>
                </c:pt>
                <c:pt idx="61">
                  <c:v>19924.735387001449</c:v>
                </c:pt>
                <c:pt idx="62">
                  <c:v>19896.444060164584</c:v>
                </c:pt>
                <c:pt idx="63">
                  <c:v>20640.326350610598</c:v>
                </c:pt>
                <c:pt idx="64">
                  <c:v>21945.569387045674</c:v>
                </c:pt>
                <c:pt idx="65">
                  <c:v>21285.870906052081</c:v>
                </c:pt>
                <c:pt idx="66">
                  <c:v>19189.766982983056</c:v>
                </c:pt>
                <c:pt idx="67">
                  <c:v>20717.661389531171</c:v>
                </c:pt>
                <c:pt idx="68">
                  <c:v>20535.730306119385</c:v>
                </c:pt>
                <c:pt idx="69">
                  <c:v>19182.042968858077</c:v>
                </c:pt>
                <c:pt idx="70">
                  <c:v>20604.252694880903</c:v>
                </c:pt>
                <c:pt idx="71">
                  <c:v>19753.826839552712</c:v>
                </c:pt>
                <c:pt idx="72">
                  <c:v>17551.804280054777</c:v>
                </c:pt>
                <c:pt idx="73">
                  <c:v>18603.168561908289</c:v>
                </c:pt>
                <c:pt idx="74">
                  <c:v>19992.574302025227</c:v>
                </c:pt>
                <c:pt idx="75">
                  <c:v>20713.90242232976</c:v>
                </c:pt>
                <c:pt idx="76">
                  <c:v>20599.300525193761</c:v>
                </c:pt>
                <c:pt idx="77">
                  <c:v>19297.223790431268</c:v>
                </c:pt>
                <c:pt idx="78">
                  <c:v>22377.363970382361</c:v>
                </c:pt>
                <c:pt idx="79">
                  <c:v>20549.583346912244</c:v>
                </c:pt>
                <c:pt idx="80">
                  <c:v>20107.774009170345</c:v>
                </c:pt>
                <c:pt idx="81">
                  <c:v>22598.269617952719</c:v>
                </c:pt>
                <c:pt idx="82">
                  <c:v>23569.515906207871</c:v>
                </c:pt>
                <c:pt idx="83">
                  <c:v>21037.891168977301</c:v>
                </c:pt>
                <c:pt idx="84">
                  <c:v>20762.33216721793</c:v>
                </c:pt>
                <c:pt idx="85">
                  <c:v>21972.279882201467</c:v>
                </c:pt>
                <c:pt idx="86">
                  <c:v>20726.230763232183</c:v>
                </c:pt>
                <c:pt idx="87">
                  <c:v>25880.180535850202</c:v>
                </c:pt>
                <c:pt idx="88">
                  <c:v>22798.223454257841</c:v>
                </c:pt>
                <c:pt idx="89">
                  <c:v>23194.141794466021</c:v>
                </c:pt>
                <c:pt idx="90">
                  <c:v>23472.853524902854</c:v>
                </c:pt>
                <c:pt idx="91">
                  <c:v>21104.434932178152</c:v>
                </c:pt>
                <c:pt idx="92">
                  <c:v>22499.389423065346</c:v>
                </c:pt>
                <c:pt idx="93">
                  <c:v>17933.371151086798</c:v>
                </c:pt>
                <c:pt idx="94">
                  <c:v>24131.240088952487</c:v>
                </c:pt>
                <c:pt idx="95">
                  <c:v>27131.077626520691</c:v>
                </c:pt>
                <c:pt idx="96">
                  <c:v>25950.363036327821</c:v>
                </c:pt>
                <c:pt idx="97">
                  <c:v>25803.941290270974</c:v>
                </c:pt>
                <c:pt idx="98">
                  <c:v>27109.735030741031</c:v>
                </c:pt>
                <c:pt idx="99">
                  <c:v>26418.056805402535</c:v>
                </c:pt>
                <c:pt idx="100">
                  <c:v>26107.358190224943</c:v>
                </c:pt>
                <c:pt idx="101">
                  <c:v>22632.798273292265</c:v>
                </c:pt>
                <c:pt idx="102">
                  <c:v>22676.552031207761</c:v>
                </c:pt>
                <c:pt idx="103">
                  <c:v>21108.590495381584</c:v>
                </c:pt>
                <c:pt idx="104">
                  <c:v>21109.670719541333</c:v>
                </c:pt>
                <c:pt idx="105">
                  <c:v>21812.48614953622</c:v>
                </c:pt>
                <c:pt idx="106">
                  <c:v>17405.883048810825</c:v>
                </c:pt>
                <c:pt idx="107">
                  <c:v>20821.951432492737</c:v>
                </c:pt>
                <c:pt idx="108">
                  <c:v>19939.760626740801</c:v>
                </c:pt>
                <c:pt idx="109">
                  <c:v>19987.631003383445</c:v>
                </c:pt>
                <c:pt idx="110">
                  <c:v>20663.06063599974</c:v>
                </c:pt>
                <c:pt idx="111">
                  <c:v>21740.189433063497</c:v>
                </c:pt>
                <c:pt idx="112">
                  <c:v>21354.006949937302</c:v>
                </c:pt>
                <c:pt idx="113">
                  <c:v>19456.047192126309</c:v>
                </c:pt>
                <c:pt idx="114">
                  <c:v>20931.481320679362</c:v>
                </c:pt>
                <c:pt idx="115">
                  <c:v>20685.418269531507</c:v>
                </c:pt>
                <c:pt idx="116">
                  <c:v>19366.817675651193</c:v>
                </c:pt>
                <c:pt idx="117">
                  <c:v>21043.827109787642</c:v>
                </c:pt>
                <c:pt idx="118">
                  <c:v>19687.042673048505</c:v>
                </c:pt>
                <c:pt idx="119">
                  <c:v>17440.623550597305</c:v>
                </c:pt>
                <c:pt idx="120">
                  <c:v>18718.195583777902</c:v>
                </c:pt>
                <c:pt idx="121">
                  <c:v>20049.448905795085</c:v>
                </c:pt>
                <c:pt idx="122">
                  <c:v>20768.258296819498</c:v>
                </c:pt>
                <c:pt idx="123">
                  <c:v>21209.998776554276</c:v>
                </c:pt>
                <c:pt idx="124">
                  <c:v>19421.257127973549</c:v>
                </c:pt>
                <c:pt idx="125">
                  <c:v>22650.060304509854</c:v>
                </c:pt>
                <c:pt idx="126">
                  <c:v>20640.480997160445</c:v>
                </c:pt>
                <c:pt idx="127">
                  <c:v>20117.363338581425</c:v>
                </c:pt>
                <c:pt idx="128">
                  <c:v>22601.701627888724</c:v>
                </c:pt>
                <c:pt idx="129">
                  <c:v>23577.65116953868</c:v>
                </c:pt>
                <c:pt idx="130">
                  <c:v>21125.727846504338</c:v>
                </c:pt>
                <c:pt idx="131">
                  <c:v>20816.584561504285</c:v>
                </c:pt>
                <c:pt idx="132">
                  <c:v>21975.638896785327</c:v>
                </c:pt>
                <c:pt idx="133">
                  <c:v>20824.413808780246</c:v>
                </c:pt>
                <c:pt idx="134">
                  <c:v>25982.991906457079</c:v>
                </c:pt>
                <c:pt idx="135">
                  <c:v>22927.12015377649</c:v>
                </c:pt>
                <c:pt idx="136">
                  <c:v>23559.603727996695</c:v>
                </c:pt>
                <c:pt idx="137">
                  <c:v>23913.469014089624</c:v>
                </c:pt>
                <c:pt idx="138">
                  <c:v>21439.019183828903</c:v>
                </c:pt>
                <c:pt idx="139">
                  <c:v>22918.892797578814</c:v>
                </c:pt>
                <c:pt idx="140">
                  <c:v>18064.71108575289</c:v>
                </c:pt>
                <c:pt idx="141">
                  <c:v>25021.381550028418</c:v>
                </c:pt>
                <c:pt idx="142">
                  <c:v>27996.638339623634</c:v>
                </c:pt>
                <c:pt idx="143">
                  <c:v>27013.896013718942</c:v>
                </c:pt>
                <c:pt idx="144">
                  <c:v>26975.960042625047</c:v>
                </c:pt>
                <c:pt idx="145">
                  <c:v>27990.734662888935</c:v>
                </c:pt>
                <c:pt idx="146">
                  <c:v>27541.542513238168</c:v>
                </c:pt>
                <c:pt idx="147">
                  <c:v>27047.138560906784</c:v>
                </c:pt>
                <c:pt idx="148">
                  <c:v>23451.962439422186</c:v>
                </c:pt>
                <c:pt idx="149">
                  <c:v>23620.173942927569</c:v>
                </c:pt>
                <c:pt idx="150">
                  <c:v>21898.131160228495</c:v>
                </c:pt>
                <c:pt idx="151">
                  <c:v>22062.202766482627</c:v>
                </c:pt>
                <c:pt idx="152">
                  <c:v>22831.836504756371</c:v>
                </c:pt>
                <c:pt idx="153">
                  <c:v>18151.295490067965</c:v>
                </c:pt>
                <c:pt idx="154">
                  <c:v>21894.634596874603</c:v>
                </c:pt>
                <c:pt idx="155">
                  <c:v>20601.895331066731</c:v>
                </c:pt>
                <c:pt idx="156">
                  <c:v>21029.263047003424</c:v>
                </c:pt>
                <c:pt idx="157">
                  <c:v>21375.061212145738</c:v>
                </c:pt>
                <c:pt idx="158">
                  <c:v>22594.763971075354</c:v>
                </c:pt>
                <c:pt idx="159">
                  <c:v>22279.55855209244</c:v>
                </c:pt>
                <c:pt idx="160">
                  <c:v>20221.08058736557</c:v>
                </c:pt>
                <c:pt idx="161">
                  <c:v>22074.475112767144</c:v>
                </c:pt>
                <c:pt idx="162">
                  <c:v>21632.81021979998</c:v>
                </c:pt>
                <c:pt idx="163">
                  <c:v>20202.226247906772</c:v>
                </c:pt>
                <c:pt idx="164">
                  <c:v>22130.259824558583</c:v>
                </c:pt>
                <c:pt idx="165">
                  <c:v>20445.13441027288</c:v>
                </c:pt>
                <c:pt idx="166">
                  <c:v>18275.362436888994</c:v>
                </c:pt>
                <c:pt idx="167">
                  <c:v>19671.058461297318</c:v>
                </c:pt>
                <c:pt idx="168">
                  <c:v>20978.259271504048</c:v>
                </c:pt>
                <c:pt idx="169">
                  <c:v>21719.868678794606</c:v>
                </c:pt>
                <c:pt idx="170">
                  <c:v>22322.76734423605</c:v>
                </c:pt>
                <c:pt idx="171">
                  <c:v>20062.063633609938</c:v>
                </c:pt>
                <c:pt idx="172">
                  <c:v>23669.191108868356</c:v>
                </c:pt>
                <c:pt idx="173">
                  <c:v>21315.195242686728</c:v>
                </c:pt>
                <c:pt idx="174">
                  <c:v>20883.584708859235</c:v>
                </c:pt>
                <c:pt idx="175">
                  <c:v>23273.669004107578</c:v>
                </c:pt>
                <c:pt idx="176">
                  <c:v>24439.661790533952</c:v>
                </c:pt>
                <c:pt idx="177">
                  <c:v>22112.555509559214</c:v>
                </c:pt>
                <c:pt idx="178">
                  <c:v>21631.623778970952</c:v>
                </c:pt>
                <c:pt idx="179">
                  <c:v>22386.139602998359</c:v>
                </c:pt>
                <c:pt idx="180">
                  <c:v>21809.17145560023</c:v>
                </c:pt>
                <c:pt idx="181">
                  <c:v>27190.934815109402</c:v>
                </c:pt>
                <c:pt idx="182">
                  <c:v>23773.920068150001</c:v>
                </c:pt>
                <c:pt idx="183">
                  <c:v>24686.911476451736</c:v>
                </c:pt>
                <c:pt idx="184">
                  <c:v>24802.241854877968</c:v>
                </c:pt>
                <c:pt idx="185">
                  <c:v>22399.932353178887</c:v>
                </c:pt>
                <c:pt idx="186">
                  <c:v>24014.979833048106</c:v>
                </c:pt>
                <c:pt idx="187">
                  <c:v>18923.44468003403</c:v>
                </c:pt>
                <c:pt idx="188">
                  <c:v>25160.956371617111</c:v>
                </c:pt>
                <c:pt idx="189">
                  <c:v>28366.567353714046</c:v>
                </c:pt>
                <c:pt idx="190">
                  <c:v>27505.724833405602</c:v>
                </c:pt>
                <c:pt idx="191">
                  <c:v>27295.075812003215</c:v>
                </c:pt>
                <c:pt idx="192">
                  <c:v>28304.561358525367</c:v>
                </c:pt>
                <c:pt idx="193">
                  <c:v>28201.461744661541</c:v>
                </c:pt>
                <c:pt idx="194">
                  <c:v>27255.116503597561</c:v>
                </c:pt>
                <c:pt idx="195">
                  <c:v>23545.562210454817</c:v>
                </c:pt>
                <c:pt idx="196">
                  <c:v>23800.394142674246</c:v>
                </c:pt>
                <c:pt idx="197">
                  <c:v>22151.627262964423</c:v>
                </c:pt>
                <c:pt idx="198">
                  <c:v>22003.938050314689</c:v>
                </c:pt>
                <c:pt idx="199">
                  <c:v>22687.33342725347</c:v>
                </c:pt>
                <c:pt idx="200">
                  <c:v>18011.619913466562</c:v>
                </c:pt>
                <c:pt idx="201">
                  <c:v>21854.371383979615</c:v>
                </c:pt>
                <c:pt idx="202">
                  <c:v>20723.248086919542</c:v>
                </c:pt>
                <c:pt idx="203">
                  <c:v>21100.568625846412</c:v>
                </c:pt>
                <c:pt idx="204">
                  <c:v>21302.784294773151</c:v>
                </c:pt>
                <c:pt idx="205">
                  <c:v>22803.854143841887</c:v>
                </c:pt>
                <c:pt idx="206">
                  <c:v>22254.451842458857</c:v>
                </c:pt>
                <c:pt idx="207">
                  <c:v>20355.370854426248</c:v>
                </c:pt>
                <c:pt idx="208">
                  <c:v>22251.104308457659</c:v>
                </c:pt>
                <c:pt idx="209">
                  <c:v>21921.265342381295</c:v>
                </c:pt>
                <c:pt idx="210">
                  <c:v>20403.07304718245</c:v>
                </c:pt>
                <c:pt idx="211">
                  <c:v>22175.644923590226</c:v>
                </c:pt>
                <c:pt idx="212">
                  <c:v>20296.072839968107</c:v>
                </c:pt>
                <c:pt idx="213">
                  <c:v>18316.558350014206</c:v>
                </c:pt>
                <c:pt idx="214">
                  <c:v>19705.72376036776</c:v>
                </c:pt>
                <c:pt idx="215">
                  <c:v>21050.964712927231</c:v>
                </c:pt>
                <c:pt idx="216">
                  <c:v>21822.645147166368</c:v>
                </c:pt>
                <c:pt idx="217">
                  <c:v>22349.290974246971</c:v>
                </c:pt>
                <c:pt idx="218">
                  <c:v>19937.864276958968</c:v>
                </c:pt>
                <c:pt idx="219">
                  <c:v>24018.42990379249</c:v>
                </c:pt>
                <c:pt idx="220">
                  <c:v>21207.1575359942</c:v>
                </c:pt>
                <c:pt idx="221">
                  <c:v>20908.892106831423</c:v>
                </c:pt>
                <c:pt idx="222">
                  <c:v>23234.29630107903</c:v>
                </c:pt>
                <c:pt idx="223">
                  <c:v>24488.537034825888</c:v>
                </c:pt>
                <c:pt idx="224">
                  <c:v>22188.043156993801</c:v>
                </c:pt>
                <c:pt idx="225">
                  <c:v>21784.1414221425</c:v>
                </c:pt>
                <c:pt idx="226">
                  <c:v>22504.911535594656</c:v>
                </c:pt>
                <c:pt idx="227">
                  <c:v>21879.425241856537</c:v>
                </c:pt>
                <c:pt idx="228">
                  <c:v>27560.046387397491</c:v>
                </c:pt>
                <c:pt idx="229">
                  <c:v>24132.300151697436</c:v>
                </c:pt>
                <c:pt idx="230">
                  <c:v>24821.617671434309</c:v>
                </c:pt>
                <c:pt idx="231">
                  <c:v>25033.381517199719</c:v>
                </c:pt>
                <c:pt idx="232">
                  <c:v>23318.464599552663</c:v>
                </c:pt>
                <c:pt idx="233">
                  <c:v>24388.350488892414</c:v>
                </c:pt>
                <c:pt idx="234">
                  <c:v>19050.364951091145</c:v>
                </c:pt>
                <c:pt idx="235">
                  <c:v>25521.595379746668</c:v>
                </c:pt>
                <c:pt idx="236">
                  <c:v>28810.925927112687</c:v>
                </c:pt>
                <c:pt idx="237">
                  <c:v>28149.50142503684</c:v>
                </c:pt>
                <c:pt idx="238">
                  <c:v>27337.927791901333</c:v>
                </c:pt>
                <c:pt idx="239">
                  <c:v>28877.155047290475</c:v>
                </c:pt>
                <c:pt idx="240">
                  <c:v>28476.301090471603</c:v>
                </c:pt>
                <c:pt idx="241">
                  <c:v>27296.163855286828</c:v>
                </c:pt>
                <c:pt idx="242">
                  <c:v>23625.345563463445</c:v>
                </c:pt>
                <c:pt idx="243">
                  <c:v>24079.670683780441</c:v>
                </c:pt>
                <c:pt idx="244">
                  <c:v>22213.658056718872</c:v>
                </c:pt>
                <c:pt idx="245">
                  <c:v>22249.554383718929</c:v>
                </c:pt>
                <c:pt idx="246">
                  <c:v>22978.064443960124</c:v>
                </c:pt>
                <c:pt idx="247">
                  <c:v>18146.452286846721</c:v>
                </c:pt>
                <c:pt idx="248">
                  <c:v>21969.130486662598</c:v>
                </c:pt>
                <c:pt idx="249">
                  <c:v>21081.522278188757</c:v>
                </c:pt>
                <c:pt idx="250">
                  <c:v>21576.979202551975</c:v>
                </c:pt>
                <c:pt idx="251">
                  <c:v>21504.520829268786</c:v>
                </c:pt>
                <c:pt idx="252">
                  <c:v>22794.327332147972</c:v>
                </c:pt>
                <c:pt idx="253">
                  <c:v>22264.640102073896</c:v>
                </c:pt>
                <c:pt idx="254">
                  <c:v>20642.432314496684</c:v>
                </c:pt>
                <c:pt idx="255">
                  <c:v>22325.534358032535</c:v>
                </c:pt>
                <c:pt idx="256">
                  <c:v>22359.441122507043</c:v>
                </c:pt>
                <c:pt idx="257">
                  <c:v>20595.889230557823</c:v>
                </c:pt>
                <c:pt idx="258">
                  <c:v>22456.119370872533</c:v>
                </c:pt>
                <c:pt idx="259">
                  <c:v>20304.76935093163</c:v>
                </c:pt>
                <c:pt idx="260">
                  <c:v>18334.866099599225</c:v>
                </c:pt>
                <c:pt idx="261">
                  <c:v>19888.998117925781</c:v>
                </c:pt>
                <c:pt idx="262">
                  <c:v>21103.862949822269</c:v>
                </c:pt>
                <c:pt idx="263">
                  <c:v>21651.483188204642</c:v>
                </c:pt>
                <c:pt idx="264">
                  <c:v>22533.700160255001</c:v>
                </c:pt>
                <c:pt idx="265">
                  <c:v>20331.862774846562</c:v>
                </c:pt>
                <c:pt idx="266">
                  <c:v>24032.618232371846</c:v>
                </c:pt>
                <c:pt idx="267">
                  <c:v>21553.706931032611</c:v>
                </c:pt>
                <c:pt idx="268">
                  <c:v>21083.648832282895</c:v>
                </c:pt>
                <c:pt idx="269">
                  <c:v>23442.111728790678</c:v>
                </c:pt>
                <c:pt idx="270">
                  <c:v>24495.174236399504</c:v>
                </c:pt>
                <c:pt idx="271">
                  <c:v>22082.238418055444</c:v>
                </c:pt>
                <c:pt idx="272">
                  <c:v>22007.257177381558</c:v>
                </c:pt>
                <c:pt idx="273">
                  <c:v>23109.862662179472</c:v>
                </c:pt>
                <c:pt idx="274">
                  <c:v>22116.688941105203</c:v>
                </c:pt>
                <c:pt idx="275">
                  <c:v>27450.295550694595</c:v>
                </c:pt>
                <c:pt idx="276">
                  <c:v>24342.890839306972</c:v>
                </c:pt>
                <c:pt idx="277">
                  <c:v>25060.59013102403</c:v>
                </c:pt>
                <c:pt idx="278">
                  <c:v>25671.979646635657</c:v>
                </c:pt>
                <c:pt idx="279">
                  <c:v>23252.535350725208</c:v>
                </c:pt>
                <c:pt idx="280">
                  <c:v>24809.295936046856</c:v>
                </c:pt>
                <c:pt idx="281">
                  <c:v>19465.610430459154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9C-46CE-A4F3-A570B1A94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955519"/>
        <c:axId val="430954559"/>
      </c:scatterChart>
      <c:valAx>
        <c:axId val="430955519"/>
        <c:scaling>
          <c:orientation val="minMax"/>
          <c:min val="2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0954559"/>
        <c:crosses val="autoZero"/>
        <c:crossBetween val="midCat"/>
      </c:valAx>
      <c:valAx>
        <c:axId val="430954559"/>
        <c:scaling>
          <c:orientation val="minMax"/>
          <c:min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0955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インセンティブ実施率!$S$1</c:f>
              <c:strCache>
                <c:ptCount val="1"/>
                <c:pt idx="0">
                  <c:v>１人当たり医療費_合計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インセンティブ実施率!$J$190:$J$283</c:f>
              <c:numCache>
                <c:formatCode>#,##0.0;[Red]\-#,##0.0</c:formatCode>
                <c:ptCount val="94"/>
                <c:pt idx="0">
                  <c:v>33.799999999999997</c:v>
                </c:pt>
                <c:pt idx="1">
                  <c:v>35.5</c:v>
                </c:pt>
                <c:pt idx="2">
                  <c:v>34.799999999999997</c:v>
                </c:pt>
                <c:pt idx="3">
                  <c:v>34.6</c:v>
                </c:pt>
                <c:pt idx="4">
                  <c:v>37.6</c:v>
                </c:pt>
                <c:pt idx="5">
                  <c:v>40.200000000000003</c:v>
                </c:pt>
                <c:pt idx="6">
                  <c:v>34.200000000000003</c:v>
                </c:pt>
                <c:pt idx="7">
                  <c:v>35.200000000000003</c:v>
                </c:pt>
                <c:pt idx="8">
                  <c:v>36.6</c:v>
                </c:pt>
                <c:pt idx="9">
                  <c:v>33.700000000000003</c:v>
                </c:pt>
                <c:pt idx="10">
                  <c:v>32.200000000000003</c:v>
                </c:pt>
                <c:pt idx="11">
                  <c:v>32.200000000000003</c:v>
                </c:pt>
                <c:pt idx="12">
                  <c:v>34.1</c:v>
                </c:pt>
                <c:pt idx="13">
                  <c:v>33.9</c:v>
                </c:pt>
                <c:pt idx="14">
                  <c:v>38.6</c:v>
                </c:pt>
                <c:pt idx="15">
                  <c:v>39.4</c:v>
                </c:pt>
                <c:pt idx="16">
                  <c:v>36</c:v>
                </c:pt>
                <c:pt idx="17">
                  <c:v>35.700000000000003</c:v>
                </c:pt>
                <c:pt idx="18">
                  <c:v>31.8</c:v>
                </c:pt>
                <c:pt idx="19">
                  <c:v>36.299999999999997</c:v>
                </c:pt>
                <c:pt idx="20">
                  <c:v>35.9</c:v>
                </c:pt>
                <c:pt idx="21">
                  <c:v>35.299999999999997</c:v>
                </c:pt>
                <c:pt idx="22">
                  <c:v>35.799999999999997</c:v>
                </c:pt>
                <c:pt idx="23">
                  <c:v>35.1</c:v>
                </c:pt>
                <c:pt idx="24">
                  <c:v>33.5</c:v>
                </c:pt>
                <c:pt idx="25">
                  <c:v>32.200000000000003</c:v>
                </c:pt>
                <c:pt idx="26">
                  <c:v>33.799999999999997</c:v>
                </c:pt>
                <c:pt idx="27">
                  <c:v>33.6</c:v>
                </c:pt>
                <c:pt idx="28">
                  <c:v>35.9</c:v>
                </c:pt>
                <c:pt idx="29">
                  <c:v>34.6</c:v>
                </c:pt>
                <c:pt idx="30">
                  <c:v>33.5</c:v>
                </c:pt>
                <c:pt idx="31">
                  <c:v>37.9</c:v>
                </c:pt>
                <c:pt idx="32">
                  <c:v>37.1</c:v>
                </c:pt>
                <c:pt idx="33">
                  <c:v>37.4</c:v>
                </c:pt>
                <c:pt idx="34">
                  <c:v>33.6</c:v>
                </c:pt>
                <c:pt idx="35">
                  <c:v>32.799999999999997</c:v>
                </c:pt>
                <c:pt idx="36">
                  <c:v>35.5</c:v>
                </c:pt>
                <c:pt idx="37">
                  <c:v>35.299999999999997</c:v>
                </c:pt>
                <c:pt idx="38">
                  <c:v>31.6</c:v>
                </c:pt>
                <c:pt idx="39">
                  <c:v>36.5</c:v>
                </c:pt>
                <c:pt idx="40">
                  <c:v>39.1</c:v>
                </c:pt>
                <c:pt idx="41">
                  <c:v>34.6</c:v>
                </c:pt>
                <c:pt idx="42">
                  <c:v>38.799999999999997</c:v>
                </c:pt>
                <c:pt idx="43">
                  <c:v>38.200000000000003</c:v>
                </c:pt>
                <c:pt idx="44">
                  <c:v>36.799999999999997</c:v>
                </c:pt>
                <c:pt idx="45">
                  <c:v>38.700000000000003</c:v>
                </c:pt>
                <c:pt idx="46">
                  <c:v>35.799999999999997</c:v>
                </c:pt>
                <c:pt idx="47">
                  <c:v>32.6</c:v>
                </c:pt>
                <c:pt idx="48">
                  <c:v>34.200000000000003</c:v>
                </c:pt>
                <c:pt idx="49">
                  <c:v>31.4</c:v>
                </c:pt>
                <c:pt idx="50">
                  <c:v>33.4</c:v>
                </c:pt>
                <c:pt idx="51">
                  <c:v>37.9</c:v>
                </c:pt>
                <c:pt idx="52">
                  <c:v>37.4</c:v>
                </c:pt>
                <c:pt idx="53">
                  <c:v>31.3</c:v>
                </c:pt>
                <c:pt idx="54">
                  <c:v>32.200000000000003</c:v>
                </c:pt>
                <c:pt idx="55">
                  <c:v>34.6</c:v>
                </c:pt>
                <c:pt idx="56">
                  <c:v>32.6</c:v>
                </c:pt>
                <c:pt idx="57">
                  <c:v>30.5</c:v>
                </c:pt>
                <c:pt idx="58">
                  <c:v>32.200000000000003</c:v>
                </c:pt>
                <c:pt idx="59">
                  <c:v>32</c:v>
                </c:pt>
                <c:pt idx="60">
                  <c:v>31.9</c:v>
                </c:pt>
                <c:pt idx="61">
                  <c:v>36.1</c:v>
                </c:pt>
                <c:pt idx="62">
                  <c:v>38.5</c:v>
                </c:pt>
                <c:pt idx="63">
                  <c:v>32.799999999999997</c:v>
                </c:pt>
                <c:pt idx="64">
                  <c:v>33.6</c:v>
                </c:pt>
                <c:pt idx="65">
                  <c:v>33.4</c:v>
                </c:pt>
                <c:pt idx="66">
                  <c:v>36.200000000000003</c:v>
                </c:pt>
                <c:pt idx="67">
                  <c:v>36.200000000000003</c:v>
                </c:pt>
                <c:pt idx="68">
                  <c:v>34.6</c:v>
                </c:pt>
                <c:pt idx="69">
                  <c:v>31.1</c:v>
                </c:pt>
                <c:pt idx="70">
                  <c:v>34.799999999999997</c:v>
                </c:pt>
                <c:pt idx="71">
                  <c:v>32.299999999999997</c:v>
                </c:pt>
                <c:pt idx="72">
                  <c:v>30.5</c:v>
                </c:pt>
                <c:pt idx="73">
                  <c:v>31.6</c:v>
                </c:pt>
                <c:pt idx="74">
                  <c:v>32.799999999999997</c:v>
                </c:pt>
                <c:pt idx="75">
                  <c:v>37.1</c:v>
                </c:pt>
                <c:pt idx="76">
                  <c:v>32.700000000000003</c:v>
                </c:pt>
                <c:pt idx="77">
                  <c:v>31</c:v>
                </c:pt>
                <c:pt idx="78">
                  <c:v>35.799999999999997</c:v>
                </c:pt>
                <c:pt idx="79">
                  <c:v>38.299999999999997</c:v>
                </c:pt>
                <c:pt idx="80">
                  <c:v>36.700000000000003</c:v>
                </c:pt>
                <c:pt idx="81">
                  <c:v>33.700000000000003</c:v>
                </c:pt>
                <c:pt idx="82">
                  <c:v>31.1</c:v>
                </c:pt>
                <c:pt idx="83">
                  <c:v>32.5</c:v>
                </c:pt>
                <c:pt idx="84">
                  <c:v>33.700000000000003</c:v>
                </c:pt>
                <c:pt idx="85">
                  <c:v>29.9</c:v>
                </c:pt>
                <c:pt idx="86">
                  <c:v>33.299999999999997</c:v>
                </c:pt>
                <c:pt idx="87">
                  <c:v>34.799999999999997</c:v>
                </c:pt>
                <c:pt idx="88">
                  <c:v>33.799999999999997</c:v>
                </c:pt>
                <c:pt idx="89">
                  <c:v>38.9</c:v>
                </c:pt>
                <c:pt idx="90">
                  <c:v>37.5</c:v>
                </c:pt>
                <c:pt idx="91">
                  <c:v>34.1</c:v>
                </c:pt>
                <c:pt idx="92">
                  <c:v>39</c:v>
                </c:pt>
                <c:pt idx="93">
                  <c:v>33.9</c:v>
                </c:pt>
              </c:numCache>
            </c:numRef>
          </c:xVal>
          <c:yVal>
            <c:numRef>
              <c:f>インセンティブ実施率!$S$190:$S$283</c:f>
              <c:numCache>
                <c:formatCode>#,##0.00_);[Red]\(#,##0.00\)</c:formatCode>
                <c:ptCount val="94"/>
                <c:pt idx="0">
                  <c:v>223683.67052101242</c:v>
                </c:pt>
                <c:pt idx="1">
                  <c:v>204424.68811193682</c:v>
                </c:pt>
                <c:pt idx="2">
                  <c:v>204937.65857043394</c:v>
                </c:pt>
                <c:pt idx="3">
                  <c:v>211072.98510298607</c:v>
                </c:pt>
                <c:pt idx="4">
                  <c:v>224344.69228145332</c:v>
                </c:pt>
                <c:pt idx="5">
                  <c:v>213688.41611708404</c:v>
                </c:pt>
                <c:pt idx="6">
                  <c:v>202444.13161993379</c:v>
                </c:pt>
                <c:pt idx="7">
                  <c:v>195546.09505787183</c:v>
                </c:pt>
                <c:pt idx="8">
                  <c:v>200987.9216050363</c:v>
                </c:pt>
                <c:pt idx="9">
                  <c:v>196137.66709101881</c:v>
                </c:pt>
                <c:pt idx="10">
                  <c:v>194767.42204633687</c:v>
                </c:pt>
                <c:pt idx="11">
                  <c:v>197550.82893746867</c:v>
                </c:pt>
                <c:pt idx="12">
                  <c:v>194926.06937838637</c:v>
                </c:pt>
                <c:pt idx="13">
                  <c:v>204398.69900130463</c:v>
                </c:pt>
                <c:pt idx="14">
                  <c:v>189541.81277244192</c:v>
                </c:pt>
                <c:pt idx="15">
                  <c:v>192009.48317475227</c:v>
                </c:pt>
                <c:pt idx="16">
                  <c:v>201160.85275436271</c:v>
                </c:pt>
                <c:pt idx="17">
                  <c:v>207921.67128944545</c:v>
                </c:pt>
                <c:pt idx="18">
                  <c:v>203272.12504186432</c:v>
                </c:pt>
                <c:pt idx="19">
                  <c:v>192175.26770484771</c:v>
                </c:pt>
                <c:pt idx="20">
                  <c:v>200314.84830477173</c:v>
                </c:pt>
                <c:pt idx="21">
                  <c:v>196994.81664767451</c:v>
                </c:pt>
                <c:pt idx="22">
                  <c:v>196469.23275248753</c:v>
                </c:pt>
                <c:pt idx="23">
                  <c:v>199775.87256418934</c:v>
                </c:pt>
                <c:pt idx="24">
                  <c:v>194853.59564442595</c:v>
                </c:pt>
                <c:pt idx="25">
                  <c:v>203866.04762333454</c:v>
                </c:pt>
                <c:pt idx="26">
                  <c:v>209387.59976174269</c:v>
                </c:pt>
                <c:pt idx="27">
                  <c:v>209710.59118505323</c:v>
                </c:pt>
                <c:pt idx="28">
                  <c:v>209265.95605666935</c:v>
                </c:pt>
                <c:pt idx="29">
                  <c:v>208524.32110081281</c:v>
                </c:pt>
                <c:pt idx="30">
                  <c:v>201013.69902847361</c:v>
                </c:pt>
                <c:pt idx="31">
                  <c:v>216228.06992751776</c:v>
                </c:pt>
                <c:pt idx="32">
                  <c:v>205803.50675242062</c:v>
                </c:pt>
                <c:pt idx="33">
                  <c:v>202506.0493687554</c:v>
                </c:pt>
                <c:pt idx="34">
                  <c:v>216411.32898266896</c:v>
                </c:pt>
                <c:pt idx="35">
                  <c:v>218293.4527376231</c:v>
                </c:pt>
                <c:pt idx="36">
                  <c:v>217238.85697369103</c:v>
                </c:pt>
                <c:pt idx="37">
                  <c:v>206133.91518794617</c:v>
                </c:pt>
                <c:pt idx="38">
                  <c:v>210485.54130011614</c:v>
                </c:pt>
                <c:pt idx="39">
                  <c:v>214331.24552119809</c:v>
                </c:pt>
                <c:pt idx="40">
                  <c:v>234186.97758294203</c:v>
                </c:pt>
                <c:pt idx="41">
                  <c:v>219595.3632123977</c:v>
                </c:pt>
                <c:pt idx="42">
                  <c:v>217907.64875285586</c:v>
                </c:pt>
                <c:pt idx="43">
                  <c:v>220513.48634695142</c:v>
                </c:pt>
                <c:pt idx="44">
                  <c:v>206090.68991486172</c:v>
                </c:pt>
                <c:pt idx="45">
                  <c:v>215188.84971442743</c:v>
                </c:pt>
                <c:pt idx="46">
                  <c:v>189357.27507801124</c:v>
                </c:pt>
                <c:pt idx="47">
                  <c:v>232288.06371134004</c:v>
                </c:pt>
                <c:pt idx="48">
                  <c:v>215115.73292000353</c:v>
                </c:pt>
                <c:pt idx="49">
                  <c:v>209984.98152340626</c:v>
                </c:pt>
                <c:pt idx="50">
                  <c:v>218088.38252095212</c:v>
                </c:pt>
                <c:pt idx="51">
                  <c:v>231413.68012724604</c:v>
                </c:pt>
                <c:pt idx="52">
                  <c:v>218927.93064044023</c:v>
                </c:pt>
                <c:pt idx="53">
                  <c:v>207510.72234257241</c:v>
                </c:pt>
                <c:pt idx="54">
                  <c:v>200177.46662306634</c:v>
                </c:pt>
                <c:pt idx="55">
                  <c:v>207947.26868030214</c:v>
                </c:pt>
                <c:pt idx="56">
                  <c:v>201405.9765240899</c:v>
                </c:pt>
                <c:pt idx="57">
                  <c:v>201472.52666019063</c:v>
                </c:pt>
                <c:pt idx="58">
                  <c:v>204922.5076620827</c:v>
                </c:pt>
                <c:pt idx="59">
                  <c:v>201573.80583287464</c:v>
                </c:pt>
                <c:pt idx="60">
                  <c:v>211462.57007907942</c:v>
                </c:pt>
                <c:pt idx="61">
                  <c:v>196851.79282312747</c:v>
                </c:pt>
                <c:pt idx="62">
                  <c:v>197899.00656784099</c:v>
                </c:pt>
                <c:pt idx="63">
                  <c:v>204548.61362814371</c:v>
                </c:pt>
                <c:pt idx="64">
                  <c:v>211226.08202880507</c:v>
                </c:pt>
                <c:pt idx="65">
                  <c:v>207888.8411638978</c:v>
                </c:pt>
                <c:pt idx="66">
                  <c:v>199763.98524279031</c:v>
                </c:pt>
                <c:pt idx="67">
                  <c:v>207529.7239277311</c:v>
                </c:pt>
                <c:pt idx="68">
                  <c:v>202970.41237336665</c:v>
                </c:pt>
                <c:pt idx="69">
                  <c:v>203573.01586068043</c:v>
                </c:pt>
                <c:pt idx="70">
                  <c:v>205751.74051951533</c:v>
                </c:pt>
                <c:pt idx="71">
                  <c:v>200824.09716970369</c:v>
                </c:pt>
                <c:pt idx="72">
                  <c:v>208080.55399449298</c:v>
                </c:pt>
                <c:pt idx="73">
                  <c:v>214924.81569629005</c:v>
                </c:pt>
                <c:pt idx="74">
                  <c:v>215713.65996515274</c:v>
                </c:pt>
                <c:pt idx="75">
                  <c:v>210978.28339390183</c:v>
                </c:pt>
                <c:pt idx="76">
                  <c:v>216890.84844429954</c:v>
                </c:pt>
                <c:pt idx="77">
                  <c:v>210732.00379877025</c:v>
                </c:pt>
                <c:pt idx="78">
                  <c:v>220828.69636819066</c:v>
                </c:pt>
                <c:pt idx="79">
                  <c:v>212126.78133491473</c:v>
                </c:pt>
                <c:pt idx="80">
                  <c:v>206743.22704760678</c:v>
                </c:pt>
                <c:pt idx="81">
                  <c:v>224047.2257557807</c:v>
                </c:pt>
                <c:pt idx="82">
                  <c:v>227283.55462517642</c:v>
                </c:pt>
                <c:pt idx="83">
                  <c:v>220844.93950604455</c:v>
                </c:pt>
                <c:pt idx="84">
                  <c:v>213612.38187672407</c:v>
                </c:pt>
                <c:pt idx="85">
                  <c:v>218577.43568004912</c:v>
                </c:pt>
                <c:pt idx="86">
                  <c:v>219292.18924331604</c:v>
                </c:pt>
                <c:pt idx="87">
                  <c:v>238790.8479635402</c:v>
                </c:pt>
                <c:pt idx="88">
                  <c:v>228076.20771980908</c:v>
                </c:pt>
                <c:pt idx="89">
                  <c:v>221926.06824668543</c:v>
                </c:pt>
                <c:pt idx="90">
                  <c:v>225649.45036350674</c:v>
                </c:pt>
                <c:pt idx="91">
                  <c:v>213632.69809678179</c:v>
                </c:pt>
                <c:pt idx="92">
                  <c:v>221192.2848456855</c:v>
                </c:pt>
                <c:pt idx="93">
                  <c:v>194294.42052924327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00-4EEA-8199-C4FC18735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907487"/>
        <c:axId val="1579907967"/>
      </c:scatterChart>
      <c:valAx>
        <c:axId val="1579907487"/>
        <c:scaling>
          <c:orientation val="minMax"/>
          <c:min val="2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907967"/>
        <c:crosses val="autoZero"/>
        <c:crossBetween val="midCat"/>
      </c:valAx>
      <c:valAx>
        <c:axId val="1579907967"/>
        <c:scaling>
          <c:orientation val="minMax"/>
          <c:min val="1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907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インセンティブ実施率!$T$1</c:f>
              <c:strCache>
                <c:ptCount val="1"/>
                <c:pt idx="0">
                  <c:v>１人当たり医療費_入院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インセンティブ実施率!$J$190:$J$283</c:f>
              <c:numCache>
                <c:formatCode>#,##0.0;[Red]\-#,##0.0</c:formatCode>
                <c:ptCount val="94"/>
                <c:pt idx="0">
                  <c:v>33.799999999999997</c:v>
                </c:pt>
                <c:pt idx="1">
                  <c:v>35.5</c:v>
                </c:pt>
                <c:pt idx="2">
                  <c:v>34.799999999999997</c:v>
                </c:pt>
                <c:pt idx="3">
                  <c:v>34.6</c:v>
                </c:pt>
                <c:pt idx="4">
                  <c:v>37.6</c:v>
                </c:pt>
                <c:pt idx="5">
                  <c:v>40.200000000000003</c:v>
                </c:pt>
                <c:pt idx="6">
                  <c:v>34.200000000000003</c:v>
                </c:pt>
                <c:pt idx="7">
                  <c:v>35.200000000000003</c:v>
                </c:pt>
                <c:pt idx="8">
                  <c:v>36.6</c:v>
                </c:pt>
                <c:pt idx="9">
                  <c:v>33.700000000000003</c:v>
                </c:pt>
                <c:pt idx="10">
                  <c:v>32.200000000000003</c:v>
                </c:pt>
                <c:pt idx="11">
                  <c:v>32.200000000000003</c:v>
                </c:pt>
                <c:pt idx="12">
                  <c:v>34.1</c:v>
                </c:pt>
                <c:pt idx="13">
                  <c:v>33.9</c:v>
                </c:pt>
                <c:pt idx="14">
                  <c:v>38.6</c:v>
                </c:pt>
                <c:pt idx="15">
                  <c:v>39.4</c:v>
                </c:pt>
                <c:pt idx="16">
                  <c:v>36</c:v>
                </c:pt>
                <c:pt idx="17">
                  <c:v>35.700000000000003</c:v>
                </c:pt>
                <c:pt idx="18">
                  <c:v>31.8</c:v>
                </c:pt>
                <c:pt idx="19">
                  <c:v>36.299999999999997</c:v>
                </c:pt>
                <c:pt idx="20">
                  <c:v>35.9</c:v>
                </c:pt>
                <c:pt idx="21">
                  <c:v>35.299999999999997</c:v>
                </c:pt>
                <c:pt idx="22">
                  <c:v>35.799999999999997</c:v>
                </c:pt>
                <c:pt idx="23">
                  <c:v>35.1</c:v>
                </c:pt>
                <c:pt idx="24">
                  <c:v>33.5</c:v>
                </c:pt>
                <c:pt idx="25">
                  <c:v>32.200000000000003</c:v>
                </c:pt>
                <c:pt idx="26">
                  <c:v>33.799999999999997</c:v>
                </c:pt>
                <c:pt idx="27">
                  <c:v>33.6</c:v>
                </c:pt>
                <c:pt idx="28">
                  <c:v>35.9</c:v>
                </c:pt>
                <c:pt idx="29">
                  <c:v>34.6</c:v>
                </c:pt>
                <c:pt idx="30">
                  <c:v>33.5</c:v>
                </c:pt>
                <c:pt idx="31">
                  <c:v>37.9</c:v>
                </c:pt>
                <c:pt idx="32">
                  <c:v>37.1</c:v>
                </c:pt>
                <c:pt idx="33">
                  <c:v>37.4</c:v>
                </c:pt>
                <c:pt idx="34">
                  <c:v>33.6</c:v>
                </c:pt>
                <c:pt idx="35">
                  <c:v>32.799999999999997</c:v>
                </c:pt>
                <c:pt idx="36">
                  <c:v>35.5</c:v>
                </c:pt>
                <c:pt idx="37">
                  <c:v>35.299999999999997</c:v>
                </c:pt>
                <c:pt idx="38">
                  <c:v>31.6</c:v>
                </c:pt>
                <c:pt idx="39">
                  <c:v>36.5</c:v>
                </c:pt>
                <c:pt idx="40">
                  <c:v>39.1</c:v>
                </c:pt>
                <c:pt idx="41">
                  <c:v>34.6</c:v>
                </c:pt>
                <c:pt idx="42">
                  <c:v>38.799999999999997</c:v>
                </c:pt>
                <c:pt idx="43">
                  <c:v>38.200000000000003</c:v>
                </c:pt>
                <c:pt idx="44">
                  <c:v>36.799999999999997</c:v>
                </c:pt>
                <c:pt idx="45">
                  <c:v>38.700000000000003</c:v>
                </c:pt>
                <c:pt idx="46">
                  <c:v>35.799999999999997</c:v>
                </c:pt>
                <c:pt idx="47">
                  <c:v>32.6</c:v>
                </c:pt>
                <c:pt idx="48">
                  <c:v>34.200000000000003</c:v>
                </c:pt>
                <c:pt idx="49">
                  <c:v>31.4</c:v>
                </c:pt>
                <c:pt idx="50">
                  <c:v>33.4</c:v>
                </c:pt>
                <c:pt idx="51">
                  <c:v>37.9</c:v>
                </c:pt>
                <c:pt idx="52">
                  <c:v>37.4</c:v>
                </c:pt>
                <c:pt idx="53">
                  <c:v>31.3</c:v>
                </c:pt>
                <c:pt idx="54">
                  <c:v>32.200000000000003</c:v>
                </c:pt>
                <c:pt idx="55">
                  <c:v>34.6</c:v>
                </c:pt>
                <c:pt idx="56">
                  <c:v>32.6</c:v>
                </c:pt>
                <c:pt idx="57">
                  <c:v>30.5</c:v>
                </c:pt>
                <c:pt idx="58">
                  <c:v>32.200000000000003</c:v>
                </c:pt>
                <c:pt idx="59">
                  <c:v>32</c:v>
                </c:pt>
                <c:pt idx="60">
                  <c:v>31.9</c:v>
                </c:pt>
                <c:pt idx="61">
                  <c:v>36.1</c:v>
                </c:pt>
                <c:pt idx="62">
                  <c:v>38.5</c:v>
                </c:pt>
                <c:pt idx="63">
                  <c:v>32.799999999999997</c:v>
                </c:pt>
                <c:pt idx="64">
                  <c:v>33.6</c:v>
                </c:pt>
                <c:pt idx="65">
                  <c:v>33.4</c:v>
                </c:pt>
                <c:pt idx="66">
                  <c:v>36.200000000000003</c:v>
                </c:pt>
                <c:pt idx="67">
                  <c:v>36.200000000000003</c:v>
                </c:pt>
                <c:pt idx="68">
                  <c:v>34.6</c:v>
                </c:pt>
                <c:pt idx="69">
                  <c:v>31.1</c:v>
                </c:pt>
                <c:pt idx="70">
                  <c:v>34.799999999999997</c:v>
                </c:pt>
                <c:pt idx="71">
                  <c:v>32.299999999999997</c:v>
                </c:pt>
                <c:pt idx="72">
                  <c:v>30.5</c:v>
                </c:pt>
                <c:pt idx="73">
                  <c:v>31.6</c:v>
                </c:pt>
                <c:pt idx="74">
                  <c:v>32.799999999999997</c:v>
                </c:pt>
                <c:pt idx="75">
                  <c:v>37.1</c:v>
                </c:pt>
                <c:pt idx="76">
                  <c:v>32.700000000000003</c:v>
                </c:pt>
                <c:pt idx="77">
                  <c:v>31</c:v>
                </c:pt>
                <c:pt idx="78">
                  <c:v>35.799999999999997</c:v>
                </c:pt>
                <c:pt idx="79">
                  <c:v>38.299999999999997</c:v>
                </c:pt>
                <c:pt idx="80">
                  <c:v>36.700000000000003</c:v>
                </c:pt>
                <c:pt idx="81">
                  <c:v>33.700000000000003</c:v>
                </c:pt>
                <c:pt idx="82">
                  <c:v>31.1</c:v>
                </c:pt>
                <c:pt idx="83">
                  <c:v>32.5</c:v>
                </c:pt>
                <c:pt idx="84">
                  <c:v>33.700000000000003</c:v>
                </c:pt>
                <c:pt idx="85">
                  <c:v>29.9</c:v>
                </c:pt>
                <c:pt idx="86">
                  <c:v>33.299999999999997</c:v>
                </c:pt>
                <c:pt idx="87">
                  <c:v>34.799999999999997</c:v>
                </c:pt>
                <c:pt idx="88">
                  <c:v>33.799999999999997</c:v>
                </c:pt>
                <c:pt idx="89">
                  <c:v>38.9</c:v>
                </c:pt>
                <c:pt idx="90">
                  <c:v>37.5</c:v>
                </c:pt>
                <c:pt idx="91">
                  <c:v>34.1</c:v>
                </c:pt>
                <c:pt idx="92">
                  <c:v>39</c:v>
                </c:pt>
                <c:pt idx="93">
                  <c:v>33.9</c:v>
                </c:pt>
              </c:numCache>
            </c:numRef>
          </c:xVal>
          <c:yVal>
            <c:numRef>
              <c:f>インセンティブ実施率!$T$190:$T$283</c:f>
              <c:numCache>
                <c:formatCode>#,##0.00_);[Red]\(#,##0.00\)</c:formatCode>
                <c:ptCount val="94"/>
                <c:pt idx="0">
                  <c:v>64917.131232199514</c:v>
                </c:pt>
                <c:pt idx="1">
                  <c:v>53761.394866500872</c:v>
                </c:pt>
                <c:pt idx="2">
                  <c:v>52810.07958383744</c:v>
                </c:pt>
                <c:pt idx="3">
                  <c:v>55076.163601855049</c:v>
                </c:pt>
                <c:pt idx="4">
                  <c:v>61062.849472568778</c:v>
                </c:pt>
                <c:pt idx="5">
                  <c:v>56406.711657718493</c:v>
                </c:pt>
                <c:pt idx="6">
                  <c:v>52109.079306792257</c:v>
                </c:pt>
                <c:pt idx="7">
                  <c:v>48198.286592211429</c:v>
                </c:pt>
                <c:pt idx="8">
                  <c:v>49821.861021998804</c:v>
                </c:pt>
                <c:pt idx="9">
                  <c:v>49540.230649852259</c:v>
                </c:pt>
                <c:pt idx="10">
                  <c:v>47756.524782506778</c:v>
                </c:pt>
                <c:pt idx="11">
                  <c:v>50301.261601990249</c:v>
                </c:pt>
                <c:pt idx="12">
                  <c:v>45872.879594260732</c:v>
                </c:pt>
                <c:pt idx="13">
                  <c:v>50633.770750714015</c:v>
                </c:pt>
                <c:pt idx="14">
                  <c:v>48240.33708674676</c:v>
                </c:pt>
                <c:pt idx="15">
                  <c:v>51764.485224256197</c:v>
                </c:pt>
                <c:pt idx="16">
                  <c:v>54390.23216997819</c:v>
                </c:pt>
                <c:pt idx="17">
                  <c:v>58743.554650319114</c:v>
                </c:pt>
                <c:pt idx="18">
                  <c:v>53646.162741833599</c:v>
                </c:pt>
                <c:pt idx="19">
                  <c:v>49277.363359873227</c:v>
                </c:pt>
                <c:pt idx="20">
                  <c:v>48503.077383644588</c:v>
                </c:pt>
                <c:pt idx="21">
                  <c:v>47983.22099005121</c:v>
                </c:pt>
                <c:pt idx="22">
                  <c:v>44717.773037667132</c:v>
                </c:pt>
                <c:pt idx="23">
                  <c:v>50565.311478822827</c:v>
                </c:pt>
                <c:pt idx="24">
                  <c:v>50582.5574118738</c:v>
                </c:pt>
                <c:pt idx="25">
                  <c:v>52586.978290399667</c:v>
                </c:pt>
                <c:pt idx="26">
                  <c:v>50836.31212609967</c:v>
                </c:pt>
                <c:pt idx="27">
                  <c:v>52071.325087476856</c:v>
                </c:pt>
                <c:pt idx="28">
                  <c:v>54350.472395001925</c:v>
                </c:pt>
                <c:pt idx="29">
                  <c:v>51349.30881206815</c:v>
                </c:pt>
                <c:pt idx="30">
                  <c:v>59031.681296466973</c:v>
                </c:pt>
                <c:pt idx="31">
                  <c:v>61428.018439324318</c:v>
                </c:pt>
                <c:pt idx="32">
                  <c:v>52327.69674014581</c:v>
                </c:pt>
                <c:pt idx="33">
                  <c:v>51050.782272800949</c:v>
                </c:pt>
                <c:pt idx="34">
                  <c:v>59004.346993463376</c:v>
                </c:pt>
                <c:pt idx="35">
                  <c:v>56857.96336640048</c:v>
                </c:pt>
                <c:pt idx="36">
                  <c:v>55867.337915264798</c:v>
                </c:pt>
                <c:pt idx="37">
                  <c:v>55217.291423079849</c:v>
                </c:pt>
                <c:pt idx="38">
                  <c:v>61465.732821395475</c:v>
                </c:pt>
                <c:pt idx="39">
                  <c:v>57410.882670210238</c:v>
                </c:pt>
                <c:pt idx="40">
                  <c:v>65252.064370210639</c:v>
                </c:pt>
                <c:pt idx="41">
                  <c:v>63913.950695119172</c:v>
                </c:pt>
                <c:pt idx="42">
                  <c:v>60516.579339660471</c:v>
                </c:pt>
                <c:pt idx="43">
                  <c:v>63063.36524735581</c:v>
                </c:pt>
                <c:pt idx="44">
                  <c:v>54828.981283445966</c:v>
                </c:pt>
                <c:pt idx="45">
                  <c:v>61254.50225681594</c:v>
                </c:pt>
                <c:pt idx="46">
                  <c:v>53966.218179768126</c:v>
                </c:pt>
                <c:pt idx="47">
                  <c:v>67505.210689343119</c:v>
                </c:pt>
                <c:pt idx="48">
                  <c:v>56151.59272821778</c:v>
                </c:pt>
                <c:pt idx="49">
                  <c:v>53145.528751008664</c:v>
                </c:pt>
                <c:pt idx="50">
                  <c:v>57348.604767816731</c:v>
                </c:pt>
                <c:pt idx="51">
                  <c:v>63999.061547372919</c:v>
                </c:pt>
                <c:pt idx="52">
                  <c:v>56623.701633337587</c:v>
                </c:pt>
                <c:pt idx="53">
                  <c:v>54482.035454304503</c:v>
                </c:pt>
                <c:pt idx="54">
                  <c:v>50320.872712446195</c:v>
                </c:pt>
                <c:pt idx="55">
                  <c:v>52988.360325925983</c:v>
                </c:pt>
                <c:pt idx="56">
                  <c:v>50867.378512894255</c:v>
                </c:pt>
                <c:pt idx="57">
                  <c:v>50517.464334582641</c:v>
                </c:pt>
                <c:pt idx="58">
                  <c:v>52398.581525592715</c:v>
                </c:pt>
                <c:pt idx="59">
                  <c:v>46724.7480140357</c:v>
                </c:pt>
                <c:pt idx="60">
                  <c:v>51549.375791095903</c:v>
                </c:pt>
                <c:pt idx="61">
                  <c:v>49885.673630342011</c:v>
                </c:pt>
                <c:pt idx="62">
                  <c:v>52690.412735843995</c:v>
                </c:pt>
                <c:pt idx="63">
                  <c:v>55471.204968103149</c:v>
                </c:pt>
                <c:pt idx="64">
                  <c:v>59847.234463744535</c:v>
                </c:pt>
                <c:pt idx="65">
                  <c:v>53781.029468805602</c:v>
                </c:pt>
                <c:pt idx="66">
                  <c:v>53374.16100037071</c:v>
                </c:pt>
                <c:pt idx="67">
                  <c:v>50964.696420513494</c:v>
                </c:pt>
                <c:pt idx="68">
                  <c:v>49824.500306560389</c:v>
                </c:pt>
                <c:pt idx="69">
                  <c:v>46940.104795947984</c:v>
                </c:pt>
                <c:pt idx="70">
                  <c:v>53600.510666159302</c:v>
                </c:pt>
                <c:pt idx="71">
                  <c:v>53634.272667955556</c:v>
                </c:pt>
                <c:pt idx="72">
                  <c:v>54182.083624490035</c:v>
                </c:pt>
                <c:pt idx="73">
                  <c:v>52528.892079866622</c:v>
                </c:pt>
                <c:pt idx="74">
                  <c:v>53847.861339209856</c:v>
                </c:pt>
                <c:pt idx="75">
                  <c:v>55510.838518534336</c:v>
                </c:pt>
                <c:pt idx="76">
                  <c:v>54343.967871429304</c:v>
                </c:pt>
                <c:pt idx="77">
                  <c:v>61875.908256162438</c:v>
                </c:pt>
                <c:pt idx="78">
                  <c:v>62316.990204735164</c:v>
                </c:pt>
                <c:pt idx="79">
                  <c:v>55296.420018863639</c:v>
                </c:pt>
                <c:pt idx="80">
                  <c:v>52204.143136114348</c:v>
                </c:pt>
                <c:pt idx="81">
                  <c:v>61510.888264931418</c:v>
                </c:pt>
                <c:pt idx="82">
                  <c:v>61297.129786410427</c:v>
                </c:pt>
                <c:pt idx="83">
                  <c:v>56911.388223588947</c:v>
                </c:pt>
                <c:pt idx="84">
                  <c:v>56948.765794338287</c:v>
                </c:pt>
                <c:pt idx="85">
                  <c:v>64461.896296477418</c:v>
                </c:pt>
                <c:pt idx="86">
                  <c:v>59495.877500457384</c:v>
                </c:pt>
                <c:pt idx="87">
                  <c:v>68563.872173188196</c:v>
                </c:pt>
                <c:pt idx="88">
                  <c:v>67345.451336875965</c:v>
                </c:pt>
                <c:pt idx="89">
                  <c:v>62153.455287983365</c:v>
                </c:pt>
                <c:pt idx="90">
                  <c:v>64192.96900319132</c:v>
                </c:pt>
                <c:pt idx="91">
                  <c:v>58409.486075670749</c:v>
                </c:pt>
                <c:pt idx="92">
                  <c:v>64202.202318248841</c:v>
                </c:pt>
                <c:pt idx="93">
                  <c:v>57866.488064573517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43-42B6-A8D6-BDE373517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907487"/>
        <c:axId val="1579907967"/>
      </c:scatterChart>
      <c:valAx>
        <c:axId val="1579907487"/>
        <c:scaling>
          <c:orientation val="minMax"/>
          <c:min val="2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907967"/>
        <c:crosses val="autoZero"/>
        <c:crossBetween val="midCat"/>
      </c:valAx>
      <c:valAx>
        <c:axId val="1579907967"/>
        <c:scaling>
          <c:orientation val="minMax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907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インセンティブ実施率!$U$1</c:f>
              <c:strCache>
                <c:ptCount val="1"/>
                <c:pt idx="0">
                  <c:v>１人当たり医療費_入院外（調剤を含む）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インセンティブ実施率!$J$190:$J$283</c:f>
              <c:numCache>
                <c:formatCode>#,##0.0;[Red]\-#,##0.0</c:formatCode>
                <c:ptCount val="94"/>
                <c:pt idx="0">
                  <c:v>33.799999999999997</c:v>
                </c:pt>
                <c:pt idx="1">
                  <c:v>35.5</c:v>
                </c:pt>
                <c:pt idx="2">
                  <c:v>34.799999999999997</c:v>
                </c:pt>
                <c:pt idx="3">
                  <c:v>34.6</c:v>
                </c:pt>
                <c:pt idx="4">
                  <c:v>37.6</c:v>
                </c:pt>
                <c:pt idx="5">
                  <c:v>40.200000000000003</c:v>
                </c:pt>
                <c:pt idx="6">
                  <c:v>34.200000000000003</c:v>
                </c:pt>
                <c:pt idx="7">
                  <c:v>35.200000000000003</c:v>
                </c:pt>
                <c:pt idx="8">
                  <c:v>36.6</c:v>
                </c:pt>
                <c:pt idx="9">
                  <c:v>33.700000000000003</c:v>
                </c:pt>
                <c:pt idx="10">
                  <c:v>32.200000000000003</c:v>
                </c:pt>
                <c:pt idx="11">
                  <c:v>32.200000000000003</c:v>
                </c:pt>
                <c:pt idx="12">
                  <c:v>34.1</c:v>
                </c:pt>
                <c:pt idx="13">
                  <c:v>33.9</c:v>
                </c:pt>
                <c:pt idx="14">
                  <c:v>38.6</c:v>
                </c:pt>
                <c:pt idx="15">
                  <c:v>39.4</c:v>
                </c:pt>
                <c:pt idx="16">
                  <c:v>36</c:v>
                </c:pt>
                <c:pt idx="17">
                  <c:v>35.700000000000003</c:v>
                </c:pt>
                <c:pt idx="18">
                  <c:v>31.8</c:v>
                </c:pt>
                <c:pt idx="19">
                  <c:v>36.299999999999997</c:v>
                </c:pt>
                <c:pt idx="20">
                  <c:v>35.9</c:v>
                </c:pt>
                <c:pt idx="21">
                  <c:v>35.299999999999997</c:v>
                </c:pt>
                <c:pt idx="22">
                  <c:v>35.799999999999997</c:v>
                </c:pt>
                <c:pt idx="23">
                  <c:v>35.1</c:v>
                </c:pt>
                <c:pt idx="24">
                  <c:v>33.5</c:v>
                </c:pt>
                <c:pt idx="25">
                  <c:v>32.200000000000003</c:v>
                </c:pt>
                <c:pt idx="26">
                  <c:v>33.799999999999997</c:v>
                </c:pt>
                <c:pt idx="27">
                  <c:v>33.6</c:v>
                </c:pt>
                <c:pt idx="28">
                  <c:v>35.9</c:v>
                </c:pt>
                <c:pt idx="29">
                  <c:v>34.6</c:v>
                </c:pt>
                <c:pt idx="30">
                  <c:v>33.5</c:v>
                </c:pt>
                <c:pt idx="31">
                  <c:v>37.9</c:v>
                </c:pt>
                <c:pt idx="32">
                  <c:v>37.1</c:v>
                </c:pt>
                <c:pt idx="33">
                  <c:v>37.4</c:v>
                </c:pt>
                <c:pt idx="34">
                  <c:v>33.6</c:v>
                </c:pt>
                <c:pt idx="35">
                  <c:v>32.799999999999997</c:v>
                </c:pt>
                <c:pt idx="36">
                  <c:v>35.5</c:v>
                </c:pt>
                <c:pt idx="37">
                  <c:v>35.299999999999997</c:v>
                </c:pt>
                <c:pt idx="38">
                  <c:v>31.6</c:v>
                </c:pt>
                <c:pt idx="39">
                  <c:v>36.5</c:v>
                </c:pt>
                <c:pt idx="40">
                  <c:v>39.1</c:v>
                </c:pt>
                <c:pt idx="41">
                  <c:v>34.6</c:v>
                </c:pt>
                <c:pt idx="42">
                  <c:v>38.799999999999997</c:v>
                </c:pt>
                <c:pt idx="43">
                  <c:v>38.200000000000003</c:v>
                </c:pt>
                <c:pt idx="44">
                  <c:v>36.799999999999997</c:v>
                </c:pt>
                <c:pt idx="45">
                  <c:v>38.700000000000003</c:v>
                </c:pt>
                <c:pt idx="46">
                  <c:v>35.799999999999997</c:v>
                </c:pt>
                <c:pt idx="47">
                  <c:v>32.6</c:v>
                </c:pt>
                <c:pt idx="48">
                  <c:v>34.200000000000003</c:v>
                </c:pt>
                <c:pt idx="49">
                  <c:v>31.4</c:v>
                </c:pt>
                <c:pt idx="50">
                  <c:v>33.4</c:v>
                </c:pt>
                <c:pt idx="51">
                  <c:v>37.9</c:v>
                </c:pt>
                <c:pt idx="52">
                  <c:v>37.4</c:v>
                </c:pt>
                <c:pt idx="53">
                  <c:v>31.3</c:v>
                </c:pt>
                <c:pt idx="54">
                  <c:v>32.200000000000003</c:v>
                </c:pt>
                <c:pt idx="55">
                  <c:v>34.6</c:v>
                </c:pt>
                <c:pt idx="56">
                  <c:v>32.6</c:v>
                </c:pt>
                <c:pt idx="57">
                  <c:v>30.5</c:v>
                </c:pt>
                <c:pt idx="58">
                  <c:v>32.200000000000003</c:v>
                </c:pt>
                <c:pt idx="59">
                  <c:v>32</c:v>
                </c:pt>
                <c:pt idx="60">
                  <c:v>31.9</c:v>
                </c:pt>
                <c:pt idx="61">
                  <c:v>36.1</c:v>
                </c:pt>
                <c:pt idx="62">
                  <c:v>38.5</c:v>
                </c:pt>
                <c:pt idx="63">
                  <c:v>32.799999999999997</c:v>
                </c:pt>
                <c:pt idx="64">
                  <c:v>33.6</c:v>
                </c:pt>
                <c:pt idx="65">
                  <c:v>33.4</c:v>
                </c:pt>
                <c:pt idx="66">
                  <c:v>36.200000000000003</c:v>
                </c:pt>
                <c:pt idx="67">
                  <c:v>36.200000000000003</c:v>
                </c:pt>
                <c:pt idx="68">
                  <c:v>34.6</c:v>
                </c:pt>
                <c:pt idx="69">
                  <c:v>31.1</c:v>
                </c:pt>
                <c:pt idx="70">
                  <c:v>34.799999999999997</c:v>
                </c:pt>
                <c:pt idx="71">
                  <c:v>32.299999999999997</c:v>
                </c:pt>
                <c:pt idx="72">
                  <c:v>30.5</c:v>
                </c:pt>
                <c:pt idx="73">
                  <c:v>31.6</c:v>
                </c:pt>
                <c:pt idx="74">
                  <c:v>32.799999999999997</c:v>
                </c:pt>
                <c:pt idx="75">
                  <c:v>37.1</c:v>
                </c:pt>
                <c:pt idx="76">
                  <c:v>32.700000000000003</c:v>
                </c:pt>
                <c:pt idx="77">
                  <c:v>31</c:v>
                </c:pt>
                <c:pt idx="78">
                  <c:v>35.799999999999997</c:v>
                </c:pt>
                <c:pt idx="79">
                  <c:v>38.299999999999997</c:v>
                </c:pt>
                <c:pt idx="80">
                  <c:v>36.700000000000003</c:v>
                </c:pt>
                <c:pt idx="81">
                  <c:v>33.700000000000003</c:v>
                </c:pt>
                <c:pt idx="82">
                  <c:v>31.1</c:v>
                </c:pt>
                <c:pt idx="83">
                  <c:v>32.5</c:v>
                </c:pt>
                <c:pt idx="84">
                  <c:v>33.700000000000003</c:v>
                </c:pt>
                <c:pt idx="85">
                  <c:v>29.9</c:v>
                </c:pt>
                <c:pt idx="86">
                  <c:v>33.299999999999997</c:v>
                </c:pt>
                <c:pt idx="87">
                  <c:v>34.799999999999997</c:v>
                </c:pt>
                <c:pt idx="88">
                  <c:v>33.799999999999997</c:v>
                </c:pt>
                <c:pt idx="89">
                  <c:v>38.9</c:v>
                </c:pt>
                <c:pt idx="90">
                  <c:v>37.5</c:v>
                </c:pt>
                <c:pt idx="91">
                  <c:v>34.1</c:v>
                </c:pt>
                <c:pt idx="92">
                  <c:v>39</c:v>
                </c:pt>
                <c:pt idx="93">
                  <c:v>33.9</c:v>
                </c:pt>
              </c:numCache>
            </c:numRef>
          </c:xVal>
          <c:yVal>
            <c:numRef>
              <c:f>インセンティブ実施率!$U$190:$U$283</c:f>
              <c:numCache>
                <c:formatCode>#,##0.00_);[Red]\(#,##0.00\)</c:formatCode>
                <c:ptCount val="94"/>
                <c:pt idx="0">
                  <c:v>132159.87161694292</c:v>
                </c:pt>
                <c:pt idx="1">
                  <c:v>128267.35369058233</c:v>
                </c:pt>
                <c:pt idx="2">
                  <c:v>127898.94671618244</c:v>
                </c:pt>
                <c:pt idx="3">
                  <c:v>131202.70073633516</c:v>
                </c:pt>
                <c:pt idx="4">
                  <c:v>137315.24581284518</c:v>
                </c:pt>
                <c:pt idx="5">
                  <c:v>132436.36083467095</c:v>
                </c:pt>
                <c:pt idx="6">
                  <c:v>126708.22162834203</c:v>
                </c:pt>
                <c:pt idx="7">
                  <c:v>123844.40840772033</c:v>
                </c:pt>
                <c:pt idx="8">
                  <c:v>127153.29718357787</c:v>
                </c:pt>
                <c:pt idx="9">
                  <c:v>122421.80822929577</c:v>
                </c:pt>
                <c:pt idx="10">
                  <c:v>121518.78776082821</c:v>
                </c:pt>
                <c:pt idx="11">
                  <c:v>121460.28755818389</c:v>
                </c:pt>
                <c:pt idx="12">
                  <c:v>121969.48038651979</c:v>
                </c:pt>
                <c:pt idx="13">
                  <c:v>126742.63780021585</c:v>
                </c:pt>
                <c:pt idx="14">
                  <c:v>117625.82645547579</c:v>
                </c:pt>
                <c:pt idx="15">
                  <c:v>116109.31535183778</c:v>
                </c:pt>
                <c:pt idx="16">
                  <c:v>123425.12876431296</c:v>
                </c:pt>
                <c:pt idx="17">
                  <c:v>125293.19764190546</c:v>
                </c:pt>
                <c:pt idx="18">
                  <c:v>123948.14302041734</c:v>
                </c:pt>
                <c:pt idx="19">
                  <c:v>118861.45704530619</c:v>
                </c:pt>
                <c:pt idx="20">
                  <c:v>123892.16727515291</c:v>
                </c:pt>
                <c:pt idx="21">
                  <c:v>125288.80952694644</c:v>
                </c:pt>
                <c:pt idx="22">
                  <c:v>123742.59987165702</c:v>
                </c:pt>
                <c:pt idx="23">
                  <c:v>123961.10094936636</c:v>
                </c:pt>
                <c:pt idx="24">
                  <c:v>119658.38426710534</c:v>
                </c:pt>
                <c:pt idx="25">
                  <c:v>123298.22899483654</c:v>
                </c:pt>
                <c:pt idx="26">
                  <c:v>125838.04248522519</c:v>
                </c:pt>
                <c:pt idx="27">
                  <c:v>128396.82936571552</c:v>
                </c:pt>
                <c:pt idx="28">
                  <c:v>127759.16986057922</c:v>
                </c:pt>
                <c:pt idx="29">
                  <c:v>128611.04668447278</c:v>
                </c:pt>
                <c:pt idx="30">
                  <c:v>118092.59625383625</c:v>
                </c:pt>
                <c:pt idx="31">
                  <c:v>131523.62119597534</c:v>
                </c:pt>
                <c:pt idx="32">
                  <c:v>125892.84577035441</c:v>
                </c:pt>
                <c:pt idx="33">
                  <c:v>125806.91112606792</c:v>
                </c:pt>
                <c:pt idx="34">
                  <c:v>130761.21258649846</c:v>
                </c:pt>
                <c:pt idx="35">
                  <c:v>131891.17328314288</c:v>
                </c:pt>
                <c:pt idx="36">
                  <c:v>133232.28470479208</c:v>
                </c:pt>
                <c:pt idx="37">
                  <c:v>125682.11763405785</c:v>
                </c:pt>
                <c:pt idx="38">
                  <c:v>124409.77641464882</c:v>
                </c:pt>
                <c:pt idx="39">
                  <c:v>127261.15179582062</c:v>
                </c:pt>
                <c:pt idx="40">
                  <c:v>140944.97516187644</c:v>
                </c:pt>
                <c:pt idx="41">
                  <c:v>127885.58782850284</c:v>
                </c:pt>
                <c:pt idx="42">
                  <c:v>131030.26955754578</c:v>
                </c:pt>
                <c:pt idx="43">
                  <c:v>132997.53149628517</c:v>
                </c:pt>
                <c:pt idx="44">
                  <c:v>126479.7194589116</c:v>
                </c:pt>
                <c:pt idx="45">
                  <c:v>128849.13142070634</c:v>
                </c:pt>
                <c:pt idx="46">
                  <c:v>112325.59775088808</c:v>
                </c:pt>
                <c:pt idx="47">
                  <c:v>137861.93409467724</c:v>
                </c:pt>
                <c:pt idx="48">
                  <c:v>135981.60575505192</c:v>
                </c:pt>
                <c:pt idx="49">
                  <c:v>132341.85875569348</c:v>
                </c:pt>
                <c:pt idx="50">
                  <c:v>135531.3169816825</c:v>
                </c:pt>
                <c:pt idx="51">
                  <c:v>141195.80603508416</c:v>
                </c:pt>
                <c:pt idx="52">
                  <c:v>137114.37297883589</c:v>
                </c:pt>
                <c:pt idx="53">
                  <c:v>128805.9331490911</c:v>
                </c:pt>
                <c:pt idx="54">
                  <c:v>126063.6947930006</c:v>
                </c:pt>
                <c:pt idx="55">
                  <c:v>130303.63063922494</c:v>
                </c:pt>
                <c:pt idx="56">
                  <c:v>125716.81209308191</c:v>
                </c:pt>
                <c:pt idx="57">
                  <c:v>124902.12935468723</c:v>
                </c:pt>
                <c:pt idx="58">
                  <c:v>126364.43778666868</c:v>
                </c:pt>
                <c:pt idx="59">
                  <c:v>127026.60381521333</c:v>
                </c:pt>
                <c:pt idx="60">
                  <c:v>132307.3729151458</c:v>
                </c:pt>
                <c:pt idx="61">
                  <c:v>122635.90303864695</c:v>
                </c:pt>
                <c:pt idx="62">
                  <c:v>120569.26392875747</c:v>
                </c:pt>
                <c:pt idx="63">
                  <c:v>125349.29741139343</c:v>
                </c:pt>
                <c:pt idx="64">
                  <c:v>127137.35701893936</c:v>
                </c:pt>
                <c:pt idx="65">
                  <c:v>127740.36790560561</c:v>
                </c:pt>
                <c:pt idx="66">
                  <c:v>121709.96816068584</c:v>
                </c:pt>
                <c:pt idx="67">
                  <c:v>128018.79256910789</c:v>
                </c:pt>
                <c:pt idx="68">
                  <c:v>128674.83024556925</c:v>
                </c:pt>
                <c:pt idx="69">
                  <c:v>127669.68366862403</c:v>
                </c:pt>
                <c:pt idx="70">
                  <c:v>126153.66030794881</c:v>
                </c:pt>
                <c:pt idx="71">
                  <c:v>121883.41922546692</c:v>
                </c:pt>
                <c:pt idx="72">
                  <c:v>124828.90313413301</c:v>
                </c:pt>
                <c:pt idx="73">
                  <c:v>128612.45515075132</c:v>
                </c:pt>
                <c:pt idx="74">
                  <c:v>131574.38514538953</c:v>
                </c:pt>
                <c:pt idx="75">
                  <c:v>127735.84441194056</c:v>
                </c:pt>
                <c:pt idx="76">
                  <c:v>133210.1074184489</c:v>
                </c:pt>
                <c:pt idx="77">
                  <c:v>124634.74020556675</c:v>
                </c:pt>
                <c:pt idx="78">
                  <c:v>135116.9700500234</c:v>
                </c:pt>
                <c:pt idx="79">
                  <c:v>128280.61596761765</c:v>
                </c:pt>
                <c:pt idx="80">
                  <c:v>128283.94488053081</c:v>
                </c:pt>
                <c:pt idx="81">
                  <c:v>134944.08813363564</c:v>
                </c:pt>
                <c:pt idx="82">
                  <c:v>135567.63059352676</c:v>
                </c:pt>
                <c:pt idx="83">
                  <c:v>134852.88302121058</c:v>
                </c:pt>
                <c:pt idx="84">
                  <c:v>130792.5592763266</c:v>
                </c:pt>
                <c:pt idx="85">
                  <c:v>128761.06414110013</c:v>
                </c:pt>
                <c:pt idx="86">
                  <c:v>129137.53986597741</c:v>
                </c:pt>
                <c:pt idx="87">
                  <c:v>141701.20744225668</c:v>
                </c:pt>
                <c:pt idx="88">
                  <c:v>132166.12309462851</c:v>
                </c:pt>
                <c:pt idx="89">
                  <c:v>132621.81872877022</c:v>
                </c:pt>
                <c:pt idx="90">
                  <c:v>136508.04272580773</c:v>
                </c:pt>
                <c:pt idx="91">
                  <c:v>129818.62904030774</c:v>
                </c:pt>
                <c:pt idx="92">
                  <c:v>131222.10246196802</c:v>
                </c:pt>
                <c:pt idx="93">
                  <c:v>112740.99734975038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66-48DC-8306-8728ACAE9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907487"/>
        <c:axId val="1579907967"/>
      </c:scatterChart>
      <c:valAx>
        <c:axId val="1579907487"/>
        <c:scaling>
          <c:orientation val="minMax"/>
          <c:min val="2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907967"/>
        <c:crosses val="autoZero"/>
        <c:crossBetween val="midCat"/>
      </c:valAx>
      <c:valAx>
        <c:axId val="1579907967"/>
        <c:scaling>
          <c:orientation val="minMax"/>
          <c:min val="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907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インセンティブ実施率!$X$1</c:f>
              <c:strCache>
                <c:ptCount val="1"/>
                <c:pt idx="0">
                  <c:v>（再掲）生活習慣病_入院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インセンティブ実施率!$J$190:$J$283</c:f>
              <c:numCache>
                <c:formatCode>#,##0.0;[Red]\-#,##0.0</c:formatCode>
                <c:ptCount val="94"/>
                <c:pt idx="0">
                  <c:v>33.799999999999997</c:v>
                </c:pt>
                <c:pt idx="1">
                  <c:v>35.5</c:v>
                </c:pt>
                <c:pt idx="2">
                  <c:v>34.799999999999997</c:v>
                </c:pt>
                <c:pt idx="3">
                  <c:v>34.6</c:v>
                </c:pt>
                <c:pt idx="4">
                  <c:v>37.6</c:v>
                </c:pt>
                <c:pt idx="5">
                  <c:v>40.200000000000003</c:v>
                </c:pt>
                <c:pt idx="6">
                  <c:v>34.200000000000003</c:v>
                </c:pt>
                <c:pt idx="7">
                  <c:v>35.200000000000003</c:v>
                </c:pt>
                <c:pt idx="8">
                  <c:v>36.6</c:v>
                </c:pt>
                <c:pt idx="9">
                  <c:v>33.700000000000003</c:v>
                </c:pt>
                <c:pt idx="10">
                  <c:v>32.200000000000003</c:v>
                </c:pt>
                <c:pt idx="11">
                  <c:v>32.200000000000003</c:v>
                </c:pt>
                <c:pt idx="12">
                  <c:v>34.1</c:v>
                </c:pt>
                <c:pt idx="13">
                  <c:v>33.9</c:v>
                </c:pt>
                <c:pt idx="14">
                  <c:v>38.6</c:v>
                </c:pt>
                <c:pt idx="15">
                  <c:v>39.4</c:v>
                </c:pt>
                <c:pt idx="16">
                  <c:v>36</c:v>
                </c:pt>
                <c:pt idx="17">
                  <c:v>35.700000000000003</c:v>
                </c:pt>
                <c:pt idx="18">
                  <c:v>31.8</c:v>
                </c:pt>
                <c:pt idx="19">
                  <c:v>36.299999999999997</c:v>
                </c:pt>
                <c:pt idx="20">
                  <c:v>35.9</c:v>
                </c:pt>
                <c:pt idx="21">
                  <c:v>35.299999999999997</c:v>
                </c:pt>
                <c:pt idx="22">
                  <c:v>35.799999999999997</c:v>
                </c:pt>
                <c:pt idx="23">
                  <c:v>35.1</c:v>
                </c:pt>
                <c:pt idx="24">
                  <c:v>33.5</c:v>
                </c:pt>
                <c:pt idx="25">
                  <c:v>32.200000000000003</c:v>
                </c:pt>
                <c:pt idx="26">
                  <c:v>33.799999999999997</c:v>
                </c:pt>
                <c:pt idx="27">
                  <c:v>33.6</c:v>
                </c:pt>
                <c:pt idx="28">
                  <c:v>35.9</c:v>
                </c:pt>
                <c:pt idx="29">
                  <c:v>34.6</c:v>
                </c:pt>
                <c:pt idx="30">
                  <c:v>33.5</c:v>
                </c:pt>
                <c:pt idx="31">
                  <c:v>37.9</c:v>
                </c:pt>
                <c:pt idx="32">
                  <c:v>37.1</c:v>
                </c:pt>
                <c:pt idx="33">
                  <c:v>37.4</c:v>
                </c:pt>
                <c:pt idx="34">
                  <c:v>33.6</c:v>
                </c:pt>
                <c:pt idx="35">
                  <c:v>32.799999999999997</c:v>
                </c:pt>
                <c:pt idx="36">
                  <c:v>35.5</c:v>
                </c:pt>
                <c:pt idx="37">
                  <c:v>35.299999999999997</c:v>
                </c:pt>
                <c:pt idx="38">
                  <c:v>31.6</c:v>
                </c:pt>
                <c:pt idx="39">
                  <c:v>36.5</c:v>
                </c:pt>
                <c:pt idx="40">
                  <c:v>39.1</c:v>
                </c:pt>
                <c:pt idx="41">
                  <c:v>34.6</c:v>
                </c:pt>
                <c:pt idx="42">
                  <c:v>38.799999999999997</c:v>
                </c:pt>
                <c:pt idx="43">
                  <c:v>38.200000000000003</c:v>
                </c:pt>
                <c:pt idx="44">
                  <c:v>36.799999999999997</c:v>
                </c:pt>
                <c:pt idx="45">
                  <c:v>38.700000000000003</c:v>
                </c:pt>
                <c:pt idx="46">
                  <c:v>35.799999999999997</c:v>
                </c:pt>
                <c:pt idx="47">
                  <c:v>32.6</c:v>
                </c:pt>
                <c:pt idx="48">
                  <c:v>34.200000000000003</c:v>
                </c:pt>
                <c:pt idx="49">
                  <c:v>31.4</c:v>
                </c:pt>
                <c:pt idx="50">
                  <c:v>33.4</c:v>
                </c:pt>
                <c:pt idx="51">
                  <c:v>37.9</c:v>
                </c:pt>
                <c:pt idx="52">
                  <c:v>37.4</c:v>
                </c:pt>
                <c:pt idx="53">
                  <c:v>31.3</c:v>
                </c:pt>
                <c:pt idx="54">
                  <c:v>32.200000000000003</c:v>
                </c:pt>
                <c:pt idx="55">
                  <c:v>34.6</c:v>
                </c:pt>
                <c:pt idx="56">
                  <c:v>32.6</c:v>
                </c:pt>
                <c:pt idx="57">
                  <c:v>30.5</c:v>
                </c:pt>
                <c:pt idx="58">
                  <c:v>32.200000000000003</c:v>
                </c:pt>
                <c:pt idx="59">
                  <c:v>32</c:v>
                </c:pt>
                <c:pt idx="60">
                  <c:v>31.9</c:v>
                </c:pt>
                <c:pt idx="61">
                  <c:v>36.1</c:v>
                </c:pt>
                <c:pt idx="62">
                  <c:v>38.5</c:v>
                </c:pt>
                <c:pt idx="63">
                  <c:v>32.799999999999997</c:v>
                </c:pt>
                <c:pt idx="64">
                  <c:v>33.6</c:v>
                </c:pt>
                <c:pt idx="65">
                  <c:v>33.4</c:v>
                </c:pt>
                <c:pt idx="66">
                  <c:v>36.200000000000003</c:v>
                </c:pt>
                <c:pt idx="67">
                  <c:v>36.200000000000003</c:v>
                </c:pt>
                <c:pt idx="68">
                  <c:v>34.6</c:v>
                </c:pt>
                <c:pt idx="69">
                  <c:v>31.1</c:v>
                </c:pt>
                <c:pt idx="70">
                  <c:v>34.799999999999997</c:v>
                </c:pt>
                <c:pt idx="71">
                  <c:v>32.299999999999997</c:v>
                </c:pt>
                <c:pt idx="72">
                  <c:v>30.5</c:v>
                </c:pt>
                <c:pt idx="73">
                  <c:v>31.6</c:v>
                </c:pt>
                <c:pt idx="74">
                  <c:v>32.799999999999997</c:v>
                </c:pt>
                <c:pt idx="75">
                  <c:v>37.1</c:v>
                </c:pt>
                <c:pt idx="76">
                  <c:v>32.700000000000003</c:v>
                </c:pt>
                <c:pt idx="77">
                  <c:v>31</c:v>
                </c:pt>
                <c:pt idx="78">
                  <c:v>35.799999999999997</c:v>
                </c:pt>
                <c:pt idx="79">
                  <c:v>38.299999999999997</c:v>
                </c:pt>
                <c:pt idx="80">
                  <c:v>36.700000000000003</c:v>
                </c:pt>
                <c:pt idx="81">
                  <c:v>33.700000000000003</c:v>
                </c:pt>
                <c:pt idx="82">
                  <c:v>31.1</c:v>
                </c:pt>
                <c:pt idx="83">
                  <c:v>32.5</c:v>
                </c:pt>
                <c:pt idx="84">
                  <c:v>33.700000000000003</c:v>
                </c:pt>
                <c:pt idx="85">
                  <c:v>29.9</c:v>
                </c:pt>
                <c:pt idx="86">
                  <c:v>33.299999999999997</c:v>
                </c:pt>
                <c:pt idx="87">
                  <c:v>34.799999999999997</c:v>
                </c:pt>
                <c:pt idx="88">
                  <c:v>33.799999999999997</c:v>
                </c:pt>
                <c:pt idx="89">
                  <c:v>38.9</c:v>
                </c:pt>
                <c:pt idx="90">
                  <c:v>37.5</c:v>
                </c:pt>
                <c:pt idx="91">
                  <c:v>34.1</c:v>
                </c:pt>
                <c:pt idx="92">
                  <c:v>39</c:v>
                </c:pt>
                <c:pt idx="93">
                  <c:v>33.9</c:v>
                </c:pt>
              </c:numCache>
            </c:numRef>
          </c:xVal>
          <c:yVal>
            <c:numRef>
              <c:f>インセンティブ実施率!$X$190:$X$283</c:f>
              <c:numCache>
                <c:formatCode>#,##0.00_);[Red]\(#,##0.00\)</c:formatCode>
                <c:ptCount val="94"/>
                <c:pt idx="0">
                  <c:v>7558.7087477044961</c:v>
                </c:pt>
                <c:pt idx="1">
                  <c:v>6478.1565623386987</c:v>
                </c:pt>
                <c:pt idx="2">
                  <c:v>7084.3196046404191</c:v>
                </c:pt>
                <c:pt idx="3">
                  <c:v>6349.8078756089672</c:v>
                </c:pt>
                <c:pt idx="4">
                  <c:v>6575.7131907899293</c:v>
                </c:pt>
                <c:pt idx="5">
                  <c:v>5827.3256655781261</c:v>
                </c:pt>
                <c:pt idx="6">
                  <c:v>5839.3044362280298</c:v>
                </c:pt>
                <c:pt idx="7">
                  <c:v>5854.9532094896313</c:v>
                </c:pt>
                <c:pt idx="8">
                  <c:v>6165.0762278330767</c:v>
                </c:pt>
                <c:pt idx="9">
                  <c:v>6204.5202734865379</c:v>
                </c:pt>
                <c:pt idx="10">
                  <c:v>6481.1778597921048</c:v>
                </c:pt>
                <c:pt idx="11">
                  <c:v>6938.9904061069101</c:v>
                </c:pt>
                <c:pt idx="12">
                  <c:v>5514.6779931345936</c:v>
                </c:pt>
                <c:pt idx="13">
                  <c:v>6761.0718068515835</c:v>
                </c:pt>
                <c:pt idx="14">
                  <c:v>4902.9242068068952</c:v>
                </c:pt>
                <c:pt idx="15">
                  <c:v>5667.6634807874543</c:v>
                </c:pt>
                <c:pt idx="16">
                  <c:v>6619.1604168913836</c:v>
                </c:pt>
                <c:pt idx="17">
                  <c:v>6700.7482227747541</c:v>
                </c:pt>
                <c:pt idx="18">
                  <c:v>5613.7735677348201</c:v>
                </c:pt>
                <c:pt idx="19">
                  <c:v>5563.4570539113147</c:v>
                </c:pt>
                <c:pt idx="20">
                  <c:v>5560.4347034059301</c:v>
                </c:pt>
                <c:pt idx="21">
                  <c:v>6315.2284908235015</c:v>
                </c:pt>
                <c:pt idx="22">
                  <c:v>5344.7362016229563</c:v>
                </c:pt>
                <c:pt idx="23">
                  <c:v>5873.7743022967861</c:v>
                </c:pt>
                <c:pt idx="24">
                  <c:v>5653.6509940268215</c:v>
                </c:pt>
                <c:pt idx="25">
                  <c:v>6020.9685236732348</c:v>
                </c:pt>
                <c:pt idx="26">
                  <c:v>5793.5208688778785</c:v>
                </c:pt>
                <c:pt idx="27">
                  <c:v>5901.5965456155891</c:v>
                </c:pt>
                <c:pt idx="28">
                  <c:v>6528.3308038908854</c:v>
                </c:pt>
                <c:pt idx="29">
                  <c:v>5756.377065411697</c:v>
                </c:pt>
                <c:pt idx="30">
                  <c:v>6154.3113828603682</c:v>
                </c:pt>
                <c:pt idx="31">
                  <c:v>7225.5018823208084</c:v>
                </c:pt>
                <c:pt idx="32">
                  <c:v>5226.332313196619</c:v>
                </c:pt>
                <c:pt idx="33">
                  <c:v>5371.788108991972</c:v>
                </c:pt>
                <c:pt idx="34">
                  <c:v>7185.6476422437754</c:v>
                </c:pt>
                <c:pt idx="35">
                  <c:v>6701.3912580966271</c:v>
                </c:pt>
                <c:pt idx="36">
                  <c:v>6481.1962712288059</c:v>
                </c:pt>
                <c:pt idx="37">
                  <c:v>6432.5829428544075</c:v>
                </c:pt>
                <c:pt idx="38">
                  <c:v>6984.0347111384017</c:v>
                </c:pt>
                <c:pt idx="39">
                  <c:v>6701.4493354560036</c:v>
                </c:pt>
                <c:pt idx="40">
                  <c:v>7232.9877901414102</c:v>
                </c:pt>
                <c:pt idx="41">
                  <c:v>6815.2806478172552</c:v>
                </c:pt>
                <c:pt idx="42">
                  <c:v>6419.0445555407032</c:v>
                </c:pt>
                <c:pt idx="43">
                  <c:v>7244.4800000663954</c:v>
                </c:pt>
                <c:pt idx="44">
                  <c:v>6273.0767211681805</c:v>
                </c:pt>
                <c:pt idx="45">
                  <c:v>6806.8757266755783</c:v>
                </c:pt>
                <c:pt idx="46">
                  <c:v>7003.1333604437086</c:v>
                </c:pt>
                <c:pt idx="47">
                  <c:v>8030.5053636658749</c:v>
                </c:pt>
                <c:pt idx="48">
                  <c:v>7103.9296889944226</c:v>
                </c:pt>
                <c:pt idx="49">
                  <c:v>6083.9292362336992</c:v>
                </c:pt>
                <c:pt idx="50">
                  <c:v>6832.1265169308472</c:v>
                </c:pt>
                <c:pt idx="51">
                  <c:v>6952.3138209938397</c:v>
                </c:pt>
                <c:pt idx="52">
                  <c:v>6072.5885484076789</c:v>
                </c:pt>
                <c:pt idx="53">
                  <c:v>6174.1944186035362</c:v>
                </c:pt>
                <c:pt idx="54">
                  <c:v>5990.0326932144744</c:v>
                </c:pt>
                <c:pt idx="55">
                  <c:v>6414.1594050846652</c:v>
                </c:pt>
                <c:pt idx="56">
                  <c:v>5927.8904430563834</c:v>
                </c:pt>
                <c:pt idx="57">
                  <c:v>6584.949822282264</c:v>
                </c:pt>
                <c:pt idx="58">
                  <c:v>6963.2623747681264</c:v>
                </c:pt>
                <c:pt idx="59">
                  <c:v>5436.6668840694092</c:v>
                </c:pt>
                <c:pt idx="60">
                  <c:v>6784.7517164543578</c:v>
                </c:pt>
                <c:pt idx="61">
                  <c:v>5181.0195326585845</c:v>
                </c:pt>
                <c:pt idx="62">
                  <c:v>5787.4341244643201</c:v>
                </c:pt>
                <c:pt idx="63">
                  <c:v>7054.4242342425141</c:v>
                </c:pt>
                <c:pt idx="64">
                  <c:v>7010.1576480920266</c:v>
                </c:pt>
                <c:pt idx="65">
                  <c:v>5640.7156401819784</c:v>
                </c:pt>
                <c:pt idx="66">
                  <c:v>5724.1400897727444</c:v>
                </c:pt>
                <c:pt idx="67">
                  <c:v>6065.5218476788432</c:v>
                </c:pt>
                <c:pt idx="68">
                  <c:v>6097.0113566974997</c:v>
                </c:pt>
                <c:pt idx="69">
                  <c:v>5360.7283790135152</c:v>
                </c:pt>
                <c:pt idx="70">
                  <c:v>6103.0738619824388</c:v>
                </c:pt>
                <c:pt idx="71">
                  <c:v>6048.639233486032</c:v>
                </c:pt>
                <c:pt idx="72">
                  <c:v>6347.8397420664851</c:v>
                </c:pt>
                <c:pt idx="73">
                  <c:v>6019.9510312680522</c:v>
                </c:pt>
                <c:pt idx="74">
                  <c:v>6002.0302606438854</c:v>
                </c:pt>
                <c:pt idx="75">
                  <c:v>5699.4886509224471</c:v>
                </c:pt>
                <c:pt idx="76">
                  <c:v>6388.7804224455722</c:v>
                </c:pt>
                <c:pt idx="77">
                  <c:v>6641.9905785533774</c:v>
                </c:pt>
                <c:pt idx="78">
                  <c:v>6787.2514929658937</c:v>
                </c:pt>
                <c:pt idx="79">
                  <c:v>5491.99356727348</c:v>
                </c:pt>
                <c:pt idx="80">
                  <c:v>5815.5281605962591</c:v>
                </c:pt>
                <c:pt idx="81">
                  <c:v>7399.6413688103539</c:v>
                </c:pt>
                <c:pt idx="82">
                  <c:v>7231.6940752659011</c:v>
                </c:pt>
                <c:pt idx="83">
                  <c:v>6527.9657284307641</c:v>
                </c:pt>
                <c:pt idx="84">
                  <c:v>6523.6220397346688</c:v>
                </c:pt>
                <c:pt idx="85">
                  <c:v>7632.2208801534143</c:v>
                </c:pt>
                <c:pt idx="86">
                  <c:v>6779.234375196861</c:v>
                </c:pt>
                <c:pt idx="87">
                  <c:v>7977.7144686817373</c:v>
                </c:pt>
                <c:pt idx="88">
                  <c:v>7108.5668857324572</c:v>
                </c:pt>
                <c:pt idx="89">
                  <c:v>6586.7947050070825</c:v>
                </c:pt>
                <c:pt idx="90">
                  <c:v>7108.7188698565124</c:v>
                </c:pt>
                <c:pt idx="91">
                  <c:v>6674.353102869326</c:v>
                </c:pt>
                <c:pt idx="92">
                  <c:v>7632.0595836235243</c:v>
                </c:pt>
                <c:pt idx="93">
                  <c:v>7413.4222932625034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E5-444B-BA20-678BFC0C1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907487"/>
        <c:axId val="1579907967"/>
      </c:scatterChart>
      <c:valAx>
        <c:axId val="1579907487"/>
        <c:scaling>
          <c:orientation val="minMax"/>
          <c:min val="2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907967"/>
        <c:crosses val="autoZero"/>
        <c:crossBetween val="midCat"/>
      </c:valAx>
      <c:valAx>
        <c:axId val="1579907967"/>
        <c:scaling>
          <c:orientation val="minMax"/>
          <c:min val="4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907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インセンティブ実施率!$Y$1</c:f>
              <c:strCache>
                <c:ptCount val="1"/>
                <c:pt idx="0">
                  <c:v>（再掲）生活習慣病_入院外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インセンティブ実施率!$J$190:$J$283</c:f>
              <c:numCache>
                <c:formatCode>#,##0.0;[Red]\-#,##0.0</c:formatCode>
                <c:ptCount val="94"/>
                <c:pt idx="0">
                  <c:v>33.799999999999997</c:v>
                </c:pt>
                <c:pt idx="1">
                  <c:v>35.5</c:v>
                </c:pt>
                <c:pt idx="2">
                  <c:v>34.799999999999997</c:v>
                </c:pt>
                <c:pt idx="3">
                  <c:v>34.6</c:v>
                </c:pt>
                <c:pt idx="4">
                  <c:v>37.6</c:v>
                </c:pt>
                <c:pt idx="5">
                  <c:v>40.200000000000003</c:v>
                </c:pt>
                <c:pt idx="6">
                  <c:v>34.200000000000003</c:v>
                </c:pt>
                <c:pt idx="7">
                  <c:v>35.200000000000003</c:v>
                </c:pt>
                <c:pt idx="8">
                  <c:v>36.6</c:v>
                </c:pt>
                <c:pt idx="9">
                  <c:v>33.700000000000003</c:v>
                </c:pt>
                <c:pt idx="10">
                  <c:v>32.200000000000003</c:v>
                </c:pt>
                <c:pt idx="11">
                  <c:v>32.200000000000003</c:v>
                </c:pt>
                <c:pt idx="12">
                  <c:v>34.1</c:v>
                </c:pt>
                <c:pt idx="13">
                  <c:v>33.9</c:v>
                </c:pt>
                <c:pt idx="14">
                  <c:v>38.6</c:v>
                </c:pt>
                <c:pt idx="15">
                  <c:v>39.4</c:v>
                </c:pt>
                <c:pt idx="16">
                  <c:v>36</c:v>
                </c:pt>
                <c:pt idx="17">
                  <c:v>35.700000000000003</c:v>
                </c:pt>
                <c:pt idx="18">
                  <c:v>31.8</c:v>
                </c:pt>
                <c:pt idx="19">
                  <c:v>36.299999999999997</c:v>
                </c:pt>
                <c:pt idx="20">
                  <c:v>35.9</c:v>
                </c:pt>
                <c:pt idx="21">
                  <c:v>35.299999999999997</c:v>
                </c:pt>
                <c:pt idx="22">
                  <c:v>35.799999999999997</c:v>
                </c:pt>
                <c:pt idx="23">
                  <c:v>35.1</c:v>
                </c:pt>
                <c:pt idx="24">
                  <c:v>33.5</c:v>
                </c:pt>
                <c:pt idx="25">
                  <c:v>32.200000000000003</c:v>
                </c:pt>
                <c:pt idx="26">
                  <c:v>33.799999999999997</c:v>
                </c:pt>
                <c:pt idx="27">
                  <c:v>33.6</c:v>
                </c:pt>
                <c:pt idx="28">
                  <c:v>35.9</c:v>
                </c:pt>
                <c:pt idx="29">
                  <c:v>34.6</c:v>
                </c:pt>
                <c:pt idx="30">
                  <c:v>33.5</c:v>
                </c:pt>
                <c:pt idx="31">
                  <c:v>37.9</c:v>
                </c:pt>
                <c:pt idx="32">
                  <c:v>37.1</c:v>
                </c:pt>
                <c:pt idx="33">
                  <c:v>37.4</c:v>
                </c:pt>
                <c:pt idx="34">
                  <c:v>33.6</c:v>
                </c:pt>
                <c:pt idx="35">
                  <c:v>32.799999999999997</c:v>
                </c:pt>
                <c:pt idx="36">
                  <c:v>35.5</c:v>
                </c:pt>
                <c:pt idx="37">
                  <c:v>35.299999999999997</c:v>
                </c:pt>
                <c:pt idx="38">
                  <c:v>31.6</c:v>
                </c:pt>
                <c:pt idx="39">
                  <c:v>36.5</c:v>
                </c:pt>
                <c:pt idx="40">
                  <c:v>39.1</c:v>
                </c:pt>
                <c:pt idx="41">
                  <c:v>34.6</c:v>
                </c:pt>
                <c:pt idx="42">
                  <c:v>38.799999999999997</c:v>
                </c:pt>
                <c:pt idx="43">
                  <c:v>38.200000000000003</c:v>
                </c:pt>
                <c:pt idx="44">
                  <c:v>36.799999999999997</c:v>
                </c:pt>
                <c:pt idx="45">
                  <c:v>38.700000000000003</c:v>
                </c:pt>
                <c:pt idx="46">
                  <c:v>35.799999999999997</c:v>
                </c:pt>
                <c:pt idx="47">
                  <c:v>32.6</c:v>
                </c:pt>
                <c:pt idx="48">
                  <c:v>34.200000000000003</c:v>
                </c:pt>
                <c:pt idx="49">
                  <c:v>31.4</c:v>
                </c:pt>
                <c:pt idx="50">
                  <c:v>33.4</c:v>
                </c:pt>
                <c:pt idx="51">
                  <c:v>37.9</c:v>
                </c:pt>
                <c:pt idx="52">
                  <c:v>37.4</c:v>
                </c:pt>
                <c:pt idx="53">
                  <c:v>31.3</c:v>
                </c:pt>
                <c:pt idx="54">
                  <c:v>32.200000000000003</c:v>
                </c:pt>
                <c:pt idx="55">
                  <c:v>34.6</c:v>
                </c:pt>
                <c:pt idx="56">
                  <c:v>32.6</c:v>
                </c:pt>
                <c:pt idx="57">
                  <c:v>30.5</c:v>
                </c:pt>
                <c:pt idx="58">
                  <c:v>32.200000000000003</c:v>
                </c:pt>
                <c:pt idx="59">
                  <c:v>32</c:v>
                </c:pt>
                <c:pt idx="60">
                  <c:v>31.9</c:v>
                </c:pt>
                <c:pt idx="61">
                  <c:v>36.1</c:v>
                </c:pt>
                <c:pt idx="62">
                  <c:v>38.5</c:v>
                </c:pt>
                <c:pt idx="63">
                  <c:v>32.799999999999997</c:v>
                </c:pt>
                <c:pt idx="64">
                  <c:v>33.6</c:v>
                </c:pt>
                <c:pt idx="65">
                  <c:v>33.4</c:v>
                </c:pt>
                <c:pt idx="66">
                  <c:v>36.200000000000003</c:v>
                </c:pt>
                <c:pt idx="67">
                  <c:v>36.200000000000003</c:v>
                </c:pt>
                <c:pt idx="68">
                  <c:v>34.6</c:v>
                </c:pt>
                <c:pt idx="69">
                  <c:v>31.1</c:v>
                </c:pt>
                <c:pt idx="70">
                  <c:v>34.799999999999997</c:v>
                </c:pt>
                <c:pt idx="71">
                  <c:v>32.299999999999997</c:v>
                </c:pt>
                <c:pt idx="72">
                  <c:v>30.5</c:v>
                </c:pt>
                <c:pt idx="73">
                  <c:v>31.6</c:v>
                </c:pt>
                <c:pt idx="74">
                  <c:v>32.799999999999997</c:v>
                </c:pt>
                <c:pt idx="75">
                  <c:v>37.1</c:v>
                </c:pt>
                <c:pt idx="76">
                  <c:v>32.700000000000003</c:v>
                </c:pt>
                <c:pt idx="77">
                  <c:v>31</c:v>
                </c:pt>
                <c:pt idx="78">
                  <c:v>35.799999999999997</c:v>
                </c:pt>
                <c:pt idx="79">
                  <c:v>38.299999999999997</c:v>
                </c:pt>
                <c:pt idx="80">
                  <c:v>36.700000000000003</c:v>
                </c:pt>
                <c:pt idx="81">
                  <c:v>33.700000000000003</c:v>
                </c:pt>
                <c:pt idx="82">
                  <c:v>31.1</c:v>
                </c:pt>
                <c:pt idx="83">
                  <c:v>32.5</c:v>
                </c:pt>
                <c:pt idx="84">
                  <c:v>33.700000000000003</c:v>
                </c:pt>
                <c:pt idx="85">
                  <c:v>29.9</c:v>
                </c:pt>
                <c:pt idx="86">
                  <c:v>33.299999999999997</c:v>
                </c:pt>
                <c:pt idx="87">
                  <c:v>34.799999999999997</c:v>
                </c:pt>
                <c:pt idx="88">
                  <c:v>33.799999999999997</c:v>
                </c:pt>
                <c:pt idx="89">
                  <c:v>38.9</c:v>
                </c:pt>
                <c:pt idx="90">
                  <c:v>37.5</c:v>
                </c:pt>
                <c:pt idx="91">
                  <c:v>34.1</c:v>
                </c:pt>
                <c:pt idx="92">
                  <c:v>39</c:v>
                </c:pt>
                <c:pt idx="93">
                  <c:v>33.9</c:v>
                </c:pt>
              </c:numCache>
            </c:numRef>
          </c:xVal>
          <c:yVal>
            <c:numRef>
              <c:f>インセンティブ実施率!$Y$190:$Y$283</c:f>
              <c:numCache>
                <c:formatCode>#,##0.00_);[Red]\(#,##0.00\)</c:formatCode>
                <c:ptCount val="94"/>
                <c:pt idx="0">
                  <c:v>25160.956371617111</c:v>
                </c:pt>
                <c:pt idx="1">
                  <c:v>28366.567353714046</c:v>
                </c:pt>
                <c:pt idx="2">
                  <c:v>27505.724833405602</c:v>
                </c:pt>
                <c:pt idx="3">
                  <c:v>27295.075812003215</c:v>
                </c:pt>
                <c:pt idx="4">
                  <c:v>28304.561358525367</c:v>
                </c:pt>
                <c:pt idx="5">
                  <c:v>28201.461744661541</c:v>
                </c:pt>
                <c:pt idx="6">
                  <c:v>27255.116503597561</c:v>
                </c:pt>
                <c:pt idx="7">
                  <c:v>23545.562210454817</c:v>
                </c:pt>
                <c:pt idx="8">
                  <c:v>23800.394142674246</c:v>
                </c:pt>
                <c:pt idx="9">
                  <c:v>22151.627262964423</c:v>
                </c:pt>
                <c:pt idx="10">
                  <c:v>22003.938050314689</c:v>
                </c:pt>
                <c:pt idx="11">
                  <c:v>22687.33342725347</c:v>
                </c:pt>
                <c:pt idx="12">
                  <c:v>18011.619913466562</c:v>
                </c:pt>
                <c:pt idx="13">
                  <c:v>21854.371383979615</c:v>
                </c:pt>
                <c:pt idx="14">
                  <c:v>20723.248086919542</c:v>
                </c:pt>
                <c:pt idx="15">
                  <c:v>21100.568625846412</c:v>
                </c:pt>
                <c:pt idx="16">
                  <c:v>21302.784294773151</c:v>
                </c:pt>
                <c:pt idx="17">
                  <c:v>22803.854143841887</c:v>
                </c:pt>
                <c:pt idx="18">
                  <c:v>22254.451842458857</c:v>
                </c:pt>
                <c:pt idx="19">
                  <c:v>20355.370854426248</c:v>
                </c:pt>
                <c:pt idx="20">
                  <c:v>22251.104308457659</c:v>
                </c:pt>
                <c:pt idx="21">
                  <c:v>21921.265342381295</c:v>
                </c:pt>
                <c:pt idx="22">
                  <c:v>20403.07304718245</c:v>
                </c:pt>
                <c:pt idx="23">
                  <c:v>22175.644923590226</c:v>
                </c:pt>
                <c:pt idx="24">
                  <c:v>20296.072839968107</c:v>
                </c:pt>
                <c:pt idx="25">
                  <c:v>18316.558350014206</c:v>
                </c:pt>
                <c:pt idx="26">
                  <c:v>19705.72376036776</c:v>
                </c:pt>
                <c:pt idx="27">
                  <c:v>21050.964712927231</c:v>
                </c:pt>
                <c:pt idx="28">
                  <c:v>21822.645147166368</c:v>
                </c:pt>
                <c:pt idx="29">
                  <c:v>22349.290974246971</c:v>
                </c:pt>
                <c:pt idx="30">
                  <c:v>19937.864276958968</c:v>
                </c:pt>
                <c:pt idx="31">
                  <c:v>24018.42990379249</c:v>
                </c:pt>
                <c:pt idx="32">
                  <c:v>21207.1575359942</c:v>
                </c:pt>
                <c:pt idx="33">
                  <c:v>20908.892106831423</c:v>
                </c:pt>
                <c:pt idx="34">
                  <c:v>23234.29630107903</c:v>
                </c:pt>
                <c:pt idx="35">
                  <c:v>24488.537034825888</c:v>
                </c:pt>
                <c:pt idx="36">
                  <c:v>22188.043156993801</c:v>
                </c:pt>
                <c:pt idx="37">
                  <c:v>21784.1414221425</c:v>
                </c:pt>
                <c:pt idx="38">
                  <c:v>22504.911535594656</c:v>
                </c:pt>
                <c:pt idx="39">
                  <c:v>21879.425241856537</c:v>
                </c:pt>
                <c:pt idx="40">
                  <c:v>27560.046387397491</c:v>
                </c:pt>
                <c:pt idx="41">
                  <c:v>24132.300151697436</c:v>
                </c:pt>
                <c:pt idx="42">
                  <c:v>24821.617671434309</c:v>
                </c:pt>
                <c:pt idx="43">
                  <c:v>25033.381517199719</c:v>
                </c:pt>
                <c:pt idx="44">
                  <c:v>23318.464599552663</c:v>
                </c:pt>
                <c:pt idx="45">
                  <c:v>24388.350488892414</c:v>
                </c:pt>
                <c:pt idx="46">
                  <c:v>19050.364951091145</c:v>
                </c:pt>
                <c:pt idx="47">
                  <c:v>25521.595379746668</c:v>
                </c:pt>
                <c:pt idx="48">
                  <c:v>28810.925927112687</c:v>
                </c:pt>
                <c:pt idx="49">
                  <c:v>28149.50142503684</c:v>
                </c:pt>
                <c:pt idx="50">
                  <c:v>27337.927791901333</c:v>
                </c:pt>
                <c:pt idx="51">
                  <c:v>28877.155047290475</c:v>
                </c:pt>
                <c:pt idx="52">
                  <c:v>28476.301090471603</c:v>
                </c:pt>
                <c:pt idx="53">
                  <c:v>27296.163855286828</c:v>
                </c:pt>
                <c:pt idx="54">
                  <c:v>23625.345563463445</c:v>
                </c:pt>
                <c:pt idx="55">
                  <c:v>24079.670683780441</c:v>
                </c:pt>
                <c:pt idx="56">
                  <c:v>22213.658056718872</c:v>
                </c:pt>
                <c:pt idx="57">
                  <c:v>22249.554383718929</c:v>
                </c:pt>
                <c:pt idx="58">
                  <c:v>22978.064443960124</c:v>
                </c:pt>
                <c:pt idx="59">
                  <c:v>18146.452286846721</c:v>
                </c:pt>
                <c:pt idx="60">
                  <c:v>21969.130486662598</c:v>
                </c:pt>
                <c:pt idx="61">
                  <c:v>21081.522278188757</c:v>
                </c:pt>
                <c:pt idx="62">
                  <c:v>21576.979202551975</c:v>
                </c:pt>
                <c:pt idx="63">
                  <c:v>21504.520829268786</c:v>
                </c:pt>
                <c:pt idx="64">
                  <c:v>22794.327332147972</c:v>
                </c:pt>
                <c:pt idx="65">
                  <c:v>22264.640102073896</c:v>
                </c:pt>
                <c:pt idx="66">
                  <c:v>20642.432314496684</c:v>
                </c:pt>
                <c:pt idx="67">
                  <c:v>22325.534358032535</c:v>
                </c:pt>
                <c:pt idx="68">
                  <c:v>22359.441122507043</c:v>
                </c:pt>
                <c:pt idx="69">
                  <c:v>20595.889230557823</c:v>
                </c:pt>
                <c:pt idx="70">
                  <c:v>22456.119370872533</c:v>
                </c:pt>
                <c:pt idx="71">
                  <c:v>20304.76935093163</c:v>
                </c:pt>
                <c:pt idx="72">
                  <c:v>18334.866099599225</c:v>
                </c:pt>
                <c:pt idx="73">
                  <c:v>19888.998117925781</c:v>
                </c:pt>
                <c:pt idx="74">
                  <c:v>21103.862949822269</c:v>
                </c:pt>
                <c:pt idx="75">
                  <c:v>21651.483188204642</c:v>
                </c:pt>
                <c:pt idx="76">
                  <c:v>22533.700160255001</c:v>
                </c:pt>
                <c:pt idx="77">
                  <c:v>20331.862774846562</c:v>
                </c:pt>
                <c:pt idx="78">
                  <c:v>24032.618232371846</c:v>
                </c:pt>
                <c:pt idx="79">
                  <c:v>21553.706931032611</c:v>
                </c:pt>
                <c:pt idx="80">
                  <c:v>21083.648832282895</c:v>
                </c:pt>
                <c:pt idx="81">
                  <c:v>23442.111728790678</c:v>
                </c:pt>
                <c:pt idx="82">
                  <c:v>24495.174236399504</c:v>
                </c:pt>
                <c:pt idx="83">
                  <c:v>22082.238418055444</c:v>
                </c:pt>
                <c:pt idx="84">
                  <c:v>22007.257177381558</c:v>
                </c:pt>
                <c:pt idx="85">
                  <c:v>23109.862662179472</c:v>
                </c:pt>
                <c:pt idx="86">
                  <c:v>22116.688941105203</c:v>
                </c:pt>
                <c:pt idx="87">
                  <c:v>27450.295550694595</c:v>
                </c:pt>
                <c:pt idx="88">
                  <c:v>24342.890839306972</c:v>
                </c:pt>
                <c:pt idx="89">
                  <c:v>25060.59013102403</c:v>
                </c:pt>
                <c:pt idx="90">
                  <c:v>25671.979646635657</c:v>
                </c:pt>
                <c:pt idx="91">
                  <c:v>23252.535350725208</c:v>
                </c:pt>
                <c:pt idx="92">
                  <c:v>24809.295936046856</c:v>
                </c:pt>
                <c:pt idx="93">
                  <c:v>19465.610430459154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95-42A2-857F-22B4548F7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907487"/>
        <c:axId val="1579907967"/>
      </c:scatterChart>
      <c:valAx>
        <c:axId val="1579907487"/>
        <c:scaling>
          <c:orientation val="minMax"/>
          <c:min val="2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907967"/>
        <c:crosses val="autoZero"/>
        <c:crossBetween val="midCat"/>
      </c:valAx>
      <c:valAx>
        <c:axId val="1579907967"/>
        <c:scaling>
          <c:orientation val="minMax"/>
          <c:min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907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41274</xdr:colOff>
      <xdr:row>3</xdr:row>
      <xdr:rowOff>63500</xdr:rowOff>
    </xdr:from>
    <xdr:to>
      <xdr:col>38</xdr:col>
      <xdr:colOff>69674</xdr:colOff>
      <xdr:row>18</xdr:row>
      <xdr:rowOff>43700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0CF8E2B-DBC7-CE49-2187-7531FC980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641350</xdr:colOff>
      <xdr:row>3</xdr:row>
      <xdr:rowOff>50800</xdr:rowOff>
    </xdr:from>
    <xdr:to>
      <xdr:col>46</xdr:col>
      <xdr:colOff>9350</xdr:colOff>
      <xdr:row>18</xdr:row>
      <xdr:rowOff>31000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6DA0638-F121-4A0B-B0DE-2FE572D1C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0</xdr:colOff>
      <xdr:row>3</xdr:row>
      <xdr:rowOff>38100</xdr:rowOff>
    </xdr:from>
    <xdr:to>
      <xdr:col>54</xdr:col>
      <xdr:colOff>28400</xdr:colOff>
      <xdr:row>18</xdr:row>
      <xdr:rowOff>18300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104D8ABD-7B54-4BEF-AE3A-6145F08051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54</xdr:col>
      <xdr:colOff>615950</xdr:colOff>
      <xdr:row>3</xdr:row>
      <xdr:rowOff>31750</xdr:rowOff>
    </xdr:from>
    <xdr:to>
      <xdr:col>61</xdr:col>
      <xdr:colOff>644350</xdr:colOff>
      <xdr:row>18</xdr:row>
      <xdr:rowOff>11950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EFF8A1DE-5F01-4D86-BA1A-480DBD7759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62</xdr:col>
      <xdr:colOff>654050</xdr:colOff>
      <xdr:row>3</xdr:row>
      <xdr:rowOff>25400</xdr:rowOff>
    </xdr:from>
    <xdr:to>
      <xdr:col>70</xdr:col>
      <xdr:colOff>22050</xdr:colOff>
      <xdr:row>18</xdr:row>
      <xdr:rowOff>5600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E7361ECE-2F29-4AC8-933C-5F877E48B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650875</xdr:colOff>
      <xdr:row>21</xdr:row>
      <xdr:rowOff>38100</xdr:rowOff>
    </xdr:from>
    <xdr:to>
      <xdr:col>38</xdr:col>
      <xdr:colOff>18875</xdr:colOff>
      <xdr:row>36</xdr:row>
      <xdr:rowOff>18300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B368FEFF-65D9-F7B4-0732-A4A0F2B8C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39</xdr:col>
      <xdr:colOff>25400</xdr:colOff>
      <xdr:row>21</xdr:row>
      <xdr:rowOff>31750</xdr:rowOff>
    </xdr:from>
    <xdr:to>
      <xdr:col>46</xdr:col>
      <xdr:colOff>53800</xdr:colOff>
      <xdr:row>36</xdr:row>
      <xdr:rowOff>11950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44346A54-A28A-415B-A2A7-550F734C97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47</xdr:col>
      <xdr:colOff>31750</xdr:colOff>
      <xdr:row>21</xdr:row>
      <xdr:rowOff>6350</xdr:rowOff>
    </xdr:from>
    <xdr:to>
      <xdr:col>54</xdr:col>
      <xdr:colOff>60150</xdr:colOff>
      <xdr:row>35</xdr:row>
      <xdr:rowOff>215150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DF60AE4F-4CD0-4FB3-A53A-990A882360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55</xdr:col>
      <xdr:colOff>31750</xdr:colOff>
      <xdr:row>21</xdr:row>
      <xdr:rowOff>19050</xdr:rowOff>
    </xdr:from>
    <xdr:to>
      <xdr:col>62</xdr:col>
      <xdr:colOff>60150</xdr:colOff>
      <xdr:row>35</xdr:row>
      <xdr:rowOff>227850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C3401AAE-73F9-4782-BEAF-F774FB09B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62</xdr:col>
      <xdr:colOff>647700</xdr:colOff>
      <xdr:row>21</xdr:row>
      <xdr:rowOff>31750</xdr:rowOff>
    </xdr:from>
    <xdr:to>
      <xdr:col>70</xdr:col>
      <xdr:colOff>15700</xdr:colOff>
      <xdr:row>36</xdr:row>
      <xdr:rowOff>11950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284F21AA-7309-4F45-BED0-5EE7860322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31</xdr:col>
      <xdr:colOff>9525</xdr:colOff>
      <xdr:row>39</xdr:row>
      <xdr:rowOff>6</xdr:rowOff>
    </xdr:from>
    <xdr:to>
      <xdr:col>38</xdr:col>
      <xdr:colOff>37925</xdr:colOff>
      <xdr:row>53</xdr:row>
      <xdr:rowOff>208806</xdr:rowOff>
    </xdr:to>
    <xdr:graphicFrame macro="">
      <xdr:nvGraphicFramePr>
        <xdr:cNvPr id="20" name="グラフ 19">
          <a:extLst>
            <a:ext uri="{FF2B5EF4-FFF2-40B4-BE49-F238E27FC236}">
              <a16:creationId xmlns:a16="http://schemas.microsoft.com/office/drawing/2014/main" id="{D4F29E75-1BC5-BC0F-196C-458268E9DA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39</xdr:col>
      <xdr:colOff>6350</xdr:colOff>
      <xdr:row>39</xdr:row>
      <xdr:rowOff>6350</xdr:rowOff>
    </xdr:from>
    <xdr:to>
      <xdr:col>46</xdr:col>
      <xdr:colOff>34750</xdr:colOff>
      <xdr:row>53</xdr:row>
      <xdr:rowOff>215150</xdr:rowOff>
    </xdr:to>
    <xdr:graphicFrame macro="">
      <xdr:nvGraphicFramePr>
        <xdr:cNvPr id="21" name="グラフ 20">
          <a:extLst>
            <a:ext uri="{FF2B5EF4-FFF2-40B4-BE49-F238E27FC236}">
              <a16:creationId xmlns:a16="http://schemas.microsoft.com/office/drawing/2014/main" id="{0D6B4459-9A9E-4C53-95E5-36A0725CD5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46</xdr:col>
      <xdr:colOff>647700</xdr:colOff>
      <xdr:row>39</xdr:row>
      <xdr:rowOff>19050</xdr:rowOff>
    </xdr:from>
    <xdr:to>
      <xdr:col>54</xdr:col>
      <xdr:colOff>15700</xdr:colOff>
      <xdr:row>53</xdr:row>
      <xdr:rowOff>227850</xdr:rowOff>
    </xdr:to>
    <xdr:graphicFrame macro="">
      <xdr:nvGraphicFramePr>
        <xdr:cNvPr id="25" name="グラフ 24">
          <a:extLst>
            <a:ext uri="{FF2B5EF4-FFF2-40B4-BE49-F238E27FC236}">
              <a16:creationId xmlns:a16="http://schemas.microsoft.com/office/drawing/2014/main" id="{B236C0AD-3ABA-47E4-B12D-FEA581AAC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55</xdr:col>
      <xdr:colOff>6350</xdr:colOff>
      <xdr:row>39</xdr:row>
      <xdr:rowOff>6350</xdr:rowOff>
    </xdr:from>
    <xdr:to>
      <xdr:col>62</xdr:col>
      <xdr:colOff>34750</xdr:colOff>
      <xdr:row>53</xdr:row>
      <xdr:rowOff>215150</xdr:rowOff>
    </xdr:to>
    <xdr:graphicFrame macro="">
      <xdr:nvGraphicFramePr>
        <xdr:cNvPr id="26" name="グラフ 25">
          <a:extLst>
            <a:ext uri="{FF2B5EF4-FFF2-40B4-BE49-F238E27FC236}">
              <a16:creationId xmlns:a16="http://schemas.microsoft.com/office/drawing/2014/main" id="{9CF54D21-4CA1-4F70-B9C0-BB772BEFFE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6350</xdr:colOff>
      <xdr:row>38</xdr:row>
      <xdr:rowOff>215900</xdr:rowOff>
    </xdr:from>
    <xdr:to>
      <xdr:col>70</xdr:col>
      <xdr:colOff>34750</xdr:colOff>
      <xdr:row>53</xdr:row>
      <xdr:rowOff>196100</xdr:rowOff>
    </xdr:to>
    <xdr:graphicFrame macro="">
      <xdr:nvGraphicFramePr>
        <xdr:cNvPr id="27" name="グラフ 26">
          <a:extLst>
            <a:ext uri="{FF2B5EF4-FFF2-40B4-BE49-F238E27FC236}">
              <a16:creationId xmlns:a16="http://schemas.microsoft.com/office/drawing/2014/main" id="{3C398854-58AF-404E-BF32-E77E01483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31</xdr:col>
      <xdr:colOff>34925</xdr:colOff>
      <xdr:row>57</xdr:row>
      <xdr:rowOff>19050</xdr:rowOff>
    </xdr:from>
    <xdr:to>
      <xdr:col>38</xdr:col>
      <xdr:colOff>63325</xdr:colOff>
      <xdr:row>71</xdr:row>
      <xdr:rowOff>227850</xdr:rowOff>
    </xdr:to>
    <xdr:graphicFrame macro="">
      <xdr:nvGraphicFramePr>
        <xdr:cNvPr id="34" name="グラフ 33">
          <a:extLst>
            <a:ext uri="{FF2B5EF4-FFF2-40B4-BE49-F238E27FC236}">
              <a16:creationId xmlns:a16="http://schemas.microsoft.com/office/drawing/2014/main" id="{9B76ACEC-F219-A3CB-C22B-9B20DE645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38</xdr:col>
      <xdr:colOff>641350</xdr:colOff>
      <xdr:row>57</xdr:row>
      <xdr:rowOff>12700</xdr:rowOff>
    </xdr:from>
    <xdr:to>
      <xdr:col>46</xdr:col>
      <xdr:colOff>9350</xdr:colOff>
      <xdr:row>71</xdr:row>
      <xdr:rowOff>221500</xdr:rowOff>
    </xdr:to>
    <xdr:graphicFrame macro="">
      <xdr:nvGraphicFramePr>
        <xdr:cNvPr id="35" name="グラフ 34">
          <a:extLst>
            <a:ext uri="{FF2B5EF4-FFF2-40B4-BE49-F238E27FC236}">
              <a16:creationId xmlns:a16="http://schemas.microsoft.com/office/drawing/2014/main" id="{04170905-8BF9-4843-9922-B382ECA4E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46</xdr:col>
      <xdr:colOff>641350</xdr:colOff>
      <xdr:row>57</xdr:row>
      <xdr:rowOff>19050</xdr:rowOff>
    </xdr:from>
    <xdr:to>
      <xdr:col>54</xdr:col>
      <xdr:colOff>9350</xdr:colOff>
      <xdr:row>71</xdr:row>
      <xdr:rowOff>227850</xdr:rowOff>
    </xdr:to>
    <xdr:graphicFrame macro="">
      <xdr:nvGraphicFramePr>
        <xdr:cNvPr id="36" name="グラフ 35">
          <a:extLst>
            <a:ext uri="{FF2B5EF4-FFF2-40B4-BE49-F238E27FC236}">
              <a16:creationId xmlns:a16="http://schemas.microsoft.com/office/drawing/2014/main" id="{2A098FC5-7B51-4412-B2DB-E07EC4C03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54</xdr:col>
      <xdr:colOff>647700</xdr:colOff>
      <xdr:row>56</xdr:row>
      <xdr:rowOff>222250</xdr:rowOff>
    </xdr:from>
    <xdr:to>
      <xdr:col>62</xdr:col>
      <xdr:colOff>15700</xdr:colOff>
      <xdr:row>71</xdr:row>
      <xdr:rowOff>202450</xdr:rowOff>
    </xdr:to>
    <xdr:graphicFrame macro="">
      <xdr:nvGraphicFramePr>
        <xdr:cNvPr id="37" name="グラフ 36">
          <a:extLst>
            <a:ext uri="{FF2B5EF4-FFF2-40B4-BE49-F238E27FC236}">
              <a16:creationId xmlns:a16="http://schemas.microsoft.com/office/drawing/2014/main" id="{9AE22ADC-040E-40DE-9F52-DA687735AC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63</xdr:col>
      <xdr:colOff>12700</xdr:colOff>
      <xdr:row>57</xdr:row>
      <xdr:rowOff>38100</xdr:rowOff>
    </xdr:from>
    <xdr:to>
      <xdr:col>70</xdr:col>
      <xdr:colOff>41100</xdr:colOff>
      <xdr:row>72</xdr:row>
      <xdr:rowOff>18300</xdr:rowOff>
    </xdr:to>
    <xdr:graphicFrame macro="">
      <xdr:nvGraphicFramePr>
        <xdr:cNvPr id="38" name="グラフ 37">
          <a:extLst>
            <a:ext uri="{FF2B5EF4-FFF2-40B4-BE49-F238E27FC236}">
              <a16:creationId xmlns:a16="http://schemas.microsoft.com/office/drawing/2014/main" id="{11FDD5B1-1C58-4E8B-950A-2111A157F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2B7CD-43A2-46E2-A2C0-62D4D6E6BC09}">
  <dimension ref="A1:W424"/>
  <sheetViews>
    <sheetView topLeftCell="D1" workbookViewId="0">
      <selection activeCell="Z15" sqref="Z15"/>
    </sheetView>
  </sheetViews>
  <sheetFormatPr defaultRowHeight="18"/>
  <sheetData>
    <row r="1" spans="1:23" ht="10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O1" s="5" t="s">
        <v>13</v>
      </c>
      <c r="P1" s="5" t="s">
        <v>14</v>
      </c>
      <c r="R1" s="4" t="s">
        <v>15</v>
      </c>
      <c r="S1" s="4" t="s">
        <v>16</v>
      </c>
      <c r="T1" s="3" t="s">
        <v>17</v>
      </c>
      <c r="U1" s="3" t="s">
        <v>18</v>
      </c>
      <c r="V1" s="3" t="s">
        <v>19</v>
      </c>
      <c r="W1" s="3" t="s">
        <v>20</v>
      </c>
    </row>
    <row r="2" spans="1:23">
      <c r="A2" s="1">
        <v>2018</v>
      </c>
      <c r="B2" s="1" t="s">
        <v>21</v>
      </c>
      <c r="C2" s="1" t="s">
        <v>22</v>
      </c>
      <c r="D2" s="2">
        <v>5.57</v>
      </c>
      <c r="E2" s="2">
        <v>6.17</v>
      </c>
      <c r="F2" s="2">
        <v>-0.26</v>
      </c>
      <c r="G2" s="2">
        <v>-0.34</v>
      </c>
      <c r="H2" s="2">
        <v>4.82</v>
      </c>
      <c r="I2" s="2">
        <v>10.39</v>
      </c>
      <c r="J2" s="2">
        <v>10.33</v>
      </c>
      <c r="K2" s="2">
        <v>10.31</v>
      </c>
      <c r="L2" s="2"/>
      <c r="M2" s="2"/>
      <c r="O2" s="1">
        <v>259449</v>
      </c>
      <c r="P2" s="1">
        <v>4207239</v>
      </c>
      <c r="R2" s="1">
        <v>19077</v>
      </c>
      <c r="S2" s="1">
        <v>10055</v>
      </c>
      <c r="T2" s="1">
        <f>O2/R2</f>
        <v>13.600094354458248</v>
      </c>
      <c r="U2" s="1">
        <f>P2/R2</f>
        <v>220.53986475860984</v>
      </c>
      <c r="V2" s="1">
        <f>ROUND(O2/P2*100,2)</f>
        <v>6.17</v>
      </c>
      <c r="W2" s="27">
        <f>V2-E2</f>
        <v>0</v>
      </c>
    </row>
    <row r="3" spans="1:23">
      <c r="A3" s="1">
        <v>2018</v>
      </c>
      <c r="B3" s="1" t="s">
        <v>23</v>
      </c>
      <c r="C3" s="1" t="s">
        <v>24</v>
      </c>
      <c r="D3" s="2">
        <v>5.07</v>
      </c>
      <c r="E3" s="2">
        <v>6.13</v>
      </c>
      <c r="F3" s="2">
        <v>-0.17</v>
      </c>
      <c r="G3" s="2">
        <v>-0.9</v>
      </c>
      <c r="H3" s="2">
        <v>4.82</v>
      </c>
      <c r="I3" s="2">
        <v>9.89</v>
      </c>
      <c r="J3" s="2">
        <v>9.9</v>
      </c>
      <c r="K3" s="2">
        <v>9.8699999999999992</v>
      </c>
      <c r="L3" s="2"/>
      <c r="M3" s="2"/>
      <c r="O3" s="1">
        <v>58124</v>
      </c>
      <c r="P3" s="1">
        <v>947834</v>
      </c>
      <c r="R3" s="1">
        <v>4731</v>
      </c>
      <c r="S3" s="1">
        <v>2442</v>
      </c>
      <c r="T3" s="1">
        <f>O3/R3</f>
        <v>12.285774677658001</v>
      </c>
      <c r="U3" s="1">
        <f>P3/R3</f>
        <v>200.3453815261044</v>
      </c>
      <c r="V3" s="1">
        <f>ROUND(O3/P3*100,2)</f>
        <v>6.13</v>
      </c>
      <c r="W3" s="27">
        <f>V3-E3</f>
        <v>0</v>
      </c>
    </row>
    <row r="4" spans="1:23">
      <c r="A4" s="1">
        <v>2018</v>
      </c>
      <c r="B4" s="1" t="s">
        <v>25</v>
      </c>
      <c r="C4" s="1" t="s">
        <v>26</v>
      </c>
      <c r="D4" s="2">
        <v>4.9400000000000004</v>
      </c>
      <c r="E4" s="2">
        <v>5.76</v>
      </c>
      <c r="F4" s="2">
        <v>-0.22</v>
      </c>
      <c r="G4" s="2">
        <v>-0.6</v>
      </c>
      <c r="H4" s="2">
        <v>4.82</v>
      </c>
      <c r="I4" s="2">
        <v>9.76</v>
      </c>
      <c r="J4" s="2">
        <v>9.7899999999999991</v>
      </c>
      <c r="K4" s="2">
        <v>9.8000000000000007</v>
      </c>
      <c r="L4" s="2"/>
      <c r="M4" s="2"/>
      <c r="O4" s="1">
        <v>53898</v>
      </c>
      <c r="P4" s="1">
        <v>936041</v>
      </c>
      <c r="R4" s="1">
        <v>4440</v>
      </c>
      <c r="S4" s="1">
        <v>2276</v>
      </c>
      <c r="T4" s="1">
        <f>O4/R4</f>
        <v>12.139189189189189</v>
      </c>
      <c r="U4" s="1">
        <f>P4/R4</f>
        <v>210.82004504504505</v>
      </c>
      <c r="V4" s="1">
        <f>ROUND(O4/P4*100,2)</f>
        <v>5.76</v>
      </c>
      <c r="W4" s="27">
        <f>V4-E4</f>
        <v>0</v>
      </c>
    </row>
    <row r="5" spans="1:23">
      <c r="A5" s="1">
        <v>2018</v>
      </c>
      <c r="B5" s="1" t="s">
        <v>27</v>
      </c>
      <c r="C5" s="1" t="s">
        <v>28</v>
      </c>
      <c r="D5" s="2">
        <v>5.24</v>
      </c>
      <c r="E5" s="2">
        <v>5.63</v>
      </c>
      <c r="F5" s="2">
        <v>-0.12</v>
      </c>
      <c r="G5" s="2">
        <v>-0.28000000000000003</v>
      </c>
      <c r="H5" s="2">
        <v>4.82</v>
      </c>
      <c r="I5" s="2">
        <v>10.06</v>
      </c>
      <c r="J5" s="2">
        <v>10.050000000000001</v>
      </c>
      <c r="K5" s="2">
        <v>10.1</v>
      </c>
      <c r="L5" s="2"/>
      <c r="M5" s="2"/>
      <c r="O5" s="1">
        <v>98900</v>
      </c>
      <c r="P5" s="1">
        <v>1756830</v>
      </c>
      <c r="R5" s="1">
        <v>7869</v>
      </c>
      <c r="S5" s="1">
        <v>3869</v>
      </c>
      <c r="T5" s="1">
        <f>O5/R5</f>
        <v>12.568306010928962</v>
      </c>
      <c r="U5" s="1">
        <f>P5/R5</f>
        <v>223.25962638200534</v>
      </c>
      <c r="V5" s="1">
        <f>ROUND(O5/P5*100,2)</f>
        <v>5.63</v>
      </c>
      <c r="W5" s="27">
        <f>V5-E5</f>
        <v>0</v>
      </c>
    </row>
    <row r="6" spans="1:23">
      <c r="A6" s="1">
        <v>2018</v>
      </c>
      <c r="B6" s="1" t="s">
        <v>29</v>
      </c>
      <c r="C6" s="1" t="s">
        <v>30</v>
      </c>
      <c r="D6" s="2">
        <v>5.38</v>
      </c>
      <c r="E6" s="2">
        <v>6.73</v>
      </c>
      <c r="F6" s="2">
        <v>-0.47</v>
      </c>
      <c r="G6" s="2">
        <v>-0.89</v>
      </c>
      <c r="H6" s="2">
        <v>4.82</v>
      </c>
      <c r="I6" s="2">
        <v>10.199999999999999</v>
      </c>
      <c r="J6" s="2">
        <v>10.17</v>
      </c>
      <c r="K6" s="2">
        <v>10.14</v>
      </c>
      <c r="L6" s="2"/>
      <c r="M6" s="2"/>
      <c r="O6" s="1">
        <v>47897</v>
      </c>
      <c r="P6" s="1">
        <v>711193</v>
      </c>
      <c r="R6" s="1">
        <v>3542</v>
      </c>
      <c r="S6" s="1">
        <v>1907</v>
      </c>
      <c r="T6" s="1">
        <f>O6/R6</f>
        <v>13.522586109542631</v>
      </c>
      <c r="U6" s="1">
        <f>P6/R6</f>
        <v>200.78853754940712</v>
      </c>
      <c r="V6" s="1">
        <f>ROUND(O6/P6*100,2)</f>
        <v>6.73</v>
      </c>
      <c r="W6" s="27">
        <f>V6-E6</f>
        <v>0</v>
      </c>
    </row>
    <row r="7" spans="1:23">
      <c r="A7" s="1">
        <v>2018</v>
      </c>
      <c r="B7" s="1" t="s">
        <v>31</v>
      </c>
      <c r="C7" s="1" t="s">
        <v>32</v>
      </c>
      <c r="D7" s="2">
        <v>5.17</v>
      </c>
      <c r="E7" s="2">
        <v>5.84</v>
      </c>
      <c r="F7" s="2">
        <v>-0.19</v>
      </c>
      <c r="G7" s="2">
        <v>-0.48</v>
      </c>
      <c r="H7" s="2">
        <v>4.82</v>
      </c>
      <c r="I7" s="2">
        <v>10</v>
      </c>
      <c r="J7" s="2">
        <v>10</v>
      </c>
      <c r="K7" s="2">
        <v>10.029999999999999</v>
      </c>
      <c r="L7" s="2"/>
      <c r="M7" s="2"/>
      <c r="O7" s="1">
        <v>53452</v>
      </c>
      <c r="P7" s="1">
        <v>915113</v>
      </c>
      <c r="R7" s="1">
        <v>4252</v>
      </c>
      <c r="S7" s="1">
        <v>2132</v>
      </c>
      <c r="T7" s="1">
        <f>O7/R7</f>
        <v>12.571025399811854</v>
      </c>
      <c r="U7" s="1">
        <f>P7/R7</f>
        <v>215.21942615239888</v>
      </c>
      <c r="V7" s="1">
        <f>ROUND(O7/P7*100,2)</f>
        <v>5.84</v>
      </c>
      <c r="W7" s="27">
        <f>V7-E7</f>
        <v>0</v>
      </c>
    </row>
    <row r="8" spans="1:23">
      <c r="A8" s="1">
        <v>2018</v>
      </c>
      <c r="B8" s="1" t="s">
        <v>33</v>
      </c>
      <c r="C8" s="1" t="s">
        <v>34</v>
      </c>
      <c r="D8" s="2">
        <v>4.88</v>
      </c>
      <c r="E8" s="2">
        <v>5.15</v>
      </c>
      <c r="F8" s="2">
        <v>-0.08</v>
      </c>
      <c r="G8" s="2">
        <v>-0.19</v>
      </c>
      <c r="H8" s="2">
        <v>4.82</v>
      </c>
      <c r="I8" s="2">
        <v>9.6999999999999993</v>
      </c>
      <c r="J8" s="2">
        <v>9.74</v>
      </c>
      <c r="K8" s="2">
        <v>9.74</v>
      </c>
      <c r="L8" s="2"/>
      <c r="M8" s="2"/>
      <c r="O8" s="1">
        <v>83712</v>
      </c>
      <c r="P8" s="1">
        <v>1626193</v>
      </c>
      <c r="R8" s="1">
        <v>7163</v>
      </c>
      <c r="S8" s="1">
        <v>3497</v>
      </c>
      <c r="T8" s="1">
        <f>O8/R8</f>
        <v>11.686723439899483</v>
      </c>
      <c r="U8" s="1">
        <f>P8/R8</f>
        <v>227.0268044115594</v>
      </c>
      <c r="V8" s="1">
        <f>ROUND(O8/P8*100,2)</f>
        <v>5.15</v>
      </c>
      <c r="W8" s="27">
        <f>V8-E8</f>
        <v>0</v>
      </c>
    </row>
    <row r="9" spans="1:23">
      <c r="A9" s="1">
        <v>2018</v>
      </c>
      <c r="B9" s="1" t="s">
        <v>35</v>
      </c>
      <c r="C9" s="1" t="s">
        <v>36</v>
      </c>
      <c r="D9" s="2">
        <v>4.9800000000000004</v>
      </c>
      <c r="E9" s="2">
        <v>4.88</v>
      </c>
      <c r="F9" s="2">
        <v>0.02</v>
      </c>
      <c r="G9" s="2">
        <v>0.08</v>
      </c>
      <c r="H9" s="2">
        <v>4.82</v>
      </c>
      <c r="I9" s="2">
        <v>9.8000000000000007</v>
      </c>
      <c r="J9" s="2">
        <v>9.83</v>
      </c>
      <c r="K9" s="2">
        <v>9.84</v>
      </c>
      <c r="L9" s="2"/>
      <c r="M9" s="2"/>
      <c r="O9" s="1">
        <v>85221</v>
      </c>
      <c r="P9" s="1">
        <v>1746226</v>
      </c>
      <c r="R9" s="1">
        <v>7312</v>
      </c>
      <c r="S9" s="1">
        <v>3555</v>
      </c>
      <c r="T9" s="1">
        <f>O9/R9</f>
        <v>11.654950765864333</v>
      </c>
      <c r="U9" s="1">
        <f>P9/R9</f>
        <v>238.81646608315097</v>
      </c>
      <c r="V9" s="1">
        <f>ROUND(O9/P9*100,2)</f>
        <v>4.88</v>
      </c>
      <c r="W9" s="27">
        <f>V9-E9</f>
        <v>0</v>
      </c>
    </row>
    <row r="10" spans="1:23">
      <c r="A10" s="1">
        <v>2018</v>
      </c>
      <c r="B10" s="1" t="s">
        <v>37</v>
      </c>
      <c r="C10" s="1" t="s">
        <v>38</v>
      </c>
      <c r="D10" s="2">
        <v>5.07</v>
      </c>
      <c r="E10" s="2">
        <v>5.1100000000000003</v>
      </c>
      <c r="F10" s="2">
        <v>-0.02</v>
      </c>
      <c r="G10" s="2">
        <v>-0.02</v>
      </c>
      <c r="H10" s="2">
        <v>4.82</v>
      </c>
      <c r="I10" s="2">
        <v>9.89</v>
      </c>
      <c r="J10" s="2">
        <v>9.91</v>
      </c>
      <c r="K10" s="2">
        <v>9.92</v>
      </c>
      <c r="L10" s="2"/>
      <c r="M10" s="2"/>
      <c r="O10" s="1">
        <v>66668</v>
      </c>
      <c r="P10" s="1">
        <v>1304847</v>
      </c>
      <c r="R10" s="1">
        <v>5570</v>
      </c>
      <c r="S10" s="1">
        <v>2714</v>
      </c>
      <c r="T10" s="1">
        <f>O10/R10</f>
        <v>11.969120287253142</v>
      </c>
      <c r="U10" s="1">
        <f>P10/R10</f>
        <v>234.26337522441651</v>
      </c>
      <c r="V10" s="1">
        <f>ROUND(O10/P10*100,2)</f>
        <v>5.1100000000000003</v>
      </c>
      <c r="W10" s="27">
        <f>V10-E10</f>
        <v>0</v>
      </c>
    </row>
    <row r="11" spans="1:23">
      <c r="A11" s="1">
        <v>2018</v>
      </c>
      <c r="B11" s="1" t="s">
        <v>39</v>
      </c>
      <c r="C11" s="1" t="s">
        <v>40</v>
      </c>
      <c r="D11" s="2">
        <v>5</v>
      </c>
      <c r="E11" s="2">
        <v>5.1100000000000003</v>
      </c>
      <c r="F11" s="2">
        <v>-0.04</v>
      </c>
      <c r="G11" s="2">
        <v>-7.0000000000000007E-2</v>
      </c>
      <c r="H11" s="2">
        <v>4.82</v>
      </c>
      <c r="I11" s="2">
        <v>9.82</v>
      </c>
      <c r="J11" s="2">
        <v>9.85</v>
      </c>
      <c r="K11" s="2">
        <v>9.84</v>
      </c>
      <c r="L11" s="2"/>
      <c r="M11" s="2"/>
      <c r="O11" s="1">
        <v>77418</v>
      </c>
      <c r="P11" s="1">
        <v>1516420</v>
      </c>
      <c r="R11" s="1">
        <v>6532</v>
      </c>
      <c r="S11" s="1">
        <v>3214</v>
      </c>
      <c r="T11" s="1">
        <f>O11/R11</f>
        <v>11.852112676056338</v>
      </c>
      <c r="U11" s="1">
        <f>P11/R11</f>
        <v>232.15248009797918</v>
      </c>
      <c r="V11" s="1">
        <f>ROUND(O11/P11*100,2)</f>
        <v>5.1100000000000003</v>
      </c>
      <c r="W11" s="27">
        <f>V11-E11</f>
        <v>0</v>
      </c>
    </row>
    <row r="12" spans="1:23">
      <c r="A12" s="1">
        <v>2018</v>
      </c>
      <c r="B12" s="1" t="s">
        <v>41</v>
      </c>
      <c r="C12" s="1" t="s">
        <v>42</v>
      </c>
      <c r="D12" s="2">
        <v>4.95</v>
      </c>
      <c r="E12" s="2">
        <v>4.75</v>
      </c>
      <c r="F12" s="2">
        <v>0</v>
      </c>
      <c r="G12" s="2">
        <v>0.19</v>
      </c>
      <c r="H12" s="2">
        <v>4.82</v>
      </c>
      <c r="I12" s="2">
        <v>9.77</v>
      </c>
      <c r="J12" s="2">
        <v>9.8000000000000007</v>
      </c>
      <c r="K12" s="2">
        <v>9.7899999999999991</v>
      </c>
      <c r="L12" s="2"/>
      <c r="M12" s="2"/>
      <c r="O12" s="1">
        <v>161018</v>
      </c>
      <c r="P12" s="1">
        <v>3389525</v>
      </c>
      <c r="R12" s="1">
        <v>13884</v>
      </c>
      <c r="S12" s="1">
        <v>6959</v>
      </c>
      <c r="T12" s="1">
        <f>O12/R12</f>
        <v>11.597378277153558</v>
      </c>
      <c r="U12" s="1">
        <f>P12/R12</f>
        <v>244.13173437049841</v>
      </c>
      <c r="V12" s="1">
        <f>ROUND(O12/P12*100,2)</f>
        <v>4.75</v>
      </c>
      <c r="W12" s="27">
        <f>V12-E12</f>
        <v>0</v>
      </c>
    </row>
    <row r="13" spans="1:23">
      <c r="A13" s="1">
        <v>2018</v>
      </c>
      <c r="B13" s="1" t="s">
        <v>43</v>
      </c>
      <c r="C13" s="1" t="s">
        <v>44</v>
      </c>
      <c r="D13" s="2">
        <v>4.9800000000000004</v>
      </c>
      <c r="E13" s="2">
        <v>4.8899999999999997</v>
      </c>
      <c r="F13" s="2">
        <v>-0.09</v>
      </c>
      <c r="G13" s="2">
        <v>0.18</v>
      </c>
      <c r="H13" s="2">
        <v>4.82</v>
      </c>
      <c r="I13" s="2">
        <v>9.8000000000000007</v>
      </c>
      <c r="J13" s="2">
        <v>9.83</v>
      </c>
      <c r="K13" s="2">
        <v>9.81</v>
      </c>
      <c r="L13" s="2"/>
      <c r="M13" s="2"/>
      <c r="O13" s="1">
        <v>117237</v>
      </c>
      <c r="P13" s="1">
        <v>2399607</v>
      </c>
      <c r="R13" s="1">
        <v>9850</v>
      </c>
      <c r="S13" s="1">
        <v>4950</v>
      </c>
      <c r="T13" s="1">
        <f>O13/R13</f>
        <v>11.902233502538071</v>
      </c>
      <c r="U13" s="1">
        <f>P13/R13</f>
        <v>243.61492385786801</v>
      </c>
      <c r="V13" s="1">
        <f>ROUND(O13/P13*100,2)</f>
        <v>4.8899999999999997</v>
      </c>
      <c r="W13" s="27">
        <f>V13-E13</f>
        <v>0</v>
      </c>
    </row>
    <row r="14" spans="1:23">
      <c r="A14" s="1">
        <v>2018</v>
      </c>
      <c r="B14" s="1" t="s">
        <v>45</v>
      </c>
      <c r="C14" s="1" t="s">
        <v>46</v>
      </c>
      <c r="D14" s="2">
        <v>5.0599999999999996</v>
      </c>
      <c r="E14" s="2">
        <v>4.28</v>
      </c>
      <c r="F14" s="2">
        <v>0.05</v>
      </c>
      <c r="G14" s="2">
        <v>0.72</v>
      </c>
      <c r="H14" s="2">
        <v>4.82</v>
      </c>
      <c r="I14" s="2">
        <v>9.8800000000000008</v>
      </c>
      <c r="J14" s="2">
        <v>9.89</v>
      </c>
      <c r="K14" s="2">
        <v>9.9</v>
      </c>
      <c r="L14" s="2"/>
      <c r="M14" s="2"/>
      <c r="O14" s="1">
        <v>568455</v>
      </c>
      <c r="P14" s="1">
        <v>13269708</v>
      </c>
      <c r="R14" s="1">
        <v>48582</v>
      </c>
      <c r="S14" s="1">
        <v>23516</v>
      </c>
      <c r="T14" s="1">
        <f>O14/R14</f>
        <v>11.700938619241695</v>
      </c>
      <c r="U14" s="1">
        <f>P14/R14</f>
        <v>273.14042237865874</v>
      </c>
      <c r="V14" s="1">
        <f>ROUND(O14/P14*100,2)</f>
        <v>4.28</v>
      </c>
      <c r="W14" s="27">
        <f>V14-E14</f>
        <v>0</v>
      </c>
    </row>
    <row r="15" spans="1:23">
      <c r="A15" s="1">
        <v>2018</v>
      </c>
      <c r="B15" s="1" t="s">
        <v>47</v>
      </c>
      <c r="C15" s="1" t="s">
        <v>48</v>
      </c>
      <c r="D15" s="2">
        <v>5.08</v>
      </c>
      <c r="E15" s="2">
        <v>4.6399999999999997</v>
      </c>
      <c r="F15" s="2">
        <v>-0.03</v>
      </c>
      <c r="G15" s="2">
        <v>0.47</v>
      </c>
      <c r="H15" s="2">
        <v>4.82</v>
      </c>
      <c r="I15" s="2">
        <v>9.9</v>
      </c>
      <c r="J15" s="2">
        <v>9.91</v>
      </c>
      <c r="K15" s="2">
        <v>9.91</v>
      </c>
      <c r="L15" s="2"/>
      <c r="M15" s="2"/>
      <c r="O15" s="1">
        <v>195976</v>
      </c>
      <c r="P15" s="1">
        <v>4226793</v>
      </c>
      <c r="R15" s="1">
        <v>16345</v>
      </c>
      <c r="S15" s="1">
        <v>8271</v>
      </c>
      <c r="T15" s="1">
        <f>O15/R15</f>
        <v>11.989966350565922</v>
      </c>
      <c r="U15" s="1">
        <f>P15/R15</f>
        <v>258.59853166105842</v>
      </c>
      <c r="V15" s="1">
        <f>ROUND(O15/P15*100,2)</f>
        <v>4.6399999999999997</v>
      </c>
      <c r="W15" s="27">
        <f>V15-E15</f>
        <v>0</v>
      </c>
    </row>
    <row r="16" spans="1:23">
      <c r="A16" s="1">
        <v>2018</v>
      </c>
      <c r="B16" s="1" t="s">
        <v>49</v>
      </c>
      <c r="C16" s="1" t="s">
        <v>50</v>
      </c>
      <c r="D16" s="2">
        <v>4.72</v>
      </c>
      <c r="E16" s="2">
        <v>5.15</v>
      </c>
      <c r="F16" s="2">
        <v>-0.12</v>
      </c>
      <c r="G16" s="2">
        <v>-0.32</v>
      </c>
      <c r="H16" s="2">
        <v>4.82</v>
      </c>
      <c r="I16" s="2">
        <v>9.5399999999999991</v>
      </c>
      <c r="J16" s="2">
        <v>9.6</v>
      </c>
      <c r="K16" s="2">
        <v>9.6300000000000008</v>
      </c>
      <c r="L16" s="2"/>
      <c r="M16" s="2"/>
      <c r="O16" s="1">
        <v>99791</v>
      </c>
      <c r="P16" s="1">
        <v>1938095</v>
      </c>
      <c r="R16" s="1">
        <v>8745</v>
      </c>
      <c r="S16" s="1">
        <v>4375</v>
      </c>
      <c r="T16" s="1">
        <f>O16/R16</f>
        <v>11.411206403659234</v>
      </c>
      <c r="U16" s="1">
        <f>P16/R16</f>
        <v>221.62321326472269</v>
      </c>
      <c r="V16" s="1">
        <f>ROUND(O16/P16*100,2)</f>
        <v>5.15</v>
      </c>
      <c r="W16" s="27">
        <f>V16-E16</f>
        <v>0</v>
      </c>
    </row>
    <row r="17" spans="1:23">
      <c r="A17" s="1">
        <v>2018</v>
      </c>
      <c r="B17" s="1" t="s">
        <v>51</v>
      </c>
      <c r="C17" s="1" t="s">
        <v>52</v>
      </c>
      <c r="D17" s="2">
        <v>4.8499999999999996</v>
      </c>
      <c r="E17" s="2">
        <v>4.75</v>
      </c>
      <c r="F17" s="2">
        <v>-0.08</v>
      </c>
      <c r="G17" s="2">
        <v>0.17</v>
      </c>
      <c r="H17" s="2">
        <v>4.82</v>
      </c>
      <c r="I17" s="2">
        <v>9.67</v>
      </c>
      <c r="J17" s="2">
        <v>9.7100000000000009</v>
      </c>
      <c r="K17" s="2">
        <v>9.7100000000000009</v>
      </c>
      <c r="L17" s="2"/>
      <c r="M17" s="2"/>
      <c r="O17" s="1">
        <v>50798</v>
      </c>
      <c r="P17" s="1">
        <v>1069266</v>
      </c>
      <c r="R17" s="1">
        <v>4397</v>
      </c>
      <c r="S17" s="1">
        <v>2226</v>
      </c>
      <c r="T17" s="1">
        <f>O17/R17</f>
        <v>11.552876961564703</v>
      </c>
      <c r="U17" s="1">
        <f>P17/R17</f>
        <v>243.18080509438252</v>
      </c>
      <c r="V17" s="1">
        <f>ROUND(O17/P17*100,2)</f>
        <v>4.75</v>
      </c>
      <c r="W17" s="27">
        <f>V17-E17</f>
        <v>0</v>
      </c>
    </row>
    <row r="18" spans="1:23">
      <c r="A18" s="1">
        <v>2018</v>
      </c>
      <c r="B18" s="1" t="s">
        <v>53</v>
      </c>
      <c r="C18" s="1" t="s">
        <v>54</v>
      </c>
      <c r="D18" s="2">
        <v>5.19</v>
      </c>
      <c r="E18" s="2">
        <v>5.17</v>
      </c>
      <c r="F18" s="2">
        <v>-0.02</v>
      </c>
      <c r="G18" s="2">
        <v>0.03</v>
      </c>
      <c r="H18" s="2">
        <v>4.82</v>
      </c>
      <c r="I18" s="2">
        <v>10.01</v>
      </c>
      <c r="J18" s="2">
        <v>10.01</v>
      </c>
      <c r="K18" s="2">
        <v>9.99</v>
      </c>
      <c r="L18" s="2"/>
      <c r="M18" s="2"/>
      <c r="O18" s="1">
        <v>57974</v>
      </c>
      <c r="P18" s="1">
        <v>1121303</v>
      </c>
      <c r="R18" s="1">
        <v>4737</v>
      </c>
      <c r="S18" s="1">
        <v>2320</v>
      </c>
      <c r="T18" s="1">
        <f>O18/R18</f>
        <v>12.238547603968756</v>
      </c>
      <c r="U18" s="1">
        <f>P18/R18</f>
        <v>236.7116318344944</v>
      </c>
      <c r="V18" s="1">
        <f>ROUND(O18/P18*100,2)</f>
        <v>5.17</v>
      </c>
      <c r="W18" s="27">
        <f>V18-E18</f>
        <v>0</v>
      </c>
    </row>
    <row r="19" spans="1:23">
      <c r="A19" s="1">
        <v>2018</v>
      </c>
      <c r="B19" s="1" t="s">
        <v>55</v>
      </c>
      <c r="C19" s="1" t="s">
        <v>56</v>
      </c>
      <c r="D19" s="2">
        <v>5.08</v>
      </c>
      <c r="E19" s="2">
        <v>5.21</v>
      </c>
      <c r="F19" s="2">
        <v>-0.09</v>
      </c>
      <c r="G19" s="2">
        <v>-0.05</v>
      </c>
      <c r="H19" s="2">
        <v>4.82</v>
      </c>
      <c r="I19" s="2">
        <v>9.9</v>
      </c>
      <c r="J19" s="2">
        <v>9.91</v>
      </c>
      <c r="K19" s="2">
        <v>9.8800000000000008</v>
      </c>
      <c r="L19" s="2"/>
      <c r="M19" s="2"/>
      <c r="O19" s="1">
        <v>37879</v>
      </c>
      <c r="P19" s="1">
        <v>726694</v>
      </c>
      <c r="R19" s="1">
        <v>3118</v>
      </c>
      <c r="S19" s="1">
        <v>1531</v>
      </c>
      <c r="T19" s="1">
        <f>O19/R19</f>
        <v>12.148492623476587</v>
      </c>
      <c r="U19" s="1">
        <f>P19/R19</f>
        <v>233.06414368184733</v>
      </c>
      <c r="V19" s="1">
        <f>ROUND(O19/P19*100,2)</f>
        <v>5.21</v>
      </c>
      <c r="W19" s="27">
        <f>V19-E19</f>
        <v>0</v>
      </c>
    </row>
    <row r="20" spans="1:23">
      <c r="A20" s="1">
        <v>2018</v>
      </c>
      <c r="B20" s="1" t="s">
        <v>57</v>
      </c>
      <c r="C20" s="1" t="s">
        <v>58</v>
      </c>
      <c r="D20" s="2">
        <v>5.0999999999999996</v>
      </c>
      <c r="E20" s="2">
        <v>5.36</v>
      </c>
      <c r="F20" s="2">
        <v>-0.1</v>
      </c>
      <c r="G20" s="2">
        <v>-0.17</v>
      </c>
      <c r="H20" s="2">
        <v>4.82</v>
      </c>
      <c r="I20" s="2">
        <v>9.92</v>
      </c>
      <c r="J20" s="2">
        <v>9.93</v>
      </c>
      <c r="K20" s="2">
        <v>9.9</v>
      </c>
      <c r="L20" s="2"/>
      <c r="M20" s="2"/>
      <c r="O20" s="1">
        <v>32717</v>
      </c>
      <c r="P20" s="1">
        <v>609899</v>
      </c>
      <c r="R20" s="1">
        <v>2678</v>
      </c>
      <c r="S20" s="1">
        <v>1336</v>
      </c>
      <c r="T20" s="1">
        <f>O20/R20</f>
        <v>12.216952949962659</v>
      </c>
      <c r="U20" s="1">
        <f>P20/R20</f>
        <v>227.74421209858104</v>
      </c>
      <c r="V20" s="1">
        <f>ROUND(O20/P20*100,2)</f>
        <v>5.36</v>
      </c>
      <c r="W20" s="27">
        <f>V20-E20</f>
        <v>0</v>
      </c>
    </row>
    <row r="21" spans="1:23">
      <c r="A21" s="1">
        <v>2018</v>
      </c>
      <c r="B21" s="1" t="s">
        <v>59</v>
      </c>
      <c r="C21" s="1" t="s">
        <v>60</v>
      </c>
      <c r="D21" s="2">
        <v>4.79</v>
      </c>
      <c r="E21" s="2">
        <v>5.03</v>
      </c>
      <c r="F21" s="2">
        <v>-0.06</v>
      </c>
      <c r="G21" s="2">
        <v>-0.19</v>
      </c>
      <c r="H21" s="2">
        <v>4.82</v>
      </c>
      <c r="I21" s="2">
        <v>9.61</v>
      </c>
      <c r="J21" s="2">
        <v>9.66</v>
      </c>
      <c r="K21" s="2">
        <v>9.69</v>
      </c>
      <c r="L21" s="2"/>
      <c r="M21" s="2"/>
      <c r="O21" s="1">
        <v>78751</v>
      </c>
      <c r="P21" s="1">
        <v>1564346</v>
      </c>
      <c r="R21" s="1">
        <v>6896</v>
      </c>
      <c r="S21" s="1">
        <v>3415</v>
      </c>
      <c r="T21" s="1">
        <f>O21/R21</f>
        <v>11.419808584686775</v>
      </c>
      <c r="U21" s="1">
        <f>P21/R21</f>
        <v>226.84831786542924</v>
      </c>
      <c r="V21" s="1">
        <f>ROUND(O21/P21*100,2)</f>
        <v>5.03</v>
      </c>
      <c r="W21" s="27">
        <f>V21-E21</f>
        <v>0</v>
      </c>
    </row>
    <row r="22" spans="1:23">
      <c r="A22" s="1">
        <v>2018</v>
      </c>
      <c r="B22" s="1" t="s">
        <v>61</v>
      </c>
      <c r="C22" s="1" t="s">
        <v>62</v>
      </c>
      <c r="D22" s="2">
        <v>5.05</v>
      </c>
      <c r="E22" s="2">
        <v>5.07</v>
      </c>
      <c r="F22" s="2">
        <v>0.03</v>
      </c>
      <c r="G22" s="2">
        <v>-0.05</v>
      </c>
      <c r="H22" s="2">
        <v>4.82</v>
      </c>
      <c r="I22" s="2">
        <v>9.8699999999999992</v>
      </c>
      <c r="J22" s="2">
        <v>9.89</v>
      </c>
      <c r="K22" s="2">
        <v>9.86</v>
      </c>
      <c r="L22" s="2"/>
      <c r="M22" s="2"/>
      <c r="O22" s="1">
        <v>94416</v>
      </c>
      <c r="P22" s="1">
        <v>1862760</v>
      </c>
      <c r="R22" s="1">
        <v>7993</v>
      </c>
      <c r="S22" s="1">
        <v>3897</v>
      </c>
      <c r="T22" s="1">
        <f>O22/R22</f>
        <v>11.812335793819592</v>
      </c>
      <c r="U22" s="1">
        <f>P22/R22</f>
        <v>233.0489178030777</v>
      </c>
      <c r="V22" s="1">
        <f>ROUND(O22/P22*100,2)</f>
        <v>5.07</v>
      </c>
      <c r="W22" s="27">
        <f>V22-E22</f>
        <v>0</v>
      </c>
    </row>
    <row r="23" spans="1:23">
      <c r="A23" s="1">
        <v>2018</v>
      </c>
      <c r="B23" s="1" t="s">
        <v>63</v>
      </c>
      <c r="C23" s="1" t="s">
        <v>64</v>
      </c>
      <c r="D23" s="2">
        <v>4.87</v>
      </c>
      <c r="E23" s="2">
        <v>4.79</v>
      </c>
      <c r="F23" s="2">
        <v>-0.06</v>
      </c>
      <c r="G23" s="2">
        <v>0.14000000000000001</v>
      </c>
      <c r="H23" s="2">
        <v>4.82</v>
      </c>
      <c r="I23" s="2">
        <v>9.6999999999999993</v>
      </c>
      <c r="J23" s="2">
        <v>9.74</v>
      </c>
      <c r="K23" s="2">
        <v>9.75</v>
      </c>
      <c r="L23" s="2"/>
      <c r="M23" s="2"/>
      <c r="O23" s="1">
        <v>124549</v>
      </c>
      <c r="P23" s="1">
        <v>2600481</v>
      </c>
      <c r="R23" s="1">
        <v>10757</v>
      </c>
      <c r="S23" s="1">
        <v>5338</v>
      </c>
      <c r="T23" s="1">
        <f>O23/R23</f>
        <v>11.578414055963558</v>
      </c>
      <c r="U23" s="1">
        <f>P23/R23</f>
        <v>241.74779213535373</v>
      </c>
      <c r="V23" s="1">
        <f>ROUND(O23/P23*100,2)</f>
        <v>4.79</v>
      </c>
      <c r="W23" s="27">
        <f>V23-E23</f>
        <v>0</v>
      </c>
    </row>
    <row r="24" spans="1:23">
      <c r="A24" s="1">
        <v>2018</v>
      </c>
      <c r="B24" s="1" t="s">
        <v>65</v>
      </c>
      <c r="C24" s="1" t="s">
        <v>66</v>
      </c>
      <c r="D24" s="2">
        <v>5.0599999999999996</v>
      </c>
      <c r="E24" s="2">
        <v>4.55</v>
      </c>
      <c r="F24" s="2">
        <v>0.18</v>
      </c>
      <c r="G24" s="2">
        <v>0.33</v>
      </c>
      <c r="H24" s="2">
        <v>4.82</v>
      </c>
      <c r="I24" s="2">
        <v>9.8800000000000008</v>
      </c>
      <c r="J24" s="2">
        <v>9.9</v>
      </c>
      <c r="K24" s="2">
        <v>9.9</v>
      </c>
      <c r="L24" s="2"/>
      <c r="M24" s="2"/>
      <c r="O24" s="1">
        <v>296742</v>
      </c>
      <c r="P24" s="1">
        <v>6520211</v>
      </c>
      <c r="R24" s="1">
        <v>25958</v>
      </c>
      <c r="S24" s="1">
        <v>12148</v>
      </c>
      <c r="T24" s="1">
        <f>O24/R24</f>
        <v>11.431620309731104</v>
      </c>
      <c r="U24" s="1">
        <f>P24/R24</f>
        <v>251.18310347484399</v>
      </c>
      <c r="V24" s="1">
        <f>ROUND(O24/P24*100,2)</f>
        <v>4.55</v>
      </c>
      <c r="W24" s="27">
        <f>V24-E24</f>
        <v>0</v>
      </c>
    </row>
    <row r="25" spans="1:23">
      <c r="A25" s="1">
        <v>2018</v>
      </c>
      <c r="B25" s="1" t="s">
        <v>67</v>
      </c>
      <c r="C25" s="1" t="s">
        <v>68</v>
      </c>
      <c r="D25" s="2">
        <v>5.05</v>
      </c>
      <c r="E25" s="2">
        <v>4.95</v>
      </c>
      <c r="F25" s="2">
        <v>0.05</v>
      </c>
      <c r="G25" s="2">
        <v>0.04</v>
      </c>
      <c r="H25" s="2">
        <v>4.82</v>
      </c>
      <c r="I25" s="2">
        <v>9.8699999999999992</v>
      </c>
      <c r="J25" s="2">
        <v>9.89</v>
      </c>
      <c r="K25" s="2">
        <v>9.9</v>
      </c>
      <c r="L25" s="2"/>
      <c r="M25" s="2"/>
      <c r="O25" s="1">
        <v>63338</v>
      </c>
      <c r="P25" s="1">
        <v>1279691</v>
      </c>
      <c r="R25" s="1">
        <v>5396</v>
      </c>
      <c r="S25" s="1">
        <v>2613</v>
      </c>
      <c r="T25" s="1">
        <f>O25/R25</f>
        <v>11.737954040029651</v>
      </c>
      <c r="U25" s="1">
        <f>P25/R25</f>
        <v>237.15548554484803</v>
      </c>
      <c r="V25" s="1">
        <f>ROUND(O25/P25*100,2)</f>
        <v>4.95</v>
      </c>
      <c r="W25" s="27">
        <f>V25-E25</f>
        <v>0</v>
      </c>
    </row>
    <row r="26" spans="1:23">
      <c r="A26" s="1">
        <v>2018</v>
      </c>
      <c r="B26" s="1" t="s">
        <v>69</v>
      </c>
      <c r="C26" s="1" t="s">
        <v>70</v>
      </c>
      <c r="D26" s="2">
        <v>5.03</v>
      </c>
      <c r="E26" s="2">
        <v>5.0999999999999996</v>
      </c>
      <c r="F26" s="2">
        <v>0.06</v>
      </c>
      <c r="G26" s="2">
        <v>-0.13</v>
      </c>
      <c r="H26" s="2">
        <v>4.82</v>
      </c>
      <c r="I26" s="2">
        <v>9.85</v>
      </c>
      <c r="J26" s="2">
        <v>9.8699999999999992</v>
      </c>
      <c r="K26" s="2">
        <v>9.8699999999999992</v>
      </c>
      <c r="L26" s="2"/>
      <c r="M26" s="2"/>
      <c r="O26" s="1">
        <v>43492</v>
      </c>
      <c r="P26" s="1">
        <v>852042</v>
      </c>
      <c r="R26" s="1">
        <v>3715</v>
      </c>
      <c r="S26" s="1">
        <v>1759</v>
      </c>
      <c r="T26" s="1">
        <f>O26/R26</f>
        <v>11.707133243606998</v>
      </c>
      <c r="U26" s="1">
        <f>P26/R26</f>
        <v>229.35181695827725</v>
      </c>
      <c r="V26" s="1">
        <f>ROUND(O26/P26*100,2)</f>
        <v>5.0999999999999996</v>
      </c>
      <c r="W26" s="27">
        <f>V26-E26</f>
        <v>0</v>
      </c>
    </row>
    <row r="27" spans="1:23">
      <c r="A27" s="1">
        <v>2018</v>
      </c>
      <c r="B27" s="1" t="s">
        <v>71</v>
      </c>
      <c r="C27" s="1" t="s">
        <v>72</v>
      </c>
      <c r="D27" s="2">
        <v>5.2</v>
      </c>
      <c r="E27" s="2">
        <v>5.08</v>
      </c>
      <c r="F27" s="2">
        <v>0.05</v>
      </c>
      <c r="G27" s="2">
        <v>0.08</v>
      </c>
      <c r="H27" s="2">
        <v>4.82</v>
      </c>
      <c r="I27" s="2">
        <v>10.02</v>
      </c>
      <c r="J27" s="2">
        <v>10.02</v>
      </c>
      <c r="K27" s="2">
        <v>10.029999999999999</v>
      </c>
      <c r="L27" s="2"/>
      <c r="M27" s="2"/>
      <c r="O27" s="1">
        <v>113352</v>
      </c>
      <c r="P27" s="1">
        <v>2233093</v>
      </c>
      <c r="R27" s="1">
        <v>9357</v>
      </c>
      <c r="S27" s="1">
        <v>4490</v>
      </c>
      <c r="T27" s="1">
        <f>O27/R27</f>
        <v>12.114139147162552</v>
      </c>
      <c r="U27" s="1">
        <f>P27/R27</f>
        <v>238.65480389013572</v>
      </c>
      <c r="V27" s="1">
        <f>ROUND(O27/P27*100,2)</f>
        <v>5.08</v>
      </c>
      <c r="W27" s="27">
        <f>V27-E27</f>
        <v>0</v>
      </c>
    </row>
    <row r="28" spans="1:23">
      <c r="A28" s="1">
        <v>2018</v>
      </c>
      <c r="B28" s="1" t="s">
        <v>73</v>
      </c>
      <c r="C28" s="1" t="s">
        <v>74</v>
      </c>
      <c r="D28" s="2">
        <v>5.4</v>
      </c>
      <c r="E28" s="2">
        <v>5.1100000000000003</v>
      </c>
      <c r="F28" s="2">
        <v>0.14000000000000001</v>
      </c>
      <c r="G28" s="2">
        <v>0.16</v>
      </c>
      <c r="H28" s="2">
        <v>4.82</v>
      </c>
      <c r="I28" s="2">
        <v>10.220000000000001</v>
      </c>
      <c r="J28" s="2">
        <v>10.19</v>
      </c>
      <c r="K28" s="2">
        <v>10.19</v>
      </c>
      <c r="L28" s="2"/>
      <c r="M28" s="2"/>
      <c r="O28" s="1">
        <v>438535</v>
      </c>
      <c r="P28" s="1">
        <v>8588813</v>
      </c>
      <c r="R28" s="1">
        <v>35429</v>
      </c>
      <c r="S28" s="1">
        <v>16680</v>
      </c>
      <c r="T28" s="1">
        <f>O28/R28</f>
        <v>12.377854300149595</v>
      </c>
      <c r="U28" s="1">
        <f>P28/R28</f>
        <v>242.42324084789297</v>
      </c>
      <c r="V28" s="1">
        <f>ROUND(O28/P28*100,2)</f>
        <v>5.1100000000000003</v>
      </c>
      <c r="W28" s="27">
        <f>V28-E28</f>
        <v>0</v>
      </c>
    </row>
    <row r="29" spans="1:23">
      <c r="A29" s="1">
        <v>2018</v>
      </c>
      <c r="B29" s="1" t="s">
        <v>75</v>
      </c>
      <c r="C29" s="1" t="s">
        <v>76</v>
      </c>
      <c r="D29" s="2">
        <v>5.32</v>
      </c>
      <c r="E29" s="2">
        <v>5.27</v>
      </c>
      <c r="F29" s="2">
        <v>0.04</v>
      </c>
      <c r="G29" s="2">
        <v>0</v>
      </c>
      <c r="H29" s="2">
        <v>4.82</v>
      </c>
      <c r="I29" s="2">
        <v>10.14</v>
      </c>
      <c r="J29" s="2">
        <v>10.119999999999999</v>
      </c>
      <c r="K29" s="2">
        <v>10.14</v>
      </c>
      <c r="L29" s="2"/>
      <c r="M29" s="2"/>
      <c r="O29" s="1">
        <v>195681</v>
      </c>
      <c r="P29" s="1">
        <v>3713900</v>
      </c>
      <c r="R29" s="1">
        <v>15786</v>
      </c>
      <c r="S29" s="1">
        <v>7655</v>
      </c>
      <c r="T29" s="1">
        <f>O29/R29</f>
        <v>12.395857088559483</v>
      </c>
      <c r="U29" s="1">
        <f>P29/R29</f>
        <v>235.26542506017989</v>
      </c>
      <c r="V29" s="1">
        <f>ROUND(O29/P29*100,2)</f>
        <v>5.27</v>
      </c>
      <c r="W29" s="27">
        <f>V29-E29</f>
        <v>0</v>
      </c>
    </row>
    <row r="30" spans="1:23">
      <c r="A30" s="1">
        <v>2018</v>
      </c>
      <c r="B30" s="1" t="s">
        <v>77</v>
      </c>
      <c r="C30" s="1" t="s">
        <v>78</v>
      </c>
      <c r="D30" s="2">
        <v>5.24</v>
      </c>
      <c r="E30" s="2">
        <v>5.66</v>
      </c>
      <c r="F30" s="2">
        <v>-0.01</v>
      </c>
      <c r="G30" s="2">
        <v>-0.4</v>
      </c>
      <c r="H30" s="2">
        <v>4.82</v>
      </c>
      <c r="I30" s="2">
        <v>10.06</v>
      </c>
      <c r="J30" s="2">
        <v>10.050000000000001</v>
      </c>
      <c r="K30" s="2">
        <v>10.07</v>
      </c>
      <c r="L30" s="2"/>
      <c r="M30" s="2"/>
      <c r="O30" s="1">
        <v>41721</v>
      </c>
      <c r="P30" s="1">
        <v>737446</v>
      </c>
      <c r="R30" s="1">
        <v>3381</v>
      </c>
      <c r="S30" s="1">
        <v>1634</v>
      </c>
      <c r="T30" s="1">
        <f>O30/R30</f>
        <v>12.339840283939663</v>
      </c>
      <c r="U30" s="1">
        <f>P30/R30</f>
        <v>218.11475894705708</v>
      </c>
      <c r="V30" s="1">
        <f>ROUND(O30/P30*100,2)</f>
        <v>5.66</v>
      </c>
      <c r="W30" s="27">
        <f>V30-E30</f>
        <v>0</v>
      </c>
    </row>
    <row r="31" spans="1:23">
      <c r="A31" s="1">
        <v>2018</v>
      </c>
      <c r="B31" s="1" t="s">
        <v>79</v>
      </c>
      <c r="C31" s="1" t="s">
        <v>80</v>
      </c>
      <c r="D31" s="2">
        <v>5.32</v>
      </c>
      <c r="E31" s="2">
        <v>5.8</v>
      </c>
      <c r="F31" s="2">
        <v>0.03</v>
      </c>
      <c r="G31" s="2">
        <v>-0.52</v>
      </c>
      <c r="H31" s="2">
        <v>4.82</v>
      </c>
      <c r="I31" s="2">
        <v>10.14</v>
      </c>
      <c r="J31" s="2">
        <v>10.119999999999999</v>
      </c>
      <c r="K31" s="2">
        <v>10.15</v>
      </c>
      <c r="L31" s="2"/>
      <c r="M31" s="2"/>
      <c r="O31" s="1">
        <v>38997</v>
      </c>
      <c r="P31" s="1">
        <v>672202</v>
      </c>
      <c r="R31" s="1">
        <v>3144</v>
      </c>
      <c r="S31" s="1">
        <v>1560</v>
      </c>
      <c r="T31" s="1">
        <f>O31/R31</f>
        <v>12.403625954198473</v>
      </c>
      <c r="U31" s="1">
        <f>P31/R31</f>
        <v>213.80470737913487</v>
      </c>
      <c r="V31" s="1">
        <f>ROUND(O31/P31*100,2)</f>
        <v>5.8</v>
      </c>
      <c r="W31" s="27">
        <f>V31-E31</f>
        <v>0</v>
      </c>
    </row>
    <row r="32" spans="1:23">
      <c r="A32" s="1">
        <v>2018</v>
      </c>
      <c r="B32" s="1" t="s">
        <v>81</v>
      </c>
      <c r="C32" s="1" t="s">
        <v>82</v>
      </c>
      <c r="D32" s="2">
        <v>5.16</v>
      </c>
      <c r="E32" s="2">
        <v>5.95</v>
      </c>
      <c r="F32" s="2">
        <v>-0.1</v>
      </c>
      <c r="G32" s="2">
        <v>-0.69</v>
      </c>
      <c r="H32" s="2">
        <v>4.82</v>
      </c>
      <c r="I32" s="2">
        <v>9.98</v>
      </c>
      <c r="J32" s="2">
        <v>9.98</v>
      </c>
      <c r="K32" s="2">
        <v>10</v>
      </c>
      <c r="L32" s="2"/>
      <c r="M32" s="2"/>
      <c r="O32" s="1">
        <v>26877</v>
      </c>
      <c r="P32" s="1">
        <v>451588</v>
      </c>
      <c r="R32" s="1">
        <v>2177</v>
      </c>
      <c r="S32" s="1">
        <v>1062</v>
      </c>
      <c r="T32" s="1">
        <f>O32/R32</f>
        <v>12.345888837850252</v>
      </c>
      <c r="U32" s="1">
        <f>P32/R32</f>
        <v>207.43592099219109</v>
      </c>
      <c r="V32" s="1">
        <f>ROUND(O32/P32*100,2)</f>
        <v>5.95</v>
      </c>
      <c r="W32" s="27">
        <f>V32-E32</f>
        <v>0</v>
      </c>
    </row>
    <row r="33" spans="1:23">
      <c r="A33" s="1">
        <v>2018</v>
      </c>
      <c r="B33" s="1" t="s">
        <v>83</v>
      </c>
      <c r="C33" s="1" t="s">
        <v>84</v>
      </c>
      <c r="D33" s="2">
        <v>5.32</v>
      </c>
      <c r="E33" s="2">
        <v>6.17</v>
      </c>
      <c r="F33" s="2">
        <v>-0.24</v>
      </c>
      <c r="G33" s="2">
        <v>-0.6</v>
      </c>
      <c r="H33" s="2">
        <v>4.82</v>
      </c>
      <c r="I33" s="2">
        <v>10.15</v>
      </c>
      <c r="J33" s="2">
        <v>10.130000000000001</v>
      </c>
      <c r="K33" s="2">
        <v>10.130000000000001</v>
      </c>
      <c r="L33" s="2"/>
      <c r="M33" s="2"/>
      <c r="O33" s="1">
        <v>34803</v>
      </c>
      <c r="P33" s="1">
        <v>564344</v>
      </c>
      <c r="R33" s="1">
        <v>2679</v>
      </c>
      <c r="S33" s="1">
        <v>1337</v>
      </c>
      <c r="T33" s="1">
        <f>O33/R33</f>
        <v>12.991041433370661</v>
      </c>
      <c r="U33" s="1">
        <f>P33/R33</f>
        <v>210.65472191116089</v>
      </c>
      <c r="V33" s="1">
        <f>ROUND(O33/P33*100,2)</f>
        <v>6.17</v>
      </c>
      <c r="W33" s="27">
        <f>V33-E33</f>
        <v>0</v>
      </c>
    </row>
    <row r="34" spans="1:23">
      <c r="A34" s="1">
        <v>2018</v>
      </c>
      <c r="B34" s="1" t="s">
        <v>85</v>
      </c>
      <c r="C34" s="1" t="s">
        <v>86</v>
      </c>
      <c r="D34" s="2">
        <v>5.44</v>
      </c>
      <c r="E34" s="2">
        <v>5.54</v>
      </c>
      <c r="F34" s="2">
        <v>7.0000000000000007E-2</v>
      </c>
      <c r="G34" s="2">
        <v>-0.17</v>
      </c>
      <c r="H34" s="2">
        <v>4.82</v>
      </c>
      <c r="I34" s="2">
        <v>10.26</v>
      </c>
      <c r="J34" s="2">
        <v>10.220000000000001</v>
      </c>
      <c r="K34" s="2">
        <v>10.220000000000001</v>
      </c>
      <c r="L34" s="2"/>
      <c r="M34" s="2"/>
      <c r="O34" s="1">
        <v>96301</v>
      </c>
      <c r="P34" s="1">
        <v>1737041</v>
      </c>
      <c r="R34" s="1">
        <v>7637</v>
      </c>
      <c r="S34" s="1">
        <v>3593</v>
      </c>
      <c r="T34" s="1">
        <f>O34/R34</f>
        <v>12.609794421893413</v>
      </c>
      <c r="U34" s="1">
        <f>P34/R34</f>
        <v>227.45070053686001</v>
      </c>
      <c r="V34" s="1">
        <f>ROUND(O34/P34*100,2)</f>
        <v>5.54</v>
      </c>
      <c r="W34" s="27">
        <f>V34-E34</f>
        <v>0</v>
      </c>
    </row>
    <row r="35" spans="1:23">
      <c r="A35" s="1">
        <v>2018</v>
      </c>
      <c r="B35" s="1" t="s">
        <v>87</v>
      </c>
      <c r="C35" s="1" t="s">
        <v>88</v>
      </c>
      <c r="D35" s="2">
        <v>5.21</v>
      </c>
      <c r="E35" s="2">
        <v>5.28</v>
      </c>
      <c r="F35" s="2">
        <v>0.03</v>
      </c>
      <c r="G35" s="2">
        <v>-0.1</v>
      </c>
      <c r="H35" s="2">
        <v>4.82</v>
      </c>
      <c r="I35" s="2">
        <v>10.029999999999999</v>
      </c>
      <c r="J35" s="2">
        <v>10.029999999999999</v>
      </c>
      <c r="K35" s="2">
        <v>10</v>
      </c>
      <c r="L35" s="2"/>
      <c r="M35" s="2"/>
      <c r="O35" s="1">
        <v>139600</v>
      </c>
      <c r="P35" s="1">
        <v>2643341</v>
      </c>
      <c r="R35" s="1">
        <v>11463</v>
      </c>
      <c r="S35" s="1">
        <v>5543</v>
      </c>
      <c r="T35" s="1">
        <f>O35/R35</f>
        <v>12.178312832591818</v>
      </c>
      <c r="U35" s="1">
        <f>P35/R35</f>
        <v>230.59766204309517</v>
      </c>
      <c r="V35" s="1">
        <f>ROUND(O35/P35*100,2)</f>
        <v>5.28</v>
      </c>
      <c r="W35" s="27">
        <f>V35-E35</f>
        <v>0</v>
      </c>
    </row>
    <row r="36" spans="1:23">
      <c r="A36" s="1">
        <v>2018</v>
      </c>
      <c r="B36" s="1" t="s">
        <v>89</v>
      </c>
      <c r="C36" s="1" t="s">
        <v>90</v>
      </c>
      <c r="D36" s="2">
        <v>5.41</v>
      </c>
      <c r="E36" s="2">
        <v>5.72</v>
      </c>
      <c r="F36" s="2">
        <v>-0.18</v>
      </c>
      <c r="G36" s="2">
        <v>-0.13</v>
      </c>
      <c r="H36" s="2">
        <v>4.82</v>
      </c>
      <c r="I36" s="2">
        <v>10.23</v>
      </c>
      <c r="J36" s="2">
        <v>10.199999999999999</v>
      </c>
      <c r="K36" s="2">
        <v>10.210000000000001</v>
      </c>
      <c r="L36" s="2"/>
      <c r="M36" s="2"/>
      <c r="O36" s="1">
        <v>60498</v>
      </c>
      <c r="P36" s="1">
        <v>1057357</v>
      </c>
      <c r="R36" s="1">
        <v>4611</v>
      </c>
      <c r="S36" s="1">
        <v>2347</v>
      </c>
      <c r="T36" s="1">
        <f>O36/R36</f>
        <v>13.120364346128822</v>
      </c>
      <c r="U36" s="1">
        <f>P36/R36</f>
        <v>229.31186293645629</v>
      </c>
      <c r="V36" s="1">
        <f>ROUND(O36/P36*100,2)</f>
        <v>5.72</v>
      </c>
      <c r="W36" s="27">
        <f>V36-E36</f>
        <v>0</v>
      </c>
    </row>
    <row r="37" spans="1:23">
      <c r="A37" s="1">
        <v>2018</v>
      </c>
      <c r="B37" s="1" t="s">
        <v>91</v>
      </c>
      <c r="C37" s="1" t="s">
        <v>92</v>
      </c>
      <c r="D37" s="2">
        <v>5.52</v>
      </c>
      <c r="E37" s="2">
        <v>6</v>
      </c>
      <c r="F37" s="2">
        <v>-0.08</v>
      </c>
      <c r="G37" s="2">
        <v>-0.4</v>
      </c>
      <c r="H37" s="2">
        <v>4.82</v>
      </c>
      <c r="I37" s="2">
        <v>10.34</v>
      </c>
      <c r="J37" s="2">
        <v>10.29</v>
      </c>
      <c r="K37" s="2">
        <v>10.3</v>
      </c>
      <c r="L37" s="2"/>
      <c r="M37" s="2"/>
      <c r="O37" s="1">
        <v>37335</v>
      </c>
      <c r="P37" s="1">
        <v>622562</v>
      </c>
      <c r="R37" s="1">
        <v>2852</v>
      </c>
      <c r="S37" s="1">
        <v>1383</v>
      </c>
      <c r="T37" s="1">
        <f>O37/R37</f>
        <v>13.090813464235625</v>
      </c>
      <c r="U37" s="1">
        <f>P37/R37</f>
        <v>218.28962131837307</v>
      </c>
      <c r="V37" s="1">
        <f>ROUND(O37/P37*100,2)</f>
        <v>6</v>
      </c>
      <c r="W37" s="27">
        <f>V37-E37</f>
        <v>0</v>
      </c>
    </row>
    <row r="38" spans="1:23">
      <c r="A38" s="1">
        <v>2018</v>
      </c>
      <c r="B38" s="1" t="s">
        <v>93</v>
      </c>
      <c r="C38" s="1" t="s">
        <v>94</v>
      </c>
      <c r="D38" s="2">
        <v>5.56</v>
      </c>
      <c r="E38" s="2">
        <v>5.87</v>
      </c>
      <c r="F38" s="2">
        <v>-0.04</v>
      </c>
      <c r="G38" s="2">
        <v>-0.27</v>
      </c>
      <c r="H38" s="2">
        <v>4.82</v>
      </c>
      <c r="I38" s="2">
        <v>10.38</v>
      </c>
      <c r="J38" s="2">
        <v>10.33</v>
      </c>
      <c r="K38" s="2">
        <v>10.31</v>
      </c>
      <c r="L38" s="2"/>
      <c r="M38" s="2"/>
      <c r="O38" s="1">
        <v>53955</v>
      </c>
      <c r="P38" s="1">
        <v>919740</v>
      </c>
      <c r="R38" s="1">
        <v>4115</v>
      </c>
      <c r="S38" s="1">
        <v>1995</v>
      </c>
      <c r="T38" s="1">
        <f>O38/R38</f>
        <v>13.111786148238153</v>
      </c>
      <c r="U38" s="1">
        <f>P38/R38</f>
        <v>223.50911300121507</v>
      </c>
      <c r="V38" s="1">
        <f>ROUND(O38/P38*100,2)</f>
        <v>5.87</v>
      </c>
      <c r="W38" s="27">
        <f>V38-E38</f>
        <v>0</v>
      </c>
    </row>
    <row r="39" spans="1:23">
      <c r="A39" s="1">
        <v>2018</v>
      </c>
      <c r="B39" s="1" t="s">
        <v>95</v>
      </c>
      <c r="C39" s="1" t="s">
        <v>96</v>
      </c>
      <c r="D39" s="2">
        <v>5.26</v>
      </c>
      <c r="E39" s="2">
        <v>5.7</v>
      </c>
      <c r="F39" s="2">
        <v>0.05</v>
      </c>
      <c r="G39" s="2">
        <v>-0.49</v>
      </c>
      <c r="H39" s="2">
        <v>4.82</v>
      </c>
      <c r="I39" s="2">
        <v>10.08</v>
      </c>
      <c r="J39" s="2">
        <v>10.07</v>
      </c>
      <c r="K39" s="2">
        <v>10.02</v>
      </c>
      <c r="L39" s="2"/>
      <c r="M39" s="2"/>
      <c r="O39" s="1">
        <v>68751</v>
      </c>
      <c r="P39" s="1">
        <v>1206586</v>
      </c>
      <c r="R39" s="1">
        <v>5614</v>
      </c>
      <c r="S39" s="1">
        <v>2689</v>
      </c>
      <c r="T39" s="1">
        <f>O39/R39</f>
        <v>12.246348414677591</v>
      </c>
      <c r="U39" s="1">
        <f>P39/R39</f>
        <v>214.9244745279658</v>
      </c>
      <c r="V39" s="1">
        <f>ROUND(O39/P39*100,2)</f>
        <v>5.7</v>
      </c>
      <c r="W39" s="27">
        <f>V39-E39</f>
        <v>0</v>
      </c>
    </row>
    <row r="40" spans="1:23">
      <c r="A40" s="1">
        <v>2018</v>
      </c>
      <c r="B40" s="1" t="s">
        <v>97</v>
      </c>
      <c r="C40" s="1" t="s">
        <v>98</v>
      </c>
      <c r="D40" s="2">
        <v>5.43</v>
      </c>
      <c r="E40" s="2">
        <v>5.97</v>
      </c>
      <c r="F40" s="2">
        <v>-0.11</v>
      </c>
      <c r="G40" s="2">
        <v>-0.43</v>
      </c>
      <c r="H40" s="2">
        <v>4.82</v>
      </c>
      <c r="I40" s="2">
        <v>10.26</v>
      </c>
      <c r="J40" s="2">
        <v>10.220000000000001</v>
      </c>
      <c r="K40" s="2">
        <v>10.210000000000001</v>
      </c>
      <c r="L40" s="2"/>
      <c r="M40" s="2"/>
      <c r="O40" s="1">
        <v>35256</v>
      </c>
      <c r="P40" s="1">
        <v>590069</v>
      </c>
      <c r="R40" s="1">
        <v>2717</v>
      </c>
      <c r="S40" s="1">
        <v>1363</v>
      </c>
      <c r="T40" s="1">
        <f>O40/R40</f>
        <v>12.976076555023923</v>
      </c>
      <c r="U40" s="1">
        <f>P40/R40</f>
        <v>217.17666543982332</v>
      </c>
      <c r="V40" s="1">
        <f>ROUND(O40/P40*100,2)</f>
        <v>5.97</v>
      </c>
      <c r="W40" s="27">
        <f>V40-E40</f>
        <v>0</v>
      </c>
    </row>
    <row r="41" spans="1:23">
      <c r="A41" s="1">
        <v>2018</v>
      </c>
      <c r="B41" s="1" t="s">
        <v>99</v>
      </c>
      <c r="C41" s="1" t="s">
        <v>100</v>
      </c>
      <c r="D41" s="2">
        <v>5.49</v>
      </c>
      <c r="E41" s="2">
        <v>5.74</v>
      </c>
      <c r="F41" s="2">
        <v>0.03</v>
      </c>
      <c r="G41" s="2">
        <v>-0.28999999999999998</v>
      </c>
      <c r="H41" s="2">
        <v>4.82</v>
      </c>
      <c r="I41" s="2">
        <v>10.31</v>
      </c>
      <c r="J41" s="2">
        <v>10.27</v>
      </c>
      <c r="K41" s="2">
        <v>10.24</v>
      </c>
      <c r="L41" s="2"/>
      <c r="M41" s="2"/>
      <c r="O41" s="1">
        <v>256168</v>
      </c>
      <c r="P41" s="1">
        <v>4460578</v>
      </c>
      <c r="R41" s="1">
        <v>20027</v>
      </c>
      <c r="S41" s="1">
        <v>9380</v>
      </c>
      <c r="T41" s="1">
        <f>O41/R41</f>
        <v>12.791131971838018</v>
      </c>
      <c r="U41" s="1">
        <f>P41/R41</f>
        <v>222.72821690717532</v>
      </c>
      <c r="V41" s="1">
        <f>ROUND(O41/P41*100,2)</f>
        <v>5.74</v>
      </c>
      <c r="W41" s="27">
        <f>V41-E41</f>
        <v>0</v>
      </c>
    </row>
    <row r="42" spans="1:23">
      <c r="A42" s="1">
        <v>2018</v>
      </c>
      <c r="B42" s="1" t="s">
        <v>101</v>
      </c>
      <c r="C42" s="1" t="s">
        <v>102</v>
      </c>
      <c r="D42" s="2">
        <v>6.02</v>
      </c>
      <c r="E42" s="2">
        <v>6.92</v>
      </c>
      <c r="F42" s="2">
        <v>-0.14000000000000001</v>
      </c>
      <c r="G42" s="2">
        <v>-0.76</v>
      </c>
      <c r="H42" s="2">
        <v>4.82</v>
      </c>
      <c r="I42" s="2">
        <v>10.84</v>
      </c>
      <c r="J42" s="2">
        <v>10.73</v>
      </c>
      <c r="K42" s="2">
        <v>10.75</v>
      </c>
      <c r="L42" s="2"/>
      <c r="M42" s="2"/>
      <c r="O42" s="1">
        <v>44903</v>
      </c>
      <c r="P42" s="1">
        <v>648703</v>
      </c>
      <c r="R42" s="1">
        <v>3165</v>
      </c>
      <c r="S42" s="1">
        <v>1509</v>
      </c>
      <c r="T42" s="1">
        <f>O42/R42</f>
        <v>14.187361769352291</v>
      </c>
      <c r="U42" s="1">
        <f>P42/R42</f>
        <v>204.96145339652449</v>
      </c>
      <c r="V42" s="1">
        <f>ROUND(O42/P42*100,2)</f>
        <v>6.92</v>
      </c>
      <c r="W42" s="27">
        <f>V42-E42</f>
        <v>0</v>
      </c>
    </row>
    <row r="43" spans="1:23">
      <c r="A43" s="1">
        <v>2018</v>
      </c>
      <c r="B43" s="1" t="s">
        <v>103</v>
      </c>
      <c r="C43" s="1" t="s">
        <v>104</v>
      </c>
      <c r="D43" s="2">
        <v>5.49</v>
      </c>
      <c r="E43" s="2">
        <v>6.35</v>
      </c>
      <c r="F43" s="2">
        <v>-0.13</v>
      </c>
      <c r="G43" s="2">
        <v>-0.73</v>
      </c>
      <c r="H43" s="2">
        <v>4.82</v>
      </c>
      <c r="I43" s="2">
        <v>10.31</v>
      </c>
      <c r="J43" s="2">
        <v>10.26</v>
      </c>
      <c r="K43" s="2">
        <v>10.24</v>
      </c>
      <c r="L43" s="2"/>
      <c r="M43" s="2"/>
      <c r="O43" s="1">
        <v>64029</v>
      </c>
      <c r="P43" s="1">
        <v>1008785</v>
      </c>
      <c r="R43" s="1">
        <v>4899</v>
      </c>
      <c r="S43" s="1">
        <v>2411</v>
      </c>
      <c r="T43" s="1">
        <f>O43/R43</f>
        <v>13.069810165339865</v>
      </c>
      <c r="U43" s="1">
        <f>P43/R43</f>
        <v>205.9165135741988</v>
      </c>
      <c r="V43" s="1">
        <f>ROUND(O43/P43*100,2)</f>
        <v>6.35</v>
      </c>
      <c r="W43" s="27">
        <f>V43-E43</f>
        <v>0</v>
      </c>
    </row>
    <row r="44" spans="1:23">
      <c r="A44" s="1">
        <v>2018</v>
      </c>
      <c r="B44" s="1" t="s">
        <v>105</v>
      </c>
      <c r="C44" s="1" t="s">
        <v>106</v>
      </c>
      <c r="D44" s="2">
        <v>5.31</v>
      </c>
      <c r="E44" s="2">
        <v>5.97</v>
      </c>
      <c r="F44" s="2">
        <v>-0.02</v>
      </c>
      <c r="G44" s="2">
        <v>-0.65</v>
      </c>
      <c r="H44" s="2">
        <v>4.82</v>
      </c>
      <c r="I44" s="2">
        <v>10.130000000000001</v>
      </c>
      <c r="J44" s="2">
        <v>10.11</v>
      </c>
      <c r="K44" s="2">
        <v>10.18</v>
      </c>
      <c r="L44" s="2"/>
      <c r="M44" s="2"/>
      <c r="O44" s="1">
        <v>83645</v>
      </c>
      <c r="P44" s="1">
        <v>1399969</v>
      </c>
      <c r="R44" s="1">
        <v>6702</v>
      </c>
      <c r="S44" s="1">
        <v>3164</v>
      </c>
      <c r="T44" s="1">
        <f>O44/R44</f>
        <v>12.480602805132795</v>
      </c>
      <c r="U44" s="1">
        <f>P44/R44</f>
        <v>208.88824231572664</v>
      </c>
      <c r="V44" s="1">
        <f>ROUND(O44/P44*100,2)</f>
        <v>5.97</v>
      </c>
      <c r="W44" s="27">
        <f>V44-E44</f>
        <v>0</v>
      </c>
    </row>
    <row r="45" spans="1:23">
      <c r="A45" s="1">
        <v>2018</v>
      </c>
      <c r="B45" s="1" t="s">
        <v>107</v>
      </c>
      <c r="C45" s="1" t="s">
        <v>108</v>
      </c>
      <c r="D45" s="2">
        <v>5.44</v>
      </c>
      <c r="E45" s="2">
        <v>6.21</v>
      </c>
      <c r="F45" s="2">
        <v>-0.14000000000000001</v>
      </c>
      <c r="G45" s="2">
        <v>-0.63</v>
      </c>
      <c r="H45" s="2">
        <v>4.82</v>
      </c>
      <c r="I45" s="2">
        <v>10.26</v>
      </c>
      <c r="J45" s="2">
        <v>10.220000000000001</v>
      </c>
      <c r="K45" s="2">
        <v>10.210000000000001</v>
      </c>
      <c r="L45" s="2"/>
      <c r="M45" s="2"/>
      <c r="O45" s="1">
        <v>58815</v>
      </c>
      <c r="P45" s="1">
        <v>946646</v>
      </c>
      <c r="R45" s="1">
        <v>4515</v>
      </c>
      <c r="S45" s="1">
        <v>2226</v>
      </c>
      <c r="T45" s="1">
        <f>O45/R45</f>
        <v>13.0265780730897</v>
      </c>
      <c r="U45" s="1">
        <f>P45/R45</f>
        <v>209.66688815060908</v>
      </c>
      <c r="V45" s="1">
        <f>ROUND(O45/P45*100,2)</f>
        <v>6.21</v>
      </c>
      <c r="W45" s="27">
        <f>V45-E45</f>
        <v>0</v>
      </c>
    </row>
    <row r="46" spans="1:23">
      <c r="A46" s="1">
        <v>2018</v>
      </c>
      <c r="B46" s="1" t="s">
        <v>109</v>
      </c>
      <c r="C46" s="1" t="s">
        <v>110</v>
      </c>
      <c r="D46" s="2">
        <v>5.18</v>
      </c>
      <c r="E46" s="2">
        <v>6.07</v>
      </c>
      <c r="F46" s="2">
        <v>-0.04</v>
      </c>
      <c r="G46" s="2">
        <v>-0.85</v>
      </c>
      <c r="H46" s="2">
        <v>4.82</v>
      </c>
      <c r="I46" s="2">
        <v>10</v>
      </c>
      <c r="J46" s="2">
        <v>10</v>
      </c>
      <c r="K46" s="2">
        <v>10.02</v>
      </c>
      <c r="L46" s="2"/>
      <c r="M46" s="2"/>
      <c r="O46" s="1">
        <v>52275</v>
      </c>
      <c r="P46" s="1">
        <v>861360</v>
      </c>
      <c r="R46" s="1">
        <v>4263</v>
      </c>
      <c r="S46" s="1">
        <v>2022</v>
      </c>
      <c r="T46" s="1">
        <f>O46/R46</f>
        <v>12.262491203377904</v>
      </c>
      <c r="U46" s="1">
        <f>P46/R46</f>
        <v>202.054890921886</v>
      </c>
      <c r="V46" s="1">
        <f>ROUND(O46/P46*100,2)</f>
        <v>6.07</v>
      </c>
      <c r="W46" s="27">
        <f>V46-E46</f>
        <v>0</v>
      </c>
    </row>
    <row r="47" spans="1:23">
      <c r="A47" s="1">
        <v>2018</v>
      </c>
      <c r="B47" s="1" t="s">
        <v>111</v>
      </c>
      <c r="C47" s="1" t="s">
        <v>112</v>
      </c>
      <c r="D47" s="2">
        <v>5.36</v>
      </c>
      <c r="E47" s="2">
        <v>6.23</v>
      </c>
      <c r="F47" s="2">
        <v>-0.01</v>
      </c>
      <c r="G47" s="2">
        <v>-0.86</v>
      </c>
      <c r="H47" s="2">
        <v>4.82</v>
      </c>
      <c r="I47" s="2">
        <v>10.18</v>
      </c>
      <c r="J47" s="2">
        <v>10.16</v>
      </c>
      <c r="K47" s="2">
        <v>10.16</v>
      </c>
      <c r="L47" s="2"/>
      <c r="M47" s="2"/>
      <c r="O47" s="1">
        <v>81971</v>
      </c>
      <c r="P47" s="1">
        <v>1314720</v>
      </c>
      <c r="R47" s="1">
        <v>6525</v>
      </c>
      <c r="S47" s="1">
        <v>3042</v>
      </c>
      <c r="T47" s="1">
        <f>O47/R47</f>
        <v>12.562605363984675</v>
      </c>
      <c r="U47" s="1">
        <f>P47/R47</f>
        <v>201.48965517241379</v>
      </c>
      <c r="V47" s="1">
        <f>ROUND(O47/P47*100,2)</f>
        <v>6.23</v>
      </c>
      <c r="W47" s="27">
        <f>V47-E47</f>
        <v>0</v>
      </c>
    </row>
    <row r="48" spans="1:23">
      <c r="A48" s="1">
        <v>2018</v>
      </c>
      <c r="B48" s="1" t="s">
        <v>113</v>
      </c>
      <c r="C48" s="1" t="s">
        <v>114</v>
      </c>
      <c r="D48" s="2">
        <v>5.12</v>
      </c>
      <c r="E48" s="2">
        <v>6.45</v>
      </c>
      <c r="F48" s="2">
        <v>0.34</v>
      </c>
      <c r="G48" s="2">
        <v>-1.67</v>
      </c>
      <c r="H48" s="2">
        <v>4.82</v>
      </c>
      <c r="I48" s="2">
        <v>9.94</v>
      </c>
      <c r="J48" s="2">
        <v>9.9499999999999993</v>
      </c>
      <c r="K48" s="2">
        <v>9.9499999999999993</v>
      </c>
      <c r="L48" s="2"/>
      <c r="M48" s="2"/>
      <c r="O48" s="1">
        <v>69546</v>
      </c>
      <c r="P48" s="1">
        <v>1078190</v>
      </c>
      <c r="R48" s="1">
        <v>6063</v>
      </c>
      <c r="S48" s="1">
        <v>2555</v>
      </c>
      <c r="T48" s="1">
        <f>O48/R48</f>
        <v>11.470559129143988</v>
      </c>
      <c r="U48" s="1">
        <f>P48/R48</f>
        <v>177.83110671284842</v>
      </c>
      <c r="V48" s="1">
        <f>ROUND(O48/P48*100,2)</f>
        <v>6.45</v>
      </c>
      <c r="W48" s="27">
        <f>V48-E48</f>
        <v>0</v>
      </c>
    </row>
    <row r="49" spans="1:23">
      <c r="A49" s="1">
        <v>2019</v>
      </c>
      <c r="B49" s="1" t="s">
        <v>21</v>
      </c>
      <c r="C49" s="1" t="s">
        <v>22</v>
      </c>
      <c r="D49" s="2">
        <v>5.57</v>
      </c>
      <c r="E49" s="2">
        <v>6.17</v>
      </c>
      <c r="F49" s="2">
        <v>-0.26</v>
      </c>
      <c r="G49" s="2">
        <v>-0.34</v>
      </c>
      <c r="H49" s="2">
        <v>4.82</v>
      </c>
      <c r="I49" s="2">
        <v>10.39</v>
      </c>
      <c r="J49" s="2">
        <v>10.33</v>
      </c>
      <c r="K49" s="2">
        <v>10.31</v>
      </c>
      <c r="L49" s="2"/>
      <c r="M49" s="2"/>
      <c r="O49" s="1">
        <v>259449</v>
      </c>
      <c r="P49" s="1">
        <v>4207239</v>
      </c>
      <c r="R49" s="1">
        <v>19077</v>
      </c>
      <c r="S49" s="1">
        <v>10055</v>
      </c>
      <c r="T49" s="1">
        <f>O49/R49</f>
        <v>13.600094354458248</v>
      </c>
      <c r="U49" s="1">
        <f>P49/R49</f>
        <v>220.53986475860984</v>
      </c>
      <c r="V49" s="1">
        <f>ROUND(O49/P49*100,2)</f>
        <v>6.17</v>
      </c>
      <c r="W49" s="27">
        <f>V49-E49</f>
        <v>0</v>
      </c>
    </row>
    <row r="50" spans="1:23">
      <c r="A50" s="1">
        <v>2019</v>
      </c>
      <c r="B50" s="1" t="s">
        <v>23</v>
      </c>
      <c r="C50" s="1" t="s">
        <v>24</v>
      </c>
      <c r="D50" s="2">
        <v>5.07</v>
      </c>
      <c r="E50" s="2">
        <v>6.13</v>
      </c>
      <c r="F50" s="2">
        <v>-0.17</v>
      </c>
      <c r="G50" s="2">
        <v>-0.9</v>
      </c>
      <c r="H50" s="2">
        <v>4.82</v>
      </c>
      <c r="I50" s="2">
        <v>9.89</v>
      </c>
      <c r="J50" s="2">
        <v>9.9</v>
      </c>
      <c r="K50" s="2">
        <v>9.8699999999999992</v>
      </c>
      <c r="L50" s="2"/>
      <c r="M50" s="2"/>
      <c r="O50" s="1">
        <v>58124</v>
      </c>
      <c r="P50" s="1">
        <v>947834</v>
      </c>
      <c r="R50" s="1">
        <v>4731</v>
      </c>
      <c r="S50" s="1">
        <v>2442</v>
      </c>
      <c r="T50" s="1">
        <f>O50/R50</f>
        <v>12.285774677658001</v>
      </c>
      <c r="U50" s="1">
        <f>P50/R50</f>
        <v>200.3453815261044</v>
      </c>
      <c r="V50" s="1">
        <f>ROUND(O50/P50*100,2)</f>
        <v>6.13</v>
      </c>
      <c r="W50" s="27">
        <f>V50-E50</f>
        <v>0</v>
      </c>
    </row>
    <row r="51" spans="1:23">
      <c r="A51" s="1">
        <v>2019</v>
      </c>
      <c r="B51" s="1" t="s">
        <v>25</v>
      </c>
      <c r="C51" s="1" t="s">
        <v>26</v>
      </c>
      <c r="D51" s="2">
        <v>4.9400000000000004</v>
      </c>
      <c r="E51" s="2">
        <v>5.76</v>
      </c>
      <c r="F51" s="2">
        <v>-0.22</v>
      </c>
      <c r="G51" s="2">
        <v>-0.6</v>
      </c>
      <c r="H51" s="2">
        <v>4.82</v>
      </c>
      <c r="I51" s="2">
        <v>9.76</v>
      </c>
      <c r="J51" s="2">
        <v>9.7899999999999991</v>
      </c>
      <c r="K51" s="2">
        <v>9.8000000000000007</v>
      </c>
      <c r="L51" s="2"/>
      <c r="M51" s="2"/>
      <c r="O51" s="1">
        <v>53898</v>
      </c>
      <c r="P51" s="1">
        <v>936041</v>
      </c>
      <c r="R51" s="1">
        <v>4440</v>
      </c>
      <c r="S51" s="1">
        <v>2276</v>
      </c>
      <c r="T51" s="1">
        <f>O51/R51</f>
        <v>12.139189189189189</v>
      </c>
      <c r="U51" s="1">
        <f>P51/R51</f>
        <v>210.82004504504505</v>
      </c>
      <c r="V51" s="1">
        <f>ROUND(O51/P51*100,2)</f>
        <v>5.76</v>
      </c>
      <c r="W51" s="27">
        <f>V51-E51</f>
        <v>0</v>
      </c>
    </row>
    <row r="52" spans="1:23">
      <c r="A52" s="1">
        <v>2019</v>
      </c>
      <c r="B52" s="1" t="s">
        <v>27</v>
      </c>
      <c r="C52" s="1" t="s">
        <v>28</v>
      </c>
      <c r="D52" s="2">
        <v>5.24</v>
      </c>
      <c r="E52" s="2">
        <v>5.63</v>
      </c>
      <c r="F52" s="2">
        <v>-0.12</v>
      </c>
      <c r="G52" s="2">
        <v>-0.28000000000000003</v>
      </c>
      <c r="H52" s="2">
        <v>4.82</v>
      </c>
      <c r="I52" s="2">
        <v>10.06</v>
      </c>
      <c r="J52" s="2">
        <v>10.050000000000001</v>
      </c>
      <c r="K52" s="2">
        <v>10.1</v>
      </c>
      <c r="L52" s="2"/>
      <c r="M52" s="2"/>
      <c r="O52" s="1">
        <v>98900</v>
      </c>
      <c r="P52" s="1">
        <v>1756830</v>
      </c>
      <c r="R52" s="1">
        <v>7869</v>
      </c>
      <c r="S52" s="1">
        <v>3869</v>
      </c>
      <c r="T52" s="1">
        <f>O52/R52</f>
        <v>12.568306010928962</v>
      </c>
      <c r="U52" s="1">
        <f>P52/R52</f>
        <v>223.25962638200534</v>
      </c>
      <c r="V52" s="1">
        <f>ROUND(O52/P52*100,2)</f>
        <v>5.63</v>
      </c>
      <c r="W52" s="27">
        <f>V52-E52</f>
        <v>0</v>
      </c>
    </row>
    <row r="53" spans="1:23">
      <c r="A53" s="1">
        <v>2019</v>
      </c>
      <c r="B53" s="1" t="s">
        <v>29</v>
      </c>
      <c r="C53" s="1" t="s">
        <v>30</v>
      </c>
      <c r="D53" s="2">
        <v>5.38</v>
      </c>
      <c r="E53" s="2">
        <v>6.73</v>
      </c>
      <c r="F53" s="2">
        <v>-0.47</v>
      </c>
      <c r="G53" s="2">
        <v>-0.89</v>
      </c>
      <c r="H53" s="2">
        <v>4.82</v>
      </c>
      <c r="I53" s="2">
        <v>10.199999999999999</v>
      </c>
      <c r="J53" s="2">
        <v>10.17</v>
      </c>
      <c r="K53" s="2">
        <v>10.14</v>
      </c>
      <c r="L53" s="2"/>
      <c r="M53" s="2"/>
      <c r="O53" s="1">
        <v>47897</v>
      </c>
      <c r="P53" s="1">
        <v>711193</v>
      </c>
      <c r="R53" s="1">
        <v>3542</v>
      </c>
      <c r="S53" s="1">
        <v>1907</v>
      </c>
      <c r="T53" s="1">
        <f>O53/R53</f>
        <v>13.522586109542631</v>
      </c>
      <c r="U53" s="1">
        <f>P53/R53</f>
        <v>200.78853754940712</v>
      </c>
      <c r="V53" s="1">
        <f>ROUND(O53/P53*100,2)</f>
        <v>6.73</v>
      </c>
      <c r="W53" s="27">
        <f>V53-E53</f>
        <v>0</v>
      </c>
    </row>
    <row r="54" spans="1:23">
      <c r="A54" s="1">
        <v>2019</v>
      </c>
      <c r="B54" s="1" t="s">
        <v>31</v>
      </c>
      <c r="C54" s="1" t="s">
        <v>32</v>
      </c>
      <c r="D54" s="2">
        <v>5.17</v>
      </c>
      <c r="E54" s="2">
        <v>5.84</v>
      </c>
      <c r="F54" s="2">
        <v>-0.19</v>
      </c>
      <c r="G54" s="2">
        <v>-0.48</v>
      </c>
      <c r="H54" s="2">
        <v>4.82</v>
      </c>
      <c r="I54" s="2">
        <v>10</v>
      </c>
      <c r="J54" s="2">
        <v>10</v>
      </c>
      <c r="K54" s="2">
        <v>10.029999999999999</v>
      </c>
      <c r="L54" s="2"/>
      <c r="M54" s="2"/>
      <c r="O54" s="1">
        <v>53452</v>
      </c>
      <c r="P54" s="1">
        <v>915113</v>
      </c>
      <c r="R54" s="1">
        <v>4252</v>
      </c>
      <c r="S54" s="1">
        <v>2132</v>
      </c>
      <c r="T54" s="1">
        <f>O54/R54</f>
        <v>12.571025399811854</v>
      </c>
      <c r="U54" s="1">
        <f>P54/R54</f>
        <v>215.21942615239888</v>
      </c>
      <c r="V54" s="1">
        <f>ROUND(O54/P54*100,2)</f>
        <v>5.84</v>
      </c>
      <c r="W54" s="27">
        <f>V54-E54</f>
        <v>0</v>
      </c>
    </row>
    <row r="55" spans="1:23">
      <c r="A55" s="1">
        <v>2019</v>
      </c>
      <c r="B55" s="1" t="s">
        <v>33</v>
      </c>
      <c r="C55" s="1" t="s">
        <v>34</v>
      </c>
      <c r="D55" s="2">
        <v>4.88</v>
      </c>
      <c r="E55" s="2">
        <v>5.15</v>
      </c>
      <c r="F55" s="2">
        <v>-0.08</v>
      </c>
      <c r="G55" s="2">
        <v>-0.19</v>
      </c>
      <c r="H55" s="2">
        <v>4.82</v>
      </c>
      <c r="I55" s="2">
        <v>9.6999999999999993</v>
      </c>
      <c r="J55" s="2">
        <v>9.74</v>
      </c>
      <c r="K55" s="2">
        <v>9.74</v>
      </c>
      <c r="L55" s="2"/>
      <c r="M55" s="2"/>
      <c r="O55" s="1">
        <v>83712</v>
      </c>
      <c r="P55" s="1">
        <v>1626193</v>
      </c>
      <c r="R55" s="1">
        <v>7163</v>
      </c>
      <c r="S55" s="1">
        <v>3497</v>
      </c>
      <c r="T55" s="1">
        <f>O55/R55</f>
        <v>11.686723439899483</v>
      </c>
      <c r="U55" s="1">
        <f>P55/R55</f>
        <v>227.0268044115594</v>
      </c>
      <c r="V55" s="1">
        <f>ROUND(O55/P55*100,2)</f>
        <v>5.15</v>
      </c>
      <c r="W55" s="27">
        <f>V55-E55</f>
        <v>0</v>
      </c>
    </row>
    <row r="56" spans="1:23">
      <c r="A56" s="1">
        <v>2019</v>
      </c>
      <c r="B56" s="1" t="s">
        <v>35</v>
      </c>
      <c r="C56" s="1" t="s">
        <v>36</v>
      </c>
      <c r="D56" s="2">
        <v>4.9800000000000004</v>
      </c>
      <c r="E56" s="2">
        <v>4.88</v>
      </c>
      <c r="F56" s="2">
        <v>0.02</v>
      </c>
      <c r="G56" s="2">
        <v>0.08</v>
      </c>
      <c r="H56" s="2">
        <v>4.82</v>
      </c>
      <c r="I56" s="2">
        <v>9.8000000000000007</v>
      </c>
      <c r="J56" s="2">
        <v>9.83</v>
      </c>
      <c r="K56" s="2">
        <v>9.84</v>
      </c>
      <c r="L56" s="2"/>
      <c r="M56" s="2"/>
      <c r="O56" s="1">
        <v>85221</v>
      </c>
      <c r="P56" s="1">
        <v>1746226</v>
      </c>
      <c r="R56" s="1">
        <v>7312</v>
      </c>
      <c r="S56" s="1">
        <v>3555</v>
      </c>
      <c r="T56" s="1">
        <f>O56/R56</f>
        <v>11.654950765864333</v>
      </c>
      <c r="U56" s="1">
        <f>P56/R56</f>
        <v>238.81646608315097</v>
      </c>
      <c r="V56" s="1">
        <f>ROUND(O56/P56*100,2)</f>
        <v>4.88</v>
      </c>
      <c r="W56" s="27">
        <f>V56-E56</f>
        <v>0</v>
      </c>
    </row>
    <row r="57" spans="1:23">
      <c r="A57" s="1">
        <v>2019</v>
      </c>
      <c r="B57" s="1" t="s">
        <v>37</v>
      </c>
      <c r="C57" s="1" t="s">
        <v>38</v>
      </c>
      <c r="D57" s="2">
        <v>5.07</v>
      </c>
      <c r="E57" s="2">
        <v>5.1100000000000003</v>
      </c>
      <c r="F57" s="2">
        <v>-0.02</v>
      </c>
      <c r="G57" s="2">
        <v>-0.02</v>
      </c>
      <c r="H57" s="2">
        <v>4.82</v>
      </c>
      <c r="I57" s="2">
        <v>9.89</v>
      </c>
      <c r="J57" s="2">
        <v>9.91</v>
      </c>
      <c r="K57" s="2">
        <v>9.92</v>
      </c>
      <c r="L57" s="2"/>
      <c r="M57" s="2"/>
      <c r="O57" s="1">
        <v>66668</v>
      </c>
      <c r="P57" s="1">
        <v>1304847</v>
      </c>
      <c r="R57" s="1">
        <v>5570</v>
      </c>
      <c r="S57" s="1">
        <v>2714</v>
      </c>
      <c r="T57" s="1">
        <f>O57/R57</f>
        <v>11.969120287253142</v>
      </c>
      <c r="U57" s="1">
        <f>P57/R57</f>
        <v>234.26337522441651</v>
      </c>
      <c r="V57" s="1">
        <f>ROUND(O57/P57*100,2)</f>
        <v>5.1100000000000003</v>
      </c>
      <c r="W57" s="27">
        <f>V57-E57</f>
        <v>0</v>
      </c>
    </row>
    <row r="58" spans="1:23">
      <c r="A58" s="1">
        <v>2019</v>
      </c>
      <c r="B58" s="1" t="s">
        <v>39</v>
      </c>
      <c r="C58" s="1" t="s">
        <v>40</v>
      </c>
      <c r="D58" s="2">
        <v>5</v>
      </c>
      <c r="E58" s="2">
        <v>5.1100000000000003</v>
      </c>
      <c r="F58" s="2">
        <v>-0.04</v>
      </c>
      <c r="G58" s="2">
        <v>-7.0000000000000007E-2</v>
      </c>
      <c r="H58" s="2">
        <v>4.82</v>
      </c>
      <c r="I58" s="2">
        <v>9.82</v>
      </c>
      <c r="J58" s="2">
        <v>9.85</v>
      </c>
      <c r="K58" s="2">
        <v>9.84</v>
      </c>
      <c r="L58" s="2"/>
      <c r="M58" s="2"/>
      <c r="O58" s="1">
        <v>77418</v>
      </c>
      <c r="P58" s="1">
        <v>1516420</v>
      </c>
      <c r="R58" s="1">
        <v>6532</v>
      </c>
      <c r="S58" s="1">
        <v>3214</v>
      </c>
      <c r="T58" s="1">
        <f>O58/R58</f>
        <v>11.852112676056338</v>
      </c>
      <c r="U58" s="1">
        <f>P58/R58</f>
        <v>232.15248009797918</v>
      </c>
      <c r="V58" s="1">
        <f>ROUND(O58/P58*100,2)</f>
        <v>5.1100000000000003</v>
      </c>
      <c r="W58" s="27">
        <f>V58-E58</f>
        <v>0</v>
      </c>
    </row>
    <row r="59" spans="1:23">
      <c r="A59" s="1">
        <v>2019</v>
      </c>
      <c r="B59" s="1" t="s">
        <v>41</v>
      </c>
      <c r="C59" s="1" t="s">
        <v>42</v>
      </c>
      <c r="D59" s="2">
        <v>4.95</v>
      </c>
      <c r="E59" s="2">
        <v>4.75</v>
      </c>
      <c r="F59" s="2">
        <v>0</v>
      </c>
      <c r="G59" s="2">
        <v>0.19</v>
      </c>
      <c r="H59" s="2">
        <v>4.82</v>
      </c>
      <c r="I59" s="2">
        <v>9.77</v>
      </c>
      <c r="J59" s="2">
        <v>9.8000000000000007</v>
      </c>
      <c r="K59" s="2">
        <v>9.7899999999999991</v>
      </c>
      <c r="L59" s="2"/>
      <c r="M59" s="2"/>
      <c r="O59" s="1">
        <v>161018</v>
      </c>
      <c r="P59" s="1">
        <v>3389525</v>
      </c>
      <c r="R59" s="1">
        <v>13884</v>
      </c>
      <c r="S59" s="1">
        <v>6959</v>
      </c>
      <c r="T59" s="1">
        <f>O59/R59</f>
        <v>11.597378277153558</v>
      </c>
      <c r="U59" s="1">
        <f>P59/R59</f>
        <v>244.13173437049841</v>
      </c>
      <c r="V59" s="1">
        <f>ROUND(O59/P59*100,2)</f>
        <v>4.75</v>
      </c>
      <c r="W59" s="27">
        <f>V59-E59</f>
        <v>0</v>
      </c>
    </row>
    <row r="60" spans="1:23">
      <c r="A60" s="1">
        <v>2019</v>
      </c>
      <c r="B60" s="1" t="s">
        <v>43</v>
      </c>
      <c r="C60" s="1" t="s">
        <v>44</v>
      </c>
      <c r="D60" s="2">
        <v>4.9800000000000004</v>
      </c>
      <c r="E60" s="2">
        <v>4.8899999999999997</v>
      </c>
      <c r="F60" s="2">
        <v>-0.09</v>
      </c>
      <c r="G60" s="2">
        <v>0.18</v>
      </c>
      <c r="H60" s="2">
        <v>4.82</v>
      </c>
      <c r="I60" s="2">
        <v>9.8000000000000007</v>
      </c>
      <c r="J60" s="2">
        <v>9.83</v>
      </c>
      <c r="K60" s="2">
        <v>9.81</v>
      </c>
      <c r="L60" s="2"/>
      <c r="M60" s="2"/>
      <c r="O60" s="1">
        <v>117237</v>
      </c>
      <c r="P60" s="1">
        <v>2399607</v>
      </c>
      <c r="R60" s="1">
        <v>9850</v>
      </c>
      <c r="S60" s="1">
        <v>4950</v>
      </c>
      <c r="T60" s="1">
        <f>O60/R60</f>
        <v>11.902233502538071</v>
      </c>
      <c r="U60" s="1">
        <f>P60/R60</f>
        <v>243.61492385786801</v>
      </c>
      <c r="V60" s="1">
        <f>ROUND(O60/P60*100,2)</f>
        <v>4.8899999999999997</v>
      </c>
      <c r="W60" s="27">
        <f>V60-E60</f>
        <v>0</v>
      </c>
    </row>
    <row r="61" spans="1:23">
      <c r="A61" s="1">
        <v>2019</v>
      </c>
      <c r="B61" s="1" t="s">
        <v>45</v>
      </c>
      <c r="C61" s="1" t="s">
        <v>46</v>
      </c>
      <c r="D61" s="2">
        <v>5.0599999999999996</v>
      </c>
      <c r="E61" s="2">
        <v>4.28</v>
      </c>
      <c r="F61" s="2">
        <v>0.05</v>
      </c>
      <c r="G61" s="2">
        <v>0.72</v>
      </c>
      <c r="H61" s="2">
        <v>4.82</v>
      </c>
      <c r="I61" s="2">
        <v>9.8800000000000008</v>
      </c>
      <c r="J61" s="2">
        <v>9.89</v>
      </c>
      <c r="K61" s="2">
        <v>9.9</v>
      </c>
      <c r="L61" s="2"/>
      <c r="M61" s="2"/>
      <c r="O61" s="1">
        <v>568455</v>
      </c>
      <c r="P61" s="1">
        <v>13269708</v>
      </c>
      <c r="R61" s="1">
        <v>48582</v>
      </c>
      <c r="S61" s="1">
        <v>23516</v>
      </c>
      <c r="T61" s="1">
        <f>O61/R61</f>
        <v>11.700938619241695</v>
      </c>
      <c r="U61" s="1">
        <f>P61/R61</f>
        <v>273.14042237865874</v>
      </c>
      <c r="V61" s="1">
        <f>ROUND(O61/P61*100,2)</f>
        <v>4.28</v>
      </c>
      <c r="W61" s="27">
        <f>V61-E61</f>
        <v>0</v>
      </c>
    </row>
    <row r="62" spans="1:23">
      <c r="A62" s="1">
        <v>2019</v>
      </c>
      <c r="B62" s="1" t="s">
        <v>47</v>
      </c>
      <c r="C62" s="1" t="s">
        <v>48</v>
      </c>
      <c r="D62" s="2">
        <v>5.08</v>
      </c>
      <c r="E62" s="2">
        <v>4.6399999999999997</v>
      </c>
      <c r="F62" s="2">
        <v>-0.03</v>
      </c>
      <c r="G62" s="2">
        <v>0.47</v>
      </c>
      <c r="H62" s="2">
        <v>4.82</v>
      </c>
      <c r="I62" s="2">
        <v>9.9</v>
      </c>
      <c r="J62" s="2">
        <v>9.91</v>
      </c>
      <c r="K62" s="2">
        <v>9.91</v>
      </c>
      <c r="L62" s="2"/>
      <c r="M62" s="2"/>
      <c r="O62" s="1">
        <v>195976</v>
      </c>
      <c r="P62" s="1">
        <v>4226793</v>
      </c>
      <c r="R62" s="1">
        <v>16345</v>
      </c>
      <c r="S62" s="1">
        <v>8271</v>
      </c>
      <c r="T62" s="1">
        <f>O62/R62</f>
        <v>11.989966350565922</v>
      </c>
      <c r="U62" s="1">
        <f>P62/R62</f>
        <v>258.59853166105842</v>
      </c>
      <c r="V62" s="1">
        <f>ROUND(O62/P62*100,2)</f>
        <v>4.6399999999999997</v>
      </c>
      <c r="W62" s="27">
        <f>V62-E62</f>
        <v>0</v>
      </c>
    </row>
    <row r="63" spans="1:23">
      <c r="A63" s="1">
        <v>2019</v>
      </c>
      <c r="B63" s="1" t="s">
        <v>49</v>
      </c>
      <c r="C63" s="1" t="s">
        <v>50</v>
      </c>
      <c r="D63" s="2">
        <v>4.72</v>
      </c>
      <c r="E63" s="2">
        <v>5.15</v>
      </c>
      <c r="F63" s="2">
        <v>-0.12</v>
      </c>
      <c r="G63" s="2">
        <v>-0.32</v>
      </c>
      <c r="H63" s="2">
        <v>4.82</v>
      </c>
      <c r="I63" s="2">
        <v>9.5399999999999991</v>
      </c>
      <c r="J63" s="2">
        <v>9.6</v>
      </c>
      <c r="K63" s="2">
        <v>9.6300000000000008</v>
      </c>
      <c r="L63" s="2"/>
      <c r="M63" s="2"/>
      <c r="O63" s="1">
        <v>99791</v>
      </c>
      <c r="P63" s="1">
        <v>1938095</v>
      </c>
      <c r="R63" s="1">
        <v>8745</v>
      </c>
      <c r="S63" s="1">
        <v>4375</v>
      </c>
      <c r="T63" s="1">
        <f>O63/R63</f>
        <v>11.411206403659234</v>
      </c>
      <c r="U63" s="1">
        <f>P63/R63</f>
        <v>221.62321326472269</v>
      </c>
      <c r="V63" s="1">
        <f>ROUND(O63/P63*100,2)</f>
        <v>5.15</v>
      </c>
      <c r="W63" s="27">
        <f>V63-E63</f>
        <v>0</v>
      </c>
    </row>
    <row r="64" spans="1:23">
      <c r="A64" s="1">
        <v>2019</v>
      </c>
      <c r="B64" s="1" t="s">
        <v>51</v>
      </c>
      <c r="C64" s="1" t="s">
        <v>52</v>
      </c>
      <c r="D64" s="2">
        <v>4.8499999999999996</v>
      </c>
      <c r="E64" s="2">
        <v>4.75</v>
      </c>
      <c r="F64" s="2">
        <v>-0.08</v>
      </c>
      <c r="G64" s="2">
        <v>0.17</v>
      </c>
      <c r="H64" s="2">
        <v>4.82</v>
      </c>
      <c r="I64" s="2">
        <v>9.67</v>
      </c>
      <c r="J64" s="2">
        <v>9.7100000000000009</v>
      </c>
      <c r="K64" s="2">
        <v>9.7100000000000009</v>
      </c>
      <c r="L64" s="2"/>
      <c r="M64" s="2"/>
      <c r="O64" s="1">
        <v>50798</v>
      </c>
      <c r="P64" s="1">
        <v>1069266</v>
      </c>
      <c r="R64" s="1">
        <v>4397</v>
      </c>
      <c r="S64" s="1">
        <v>2226</v>
      </c>
      <c r="T64" s="1">
        <f>O64/R64</f>
        <v>11.552876961564703</v>
      </c>
      <c r="U64" s="1">
        <f>P64/R64</f>
        <v>243.18080509438252</v>
      </c>
      <c r="V64" s="1">
        <f>ROUND(O64/P64*100,2)</f>
        <v>4.75</v>
      </c>
      <c r="W64" s="27">
        <f>V64-E64</f>
        <v>0</v>
      </c>
    </row>
    <row r="65" spans="1:23">
      <c r="A65" s="1">
        <v>2019</v>
      </c>
      <c r="B65" s="1" t="s">
        <v>53</v>
      </c>
      <c r="C65" s="1" t="s">
        <v>54</v>
      </c>
      <c r="D65" s="2">
        <v>5.19</v>
      </c>
      <c r="E65" s="2">
        <v>5.17</v>
      </c>
      <c r="F65" s="2">
        <v>-0.02</v>
      </c>
      <c r="G65" s="2">
        <v>0.03</v>
      </c>
      <c r="H65" s="2">
        <v>4.82</v>
      </c>
      <c r="I65" s="2">
        <v>10.01</v>
      </c>
      <c r="J65" s="2">
        <v>10.01</v>
      </c>
      <c r="K65" s="2">
        <v>9.99</v>
      </c>
      <c r="L65" s="2"/>
      <c r="M65" s="2"/>
      <c r="O65" s="1">
        <v>57974</v>
      </c>
      <c r="P65" s="1">
        <v>1121303</v>
      </c>
      <c r="R65" s="1">
        <v>4737</v>
      </c>
      <c r="S65" s="1">
        <v>2320</v>
      </c>
      <c r="T65" s="1">
        <f>O65/R65</f>
        <v>12.238547603968756</v>
      </c>
      <c r="U65" s="1">
        <f>P65/R65</f>
        <v>236.7116318344944</v>
      </c>
      <c r="V65" s="1">
        <f>ROUND(O65/P65*100,2)</f>
        <v>5.17</v>
      </c>
      <c r="W65" s="27">
        <f>V65-E65</f>
        <v>0</v>
      </c>
    </row>
    <row r="66" spans="1:23">
      <c r="A66" s="1">
        <v>2019</v>
      </c>
      <c r="B66" s="1" t="s">
        <v>55</v>
      </c>
      <c r="C66" s="1" t="s">
        <v>56</v>
      </c>
      <c r="D66" s="2">
        <v>5.08</v>
      </c>
      <c r="E66" s="2">
        <v>5.21</v>
      </c>
      <c r="F66" s="2">
        <v>-0.09</v>
      </c>
      <c r="G66" s="2">
        <v>-0.05</v>
      </c>
      <c r="H66" s="2">
        <v>4.82</v>
      </c>
      <c r="I66" s="2">
        <v>9.9</v>
      </c>
      <c r="J66" s="2">
        <v>9.91</v>
      </c>
      <c r="K66" s="2">
        <v>9.8800000000000008</v>
      </c>
      <c r="L66" s="2"/>
      <c r="M66" s="2"/>
      <c r="O66" s="1">
        <v>37879</v>
      </c>
      <c r="P66" s="1">
        <v>726694</v>
      </c>
      <c r="R66" s="1">
        <v>3118</v>
      </c>
      <c r="S66" s="1">
        <v>1531</v>
      </c>
      <c r="T66" s="1">
        <f>O66/R66</f>
        <v>12.148492623476587</v>
      </c>
      <c r="U66" s="1">
        <f>P66/R66</f>
        <v>233.06414368184733</v>
      </c>
      <c r="V66" s="1">
        <f>ROUND(O66/P66*100,2)</f>
        <v>5.21</v>
      </c>
      <c r="W66" s="27">
        <f>V66-E66</f>
        <v>0</v>
      </c>
    </row>
    <row r="67" spans="1:23">
      <c r="A67" s="1">
        <v>2019</v>
      </c>
      <c r="B67" s="1" t="s">
        <v>57</v>
      </c>
      <c r="C67" s="1" t="s">
        <v>58</v>
      </c>
      <c r="D67" s="2">
        <v>5.0999999999999996</v>
      </c>
      <c r="E67" s="2">
        <v>5.36</v>
      </c>
      <c r="F67" s="2">
        <v>-0.1</v>
      </c>
      <c r="G67" s="2">
        <v>-0.17</v>
      </c>
      <c r="H67" s="2">
        <v>4.82</v>
      </c>
      <c r="I67" s="2">
        <v>9.92</v>
      </c>
      <c r="J67" s="2">
        <v>9.93</v>
      </c>
      <c r="K67" s="2">
        <v>9.9</v>
      </c>
      <c r="L67" s="2"/>
      <c r="M67" s="2"/>
      <c r="O67" s="1">
        <v>32717</v>
      </c>
      <c r="P67" s="1">
        <v>609899</v>
      </c>
      <c r="R67" s="1">
        <v>2678</v>
      </c>
      <c r="S67" s="1">
        <v>1336</v>
      </c>
      <c r="T67" s="1">
        <f>O67/R67</f>
        <v>12.216952949962659</v>
      </c>
      <c r="U67" s="1">
        <f>P67/R67</f>
        <v>227.74421209858104</v>
      </c>
      <c r="V67" s="1">
        <f>ROUND(O67/P67*100,2)</f>
        <v>5.36</v>
      </c>
      <c r="W67" s="27">
        <f>V67-E67</f>
        <v>0</v>
      </c>
    </row>
    <row r="68" spans="1:23">
      <c r="A68" s="1">
        <v>2019</v>
      </c>
      <c r="B68" s="1" t="s">
        <v>59</v>
      </c>
      <c r="C68" s="1" t="s">
        <v>60</v>
      </c>
      <c r="D68" s="2">
        <v>4.79</v>
      </c>
      <c r="E68" s="2">
        <v>5.03</v>
      </c>
      <c r="F68" s="2">
        <v>-0.06</v>
      </c>
      <c r="G68" s="2">
        <v>-0.19</v>
      </c>
      <c r="H68" s="2">
        <v>4.82</v>
      </c>
      <c r="I68" s="2">
        <v>9.61</v>
      </c>
      <c r="J68" s="2">
        <v>9.66</v>
      </c>
      <c r="K68" s="2">
        <v>9.69</v>
      </c>
      <c r="L68" s="2"/>
      <c r="M68" s="2"/>
      <c r="O68" s="1">
        <v>78751</v>
      </c>
      <c r="P68" s="1">
        <v>1564346</v>
      </c>
      <c r="R68" s="1">
        <v>6896</v>
      </c>
      <c r="S68" s="1">
        <v>3415</v>
      </c>
      <c r="T68" s="1">
        <f>O68/R68</f>
        <v>11.419808584686775</v>
      </c>
      <c r="U68" s="1">
        <f>P68/R68</f>
        <v>226.84831786542924</v>
      </c>
      <c r="V68" s="1">
        <f>ROUND(O68/P68*100,2)</f>
        <v>5.03</v>
      </c>
      <c r="W68" s="27">
        <f>V68-E68</f>
        <v>0</v>
      </c>
    </row>
    <row r="69" spans="1:23">
      <c r="A69" s="1">
        <v>2019</v>
      </c>
      <c r="B69" s="1" t="s">
        <v>61</v>
      </c>
      <c r="C69" s="1" t="s">
        <v>62</v>
      </c>
      <c r="D69" s="2">
        <v>5.05</v>
      </c>
      <c r="E69" s="2">
        <v>5.07</v>
      </c>
      <c r="F69" s="2">
        <v>0.03</v>
      </c>
      <c r="G69" s="2">
        <v>-0.05</v>
      </c>
      <c r="H69" s="2">
        <v>4.82</v>
      </c>
      <c r="I69" s="2">
        <v>9.8699999999999992</v>
      </c>
      <c r="J69" s="2">
        <v>9.89</v>
      </c>
      <c r="K69" s="2">
        <v>9.86</v>
      </c>
      <c r="L69" s="2"/>
      <c r="M69" s="2"/>
      <c r="O69" s="1">
        <v>94416</v>
      </c>
      <c r="P69" s="1">
        <v>1862760</v>
      </c>
      <c r="R69" s="1">
        <v>7993</v>
      </c>
      <c r="S69" s="1">
        <v>3897</v>
      </c>
      <c r="T69" s="1">
        <f>O69/R69</f>
        <v>11.812335793819592</v>
      </c>
      <c r="U69" s="1">
        <f>P69/R69</f>
        <v>233.0489178030777</v>
      </c>
      <c r="V69" s="1">
        <f>ROUND(O69/P69*100,2)</f>
        <v>5.07</v>
      </c>
      <c r="W69" s="27">
        <f>V69-E69</f>
        <v>0</v>
      </c>
    </row>
    <row r="70" spans="1:23">
      <c r="A70" s="1">
        <v>2019</v>
      </c>
      <c r="B70" s="1" t="s">
        <v>63</v>
      </c>
      <c r="C70" s="1" t="s">
        <v>64</v>
      </c>
      <c r="D70" s="2">
        <v>4.87</v>
      </c>
      <c r="E70" s="2">
        <v>4.79</v>
      </c>
      <c r="F70" s="2">
        <v>-0.06</v>
      </c>
      <c r="G70" s="2">
        <v>0.14000000000000001</v>
      </c>
      <c r="H70" s="2">
        <v>4.82</v>
      </c>
      <c r="I70" s="2">
        <v>9.6999999999999993</v>
      </c>
      <c r="J70" s="2">
        <v>9.74</v>
      </c>
      <c r="K70" s="2">
        <v>9.75</v>
      </c>
      <c r="L70" s="2"/>
      <c r="M70" s="2"/>
      <c r="O70" s="1">
        <v>124549</v>
      </c>
      <c r="P70" s="1">
        <v>2600481</v>
      </c>
      <c r="R70" s="1">
        <v>10757</v>
      </c>
      <c r="S70" s="1">
        <v>5338</v>
      </c>
      <c r="T70" s="1">
        <f>O70/R70</f>
        <v>11.578414055963558</v>
      </c>
      <c r="U70" s="1">
        <f>P70/R70</f>
        <v>241.74779213535373</v>
      </c>
      <c r="V70" s="1">
        <f>ROUND(O70/P70*100,2)</f>
        <v>4.79</v>
      </c>
      <c r="W70" s="27">
        <f>V70-E70</f>
        <v>0</v>
      </c>
    </row>
    <row r="71" spans="1:23">
      <c r="A71" s="1">
        <v>2019</v>
      </c>
      <c r="B71" s="1" t="s">
        <v>65</v>
      </c>
      <c r="C71" s="1" t="s">
        <v>66</v>
      </c>
      <c r="D71" s="2">
        <v>5.0599999999999996</v>
      </c>
      <c r="E71" s="2">
        <v>4.55</v>
      </c>
      <c r="F71" s="2">
        <v>0.18</v>
      </c>
      <c r="G71" s="2">
        <v>0.33</v>
      </c>
      <c r="H71" s="2">
        <v>4.82</v>
      </c>
      <c r="I71" s="2">
        <v>9.8800000000000008</v>
      </c>
      <c r="J71" s="2">
        <v>9.9</v>
      </c>
      <c r="K71" s="2">
        <v>9.9</v>
      </c>
      <c r="L71" s="2"/>
      <c r="M71" s="2"/>
      <c r="O71" s="1">
        <v>296742</v>
      </c>
      <c r="P71" s="1">
        <v>6520211</v>
      </c>
      <c r="R71" s="1">
        <v>25958</v>
      </c>
      <c r="S71" s="1">
        <v>12148</v>
      </c>
      <c r="T71" s="1">
        <f>O71/R71</f>
        <v>11.431620309731104</v>
      </c>
      <c r="U71" s="1">
        <f>P71/R71</f>
        <v>251.18310347484399</v>
      </c>
      <c r="V71" s="1">
        <f>ROUND(O71/P71*100,2)</f>
        <v>4.55</v>
      </c>
      <c r="W71" s="27">
        <f>V71-E71</f>
        <v>0</v>
      </c>
    </row>
    <row r="72" spans="1:23">
      <c r="A72" s="1">
        <v>2019</v>
      </c>
      <c r="B72" s="1" t="s">
        <v>67</v>
      </c>
      <c r="C72" s="1" t="s">
        <v>68</v>
      </c>
      <c r="D72" s="2">
        <v>5.05</v>
      </c>
      <c r="E72" s="2">
        <v>4.95</v>
      </c>
      <c r="F72" s="2">
        <v>0.05</v>
      </c>
      <c r="G72" s="2">
        <v>0.04</v>
      </c>
      <c r="H72" s="2">
        <v>4.82</v>
      </c>
      <c r="I72" s="2">
        <v>9.8699999999999992</v>
      </c>
      <c r="J72" s="2">
        <v>9.89</v>
      </c>
      <c r="K72" s="2">
        <v>9.9</v>
      </c>
      <c r="L72" s="2"/>
      <c r="M72" s="2"/>
      <c r="O72" s="1">
        <v>63338</v>
      </c>
      <c r="P72" s="1">
        <v>1279691</v>
      </c>
      <c r="R72" s="1">
        <v>5396</v>
      </c>
      <c r="S72" s="1">
        <v>2613</v>
      </c>
      <c r="T72" s="1">
        <f>O72/R72</f>
        <v>11.737954040029651</v>
      </c>
      <c r="U72" s="1">
        <f>P72/R72</f>
        <v>237.15548554484803</v>
      </c>
      <c r="V72" s="1">
        <f>ROUND(O72/P72*100,2)</f>
        <v>4.95</v>
      </c>
      <c r="W72" s="27">
        <f>V72-E72</f>
        <v>0</v>
      </c>
    </row>
    <row r="73" spans="1:23">
      <c r="A73" s="1">
        <v>2019</v>
      </c>
      <c r="B73" s="1" t="s">
        <v>69</v>
      </c>
      <c r="C73" s="1" t="s">
        <v>70</v>
      </c>
      <c r="D73" s="2">
        <v>5.03</v>
      </c>
      <c r="E73" s="2">
        <v>5.0999999999999996</v>
      </c>
      <c r="F73" s="2">
        <v>0.06</v>
      </c>
      <c r="G73" s="2">
        <v>-0.13</v>
      </c>
      <c r="H73" s="2">
        <v>4.82</v>
      </c>
      <c r="I73" s="2">
        <v>9.85</v>
      </c>
      <c r="J73" s="2">
        <v>9.8699999999999992</v>
      </c>
      <c r="K73" s="2">
        <v>9.8699999999999992</v>
      </c>
      <c r="L73" s="2"/>
      <c r="M73" s="2"/>
      <c r="O73" s="1">
        <v>43492</v>
      </c>
      <c r="P73" s="1">
        <v>852042</v>
      </c>
      <c r="R73" s="1">
        <v>3715</v>
      </c>
      <c r="S73" s="1">
        <v>1759</v>
      </c>
      <c r="T73" s="1">
        <f>O73/R73</f>
        <v>11.707133243606998</v>
      </c>
      <c r="U73" s="1">
        <f>P73/R73</f>
        <v>229.35181695827725</v>
      </c>
      <c r="V73" s="1">
        <f>ROUND(O73/P73*100,2)</f>
        <v>5.0999999999999996</v>
      </c>
      <c r="W73" s="27">
        <f>V73-E73</f>
        <v>0</v>
      </c>
    </row>
    <row r="74" spans="1:23">
      <c r="A74" s="1">
        <v>2019</v>
      </c>
      <c r="B74" s="1" t="s">
        <v>71</v>
      </c>
      <c r="C74" s="1" t="s">
        <v>72</v>
      </c>
      <c r="D74" s="2">
        <v>5.2</v>
      </c>
      <c r="E74" s="2">
        <v>5.08</v>
      </c>
      <c r="F74" s="2">
        <v>0.05</v>
      </c>
      <c r="G74" s="2">
        <v>0.08</v>
      </c>
      <c r="H74" s="2">
        <v>4.82</v>
      </c>
      <c r="I74" s="2">
        <v>10.02</v>
      </c>
      <c r="J74" s="2">
        <v>10.02</v>
      </c>
      <c r="K74" s="2">
        <v>10.029999999999999</v>
      </c>
      <c r="L74" s="2"/>
      <c r="M74" s="2"/>
      <c r="O74" s="1">
        <v>113352</v>
      </c>
      <c r="P74" s="1">
        <v>2233093</v>
      </c>
      <c r="R74" s="1">
        <v>9357</v>
      </c>
      <c r="S74" s="1">
        <v>4490</v>
      </c>
      <c r="T74" s="1">
        <f>O74/R74</f>
        <v>12.114139147162552</v>
      </c>
      <c r="U74" s="1">
        <f>P74/R74</f>
        <v>238.65480389013572</v>
      </c>
      <c r="V74" s="1">
        <f>ROUND(O74/P74*100,2)</f>
        <v>5.08</v>
      </c>
      <c r="W74" s="27">
        <f>V74-E74</f>
        <v>0</v>
      </c>
    </row>
    <row r="75" spans="1:23">
      <c r="A75" s="1">
        <v>2019</v>
      </c>
      <c r="B75" s="1" t="s">
        <v>73</v>
      </c>
      <c r="C75" s="1" t="s">
        <v>74</v>
      </c>
      <c r="D75" s="2">
        <v>5.4</v>
      </c>
      <c r="E75" s="2">
        <v>5.1100000000000003</v>
      </c>
      <c r="F75" s="2">
        <v>0.14000000000000001</v>
      </c>
      <c r="G75" s="2">
        <v>0.16</v>
      </c>
      <c r="H75" s="2">
        <v>4.82</v>
      </c>
      <c r="I75" s="2">
        <v>10.220000000000001</v>
      </c>
      <c r="J75" s="2">
        <v>10.19</v>
      </c>
      <c r="K75" s="2">
        <v>10.19</v>
      </c>
      <c r="L75" s="2"/>
      <c r="M75" s="2"/>
      <c r="O75" s="1">
        <v>438535</v>
      </c>
      <c r="P75" s="1">
        <v>8588813</v>
      </c>
      <c r="R75" s="1">
        <v>35429</v>
      </c>
      <c r="S75" s="1">
        <v>16680</v>
      </c>
      <c r="T75" s="1">
        <f>O75/R75</f>
        <v>12.377854300149595</v>
      </c>
      <c r="U75" s="1">
        <f>P75/R75</f>
        <v>242.42324084789297</v>
      </c>
      <c r="V75" s="1">
        <f>ROUND(O75/P75*100,2)</f>
        <v>5.1100000000000003</v>
      </c>
      <c r="W75" s="27">
        <f>V75-E75</f>
        <v>0</v>
      </c>
    </row>
    <row r="76" spans="1:23">
      <c r="A76" s="1">
        <v>2019</v>
      </c>
      <c r="B76" s="1" t="s">
        <v>75</v>
      </c>
      <c r="C76" s="1" t="s">
        <v>76</v>
      </c>
      <c r="D76" s="2">
        <v>5.32</v>
      </c>
      <c r="E76" s="2">
        <v>5.27</v>
      </c>
      <c r="F76" s="2">
        <v>0.04</v>
      </c>
      <c r="G76" s="2">
        <v>0</v>
      </c>
      <c r="H76" s="2">
        <v>4.82</v>
      </c>
      <c r="I76" s="2">
        <v>10.14</v>
      </c>
      <c r="J76" s="2">
        <v>10.119999999999999</v>
      </c>
      <c r="K76" s="2">
        <v>10.14</v>
      </c>
      <c r="L76" s="2"/>
      <c r="M76" s="2"/>
      <c r="O76" s="1">
        <v>195681</v>
      </c>
      <c r="P76" s="1">
        <v>3713900</v>
      </c>
      <c r="R76" s="1">
        <v>15786</v>
      </c>
      <c r="S76" s="1">
        <v>7655</v>
      </c>
      <c r="T76" s="1">
        <f>O76/R76</f>
        <v>12.395857088559483</v>
      </c>
      <c r="U76" s="1">
        <f>P76/R76</f>
        <v>235.26542506017989</v>
      </c>
      <c r="V76" s="1">
        <f>ROUND(O76/P76*100,2)</f>
        <v>5.27</v>
      </c>
      <c r="W76" s="27">
        <f>V76-E76</f>
        <v>0</v>
      </c>
    </row>
    <row r="77" spans="1:23">
      <c r="A77" s="1">
        <v>2019</v>
      </c>
      <c r="B77" s="1" t="s">
        <v>77</v>
      </c>
      <c r="C77" s="1" t="s">
        <v>78</v>
      </c>
      <c r="D77" s="2">
        <v>5.24</v>
      </c>
      <c r="E77" s="2">
        <v>5.66</v>
      </c>
      <c r="F77" s="2">
        <v>-0.01</v>
      </c>
      <c r="G77" s="2">
        <v>-0.4</v>
      </c>
      <c r="H77" s="2">
        <v>4.82</v>
      </c>
      <c r="I77" s="2">
        <v>10.06</v>
      </c>
      <c r="J77" s="2">
        <v>10.050000000000001</v>
      </c>
      <c r="K77" s="2">
        <v>10.07</v>
      </c>
      <c r="L77" s="2"/>
      <c r="M77" s="2"/>
      <c r="O77" s="1">
        <v>41721</v>
      </c>
      <c r="P77" s="1">
        <v>737446</v>
      </c>
      <c r="R77" s="1">
        <v>3381</v>
      </c>
      <c r="S77" s="1">
        <v>1634</v>
      </c>
      <c r="T77" s="1">
        <f>O77/R77</f>
        <v>12.339840283939663</v>
      </c>
      <c r="U77" s="1">
        <f>P77/R77</f>
        <v>218.11475894705708</v>
      </c>
      <c r="V77" s="1">
        <f>ROUND(O77/P77*100,2)</f>
        <v>5.66</v>
      </c>
      <c r="W77" s="27">
        <f>V77-E77</f>
        <v>0</v>
      </c>
    </row>
    <row r="78" spans="1:23">
      <c r="A78" s="1">
        <v>2019</v>
      </c>
      <c r="B78" s="1" t="s">
        <v>79</v>
      </c>
      <c r="C78" s="1" t="s">
        <v>80</v>
      </c>
      <c r="D78" s="2">
        <v>5.32</v>
      </c>
      <c r="E78" s="2">
        <v>5.8</v>
      </c>
      <c r="F78" s="2">
        <v>0.03</v>
      </c>
      <c r="G78" s="2">
        <v>-0.52</v>
      </c>
      <c r="H78" s="2">
        <v>4.82</v>
      </c>
      <c r="I78" s="2">
        <v>10.14</v>
      </c>
      <c r="J78" s="2">
        <v>10.119999999999999</v>
      </c>
      <c r="K78" s="2">
        <v>10.15</v>
      </c>
      <c r="L78" s="2"/>
      <c r="M78" s="2"/>
      <c r="O78" s="1">
        <v>38997</v>
      </c>
      <c r="P78" s="1">
        <v>672202</v>
      </c>
      <c r="R78" s="1">
        <v>3144</v>
      </c>
      <c r="S78" s="1">
        <v>1560</v>
      </c>
      <c r="T78" s="1">
        <f>O78/R78</f>
        <v>12.403625954198473</v>
      </c>
      <c r="U78" s="1">
        <f>P78/R78</f>
        <v>213.80470737913487</v>
      </c>
      <c r="V78" s="1">
        <f>ROUND(O78/P78*100,2)</f>
        <v>5.8</v>
      </c>
      <c r="W78" s="27">
        <f>V78-E78</f>
        <v>0</v>
      </c>
    </row>
    <row r="79" spans="1:23">
      <c r="A79" s="1">
        <v>2019</v>
      </c>
      <c r="B79" s="1" t="s">
        <v>81</v>
      </c>
      <c r="C79" s="1" t="s">
        <v>82</v>
      </c>
      <c r="D79" s="2">
        <v>5.16</v>
      </c>
      <c r="E79" s="2">
        <v>5.95</v>
      </c>
      <c r="F79" s="2">
        <v>-0.1</v>
      </c>
      <c r="G79" s="2">
        <v>-0.69</v>
      </c>
      <c r="H79" s="2">
        <v>4.82</v>
      </c>
      <c r="I79" s="2">
        <v>9.98</v>
      </c>
      <c r="J79" s="2">
        <v>9.98</v>
      </c>
      <c r="K79" s="2">
        <v>10</v>
      </c>
      <c r="L79" s="2"/>
      <c r="M79" s="2"/>
      <c r="O79" s="1">
        <v>26877</v>
      </c>
      <c r="P79" s="1">
        <v>451588</v>
      </c>
      <c r="R79" s="1">
        <v>2177</v>
      </c>
      <c r="S79" s="1">
        <v>1062</v>
      </c>
      <c r="T79" s="1">
        <f>O79/R79</f>
        <v>12.345888837850252</v>
      </c>
      <c r="U79" s="1">
        <f>P79/R79</f>
        <v>207.43592099219109</v>
      </c>
      <c r="V79" s="1">
        <f>ROUND(O79/P79*100,2)</f>
        <v>5.95</v>
      </c>
      <c r="W79" s="27">
        <f>V79-E79</f>
        <v>0</v>
      </c>
    </row>
    <row r="80" spans="1:23">
      <c r="A80" s="1">
        <v>2019</v>
      </c>
      <c r="B80" s="1" t="s">
        <v>83</v>
      </c>
      <c r="C80" s="1" t="s">
        <v>84</v>
      </c>
      <c r="D80" s="2">
        <v>5.32</v>
      </c>
      <c r="E80" s="2">
        <v>6.17</v>
      </c>
      <c r="F80" s="2">
        <v>-0.24</v>
      </c>
      <c r="G80" s="2">
        <v>-0.6</v>
      </c>
      <c r="H80" s="2">
        <v>4.82</v>
      </c>
      <c r="I80" s="2">
        <v>10.15</v>
      </c>
      <c r="J80" s="2">
        <v>10.130000000000001</v>
      </c>
      <c r="K80" s="2">
        <v>10.130000000000001</v>
      </c>
      <c r="L80" s="2"/>
      <c r="M80" s="2"/>
      <c r="O80" s="1">
        <v>34803</v>
      </c>
      <c r="P80" s="1">
        <v>564344</v>
      </c>
      <c r="R80" s="1">
        <v>2679</v>
      </c>
      <c r="S80" s="1">
        <v>1337</v>
      </c>
      <c r="T80" s="1">
        <f>O80/R80</f>
        <v>12.991041433370661</v>
      </c>
      <c r="U80" s="1">
        <f>P80/R80</f>
        <v>210.65472191116089</v>
      </c>
      <c r="V80" s="1">
        <f>ROUND(O80/P80*100,2)</f>
        <v>6.17</v>
      </c>
      <c r="W80" s="27">
        <f>V80-E80</f>
        <v>0</v>
      </c>
    </row>
    <row r="81" spans="1:23">
      <c r="A81" s="1">
        <v>2019</v>
      </c>
      <c r="B81" s="1" t="s">
        <v>85</v>
      </c>
      <c r="C81" s="1" t="s">
        <v>86</v>
      </c>
      <c r="D81" s="2">
        <v>5.44</v>
      </c>
      <c r="E81" s="2">
        <v>5.54</v>
      </c>
      <c r="F81" s="2">
        <v>7.0000000000000007E-2</v>
      </c>
      <c r="G81" s="2">
        <v>-0.17</v>
      </c>
      <c r="H81" s="2">
        <v>4.82</v>
      </c>
      <c r="I81" s="2">
        <v>10.26</v>
      </c>
      <c r="J81" s="2">
        <v>10.220000000000001</v>
      </c>
      <c r="K81" s="2">
        <v>10.220000000000001</v>
      </c>
      <c r="L81" s="2"/>
      <c r="M81" s="2"/>
      <c r="O81" s="1">
        <v>96301</v>
      </c>
      <c r="P81" s="1">
        <v>1737041</v>
      </c>
      <c r="R81" s="1">
        <v>7637</v>
      </c>
      <c r="S81" s="1">
        <v>3593</v>
      </c>
      <c r="T81" s="1">
        <f>O81/R81</f>
        <v>12.609794421893413</v>
      </c>
      <c r="U81" s="1">
        <f>P81/R81</f>
        <v>227.45070053686001</v>
      </c>
      <c r="V81" s="1">
        <f>ROUND(O81/P81*100,2)</f>
        <v>5.54</v>
      </c>
      <c r="W81" s="27">
        <f>V81-E81</f>
        <v>0</v>
      </c>
    </row>
    <row r="82" spans="1:23">
      <c r="A82" s="1">
        <v>2019</v>
      </c>
      <c r="B82" s="1" t="s">
        <v>87</v>
      </c>
      <c r="C82" s="1" t="s">
        <v>88</v>
      </c>
      <c r="D82" s="2">
        <v>5.21</v>
      </c>
      <c r="E82" s="2">
        <v>5.28</v>
      </c>
      <c r="F82" s="2">
        <v>0.03</v>
      </c>
      <c r="G82" s="2">
        <v>-0.1</v>
      </c>
      <c r="H82" s="2">
        <v>4.82</v>
      </c>
      <c r="I82" s="2">
        <v>10.029999999999999</v>
      </c>
      <c r="J82" s="2">
        <v>10.029999999999999</v>
      </c>
      <c r="K82" s="2">
        <v>10</v>
      </c>
      <c r="L82" s="2"/>
      <c r="M82" s="2"/>
      <c r="O82" s="1">
        <v>139600</v>
      </c>
      <c r="P82" s="1">
        <v>2643341</v>
      </c>
      <c r="R82" s="1">
        <v>11463</v>
      </c>
      <c r="S82" s="1">
        <v>5543</v>
      </c>
      <c r="T82" s="1">
        <f>O82/R82</f>
        <v>12.178312832591818</v>
      </c>
      <c r="U82" s="1">
        <f>P82/R82</f>
        <v>230.59766204309517</v>
      </c>
      <c r="V82" s="1">
        <f>ROUND(O82/P82*100,2)</f>
        <v>5.28</v>
      </c>
      <c r="W82" s="27">
        <f>V82-E82</f>
        <v>0</v>
      </c>
    </row>
    <row r="83" spans="1:23">
      <c r="A83" s="1">
        <v>2019</v>
      </c>
      <c r="B83" s="1" t="s">
        <v>89</v>
      </c>
      <c r="C83" s="1" t="s">
        <v>90</v>
      </c>
      <c r="D83" s="2">
        <v>5.41</v>
      </c>
      <c r="E83" s="2">
        <v>5.72</v>
      </c>
      <c r="F83" s="2">
        <v>-0.18</v>
      </c>
      <c r="G83" s="2">
        <v>-0.13</v>
      </c>
      <c r="H83" s="2">
        <v>4.82</v>
      </c>
      <c r="I83" s="2">
        <v>10.23</v>
      </c>
      <c r="J83" s="2">
        <v>10.199999999999999</v>
      </c>
      <c r="K83" s="2">
        <v>10.210000000000001</v>
      </c>
      <c r="L83" s="2"/>
      <c r="M83" s="2"/>
      <c r="O83" s="1">
        <v>60498</v>
      </c>
      <c r="P83" s="1">
        <v>1057357</v>
      </c>
      <c r="R83" s="1">
        <v>4611</v>
      </c>
      <c r="S83" s="1">
        <v>2347</v>
      </c>
      <c r="T83" s="1">
        <f>O83/R83</f>
        <v>13.120364346128822</v>
      </c>
      <c r="U83" s="1">
        <f>P83/R83</f>
        <v>229.31186293645629</v>
      </c>
      <c r="V83" s="1">
        <f>ROUND(O83/P83*100,2)</f>
        <v>5.72</v>
      </c>
      <c r="W83" s="27">
        <f>V83-E83</f>
        <v>0</v>
      </c>
    </row>
    <row r="84" spans="1:23">
      <c r="A84" s="1">
        <v>2019</v>
      </c>
      <c r="B84" s="1" t="s">
        <v>91</v>
      </c>
      <c r="C84" s="1" t="s">
        <v>92</v>
      </c>
      <c r="D84" s="2">
        <v>5.52</v>
      </c>
      <c r="E84" s="2">
        <v>6</v>
      </c>
      <c r="F84" s="2">
        <v>-0.08</v>
      </c>
      <c r="G84" s="2">
        <v>-0.4</v>
      </c>
      <c r="H84" s="2">
        <v>4.82</v>
      </c>
      <c r="I84" s="2">
        <v>10.34</v>
      </c>
      <c r="J84" s="2">
        <v>10.29</v>
      </c>
      <c r="K84" s="2">
        <v>10.3</v>
      </c>
      <c r="L84" s="2"/>
      <c r="M84" s="2"/>
      <c r="O84" s="1">
        <v>37335</v>
      </c>
      <c r="P84" s="1">
        <v>622562</v>
      </c>
      <c r="R84" s="1">
        <v>2852</v>
      </c>
      <c r="S84" s="1">
        <v>1383</v>
      </c>
      <c r="T84" s="1">
        <f>O84/R84</f>
        <v>13.090813464235625</v>
      </c>
      <c r="U84" s="1">
        <f>P84/R84</f>
        <v>218.28962131837307</v>
      </c>
      <c r="V84" s="1">
        <f>ROUND(O84/P84*100,2)</f>
        <v>6</v>
      </c>
      <c r="W84" s="27">
        <f>V84-E84</f>
        <v>0</v>
      </c>
    </row>
    <row r="85" spans="1:23">
      <c r="A85" s="1">
        <v>2019</v>
      </c>
      <c r="B85" s="1" t="s">
        <v>93</v>
      </c>
      <c r="C85" s="1" t="s">
        <v>94</v>
      </c>
      <c r="D85" s="2">
        <v>5.56</v>
      </c>
      <c r="E85" s="2">
        <v>5.87</v>
      </c>
      <c r="F85" s="2">
        <v>-0.04</v>
      </c>
      <c r="G85" s="2">
        <v>-0.27</v>
      </c>
      <c r="H85" s="2">
        <v>4.82</v>
      </c>
      <c r="I85" s="2">
        <v>10.38</v>
      </c>
      <c r="J85" s="2">
        <v>10.33</v>
      </c>
      <c r="K85" s="2">
        <v>10.31</v>
      </c>
      <c r="L85" s="2"/>
      <c r="M85" s="2"/>
      <c r="O85" s="1">
        <v>53955</v>
      </c>
      <c r="P85" s="1">
        <v>919740</v>
      </c>
      <c r="R85" s="1">
        <v>4115</v>
      </c>
      <c r="S85" s="1">
        <v>1995</v>
      </c>
      <c r="T85" s="1">
        <f>O85/R85</f>
        <v>13.111786148238153</v>
      </c>
      <c r="U85" s="1">
        <f>P85/R85</f>
        <v>223.50911300121507</v>
      </c>
      <c r="V85" s="1">
        <f>ROUND(O85/P85*100,2)</f>
        <v>5.87</v>
      </c>
      <c r="W85" s="27">
        <f>V85-E85</f>
        <v>0</v>
      </c>
    </row>
    <row r="86" spans="1:23">
      <c r="A86" s="1">
        <v>2019</v>
      </c>
      <c r="B86" s="1" t="s">
        <v>95</v>
      </c>
      <c r="C86" s="1" t="s">
        <v>96</v>
      </c>
      <c r="D86" s="2">
        <v>5.26</v>
      </c>
      <c r="E86" s="2">
        <v>5.7</v>
      </c>
      <c r="F86" s="2">
        <v>0.05</v>
      </c>
      <c r="G86" s="2">
        <v>-0.49</v>
      </c>
      <c r="H86" s="2">
        <v>4.82</v>
      </c>
      <c r="I86" s="2">
        <v>10.08</v>
      </c>
      <c r="J86" s="2">
        <v>10.07</v>
      </c>
      <c r="K86" s="2">
        <v>10.02</v>
      </c>
      <c r="L86" s="2"/>
      <c r="M86" s="2"/>
      <c r="O86" s="1">
        <v>68751</v>
      </c>
      <c r="P86" s="1">
        <v>1206586</v>
      </c>
      <c r="R86" s="1">
        <v>5614</v>
      </c>
      <c r="S86" s="1">
        <v>2689</v>
      </c>
      <c r="T86" s="1">
        <f>O86/R86</f>
        <v>12.246348414677591</v>
      </c>
      <c r="U86" s="1">
        <f>P86/R86</f>
        <v>214.9244745279658</v>
      </c>
      <c r="V86" s="1">
        <f>ROUND(O86/P86*100,2)</f>
        <v>5.7</v>
      </c>
      <c r="W86" s="27">
        <f>V86-E86</f>
        <v>0</v>
      </c>
    </row>
    <row r="87" spans="1:23">
      <c r="A87" s="1">
        <v>2019</v>
      </c>
      <c r="B87" s="1" t="s">
        <v>97</v>
      </c>
      <c r="C87" s="1" t="s">
        <v>98</v>
      </c>
      <c r="D87" s="2">
        <v>5.43</v>
      </c>
      <c r="E87" s="2">
        <v>5.97</v>
      </c>
      <c r="F87" s="2">
        <v>-0.11</v>
      </c>
      <c r="G87" s="2">
        <v>-0.43</v>
      </c>
      <c r="H87" s="2">
        <v>4.82</v>
      </c>
      <c r="I87" s="2">
        <v>10.26</v>
      </c>
      <c r="J87" s="2">
        <v>10.220000000000001</v>
      </c>
      <c r="K87" s="2">
        <v>10.210000000000001</v>
      </c>
      <c r="L87" s="2"/>
      <c r="M87" s="2"/>
      <c r="O87" s="1">
        <v>35256</v>
      </c>
      <c r="P87" s="1">
        <v>590069</v>
      </c>
      <c r="R87" s="1">
        <v>2717</v>
      </c>
      <c r="S87" s="1">
        <v>1363</v>
      </c>
      <c r="T87" s="1">
        <f>O87/R87</f>
        <v>12.976076555023923</v>
      </c>
      <c r="U87" s="1">
        <f>P87/R87</f>
        <v>217.17666543982332</v>
      </c>
      <c r="V87" s="1">
        <f>ROUND(O87/P87*100,2)</f>
        <v>5.97</v>
      </c>
      <c r="W87" s="27">
        <f>V87-E87</f>
        <v>0</v>
      </c>
    </row>
    <row r="88" spans="1:23">
      <c r="A88" s="1">
        <v>2019</v>
      </c>
      <c r="B88" s="1" t="s">
        <v>99</v>
      </c>
      <c r="C88" s="1" t="s">
        <v>100</v>
      </c>
      <c r="D88" s="2">
        <v>5.49</v>
      </c>
      <c r="E88" s="2">
        <v>5.74</v>
      </c>
      <c r="F88" s="2">
        <v>0.03</v>
      </c>
      <c r="G88" s="2">
        <v>-0.28999999999999998</v>
      </c>
      <c r="H88" s="2">
        <v>4.82</v>
      </c>
      <c r="I88" s="2">
        <v>10.31</v>
      </c>
      <c r="J88" s="2">
        <v>10.27</v>
      </c>
      <c r="K88" s="2">
        <v>10.24</v>
      </c>
      <c r="L88" s="2"/>
      <c r="M88" s="2"/>
      <c r="O88" s="1">
        <v>256168</v>
      </c>
      <c r="P88" s="1">
        <v>4460578</v>
      </c>
      <c r="R88" s="1">
        <v>20027</v>
      </c>
      <c r="S88" s="1">
        <v>9380</v>
      </c>
      <c r="T88" s="1">
        <f>O88/R88</f>
        <v>12.791131971838018</v>
      </c>
      <c r="U88" s="1">
        <f>P88/R88</f>
        <v>222.72821690717532</v>
      </c>
      <c r="V88" s="1">
        <f>ROUND(O88/P88*100,2)</f>
        <v>5.74</v>
      </c>
      <c r="W88" s="27">
        <f>V88-E88</f>
        <v>0</v>
      </c>
    </row>
    <row r="89" spans="1:23">
      <c r="A89" s="1">
        <v>2019</v>
      </c>
      <c r="B89" s="1" t="s">
        <v>101</v>
      </c>
      <c r="C89" s="1" t="s">
        <v>102</v>
      </c>
      <c r="D89" s="2">
        <v>6.02</v>
      </c>
      <c r="E89" s="2">
        <v>6.92</v>
      </c>
      <c r="F89" s="2">
        <v>-0.14000000000000001</v>
      </c>
      <c r="G89" s="2">
        <v>-0.76</v>
      </c>
      <c r="H89" s="2">
        <v>4.82</v>
      </c>
      <c r="I89" s="2">
        <v>10.84</v>
      </c>
      <c r="J89" s="2">
        <v>10.73</v>
      </c>
      <c r="K89" s="2">
        <v>10.75</v>
      </c>
      <c r="L89" s="2"/>
      <c r="M89" s="2"/>
      <c r="O89" s="1">
        <v>44903</v>
      </c>
      <c r="P89" s="1">
        <v>648703</v>
      </c>
      <c r="R89" s="1">
        <v>3165</v>
      </c>
      <c r="S89" s="1">
        <v>1509</v>
      </c>
      <c r="T89" s="1">
        <f>O89/R89</f>
        <v>14.187361769352291</v>
      </c>
      <c r="U89" s="1">
        <f>P89/R89</f>
        <v>204.96145339652449</v>
      </c>
      <c r="V89" s="1">
        <f>ROUND(O89/P89*100,2)</f>
        <v>6.92</v>
      </c>
      <c r="W89" s="27">
        <f>V89-E89</f>
        <v>0</v>
      </c>
    </row>
    <row r="90" spans="1:23">
      <c r="A90" s="1">
        <v>2019</v>
      </c>
      <c r="B90" s="1" t="s">
        <v>103</v>
      </c>
      <c r="C90" s="1" t="s">
        <v>104</v>
      </c>
      <c r="D90" s="2">
        <v>5.49</v>
      </c>
      <c r="E90" s="2">
        <v>6.35</v>
      </c>
      <c r="F90" s="2">
        <v>-0.13</v>
      </c>
      <c r="G90" s="2">
        <v>-0.73</v>
      </c>
      <c r="H90" s="2">
        <v>4.82</v>
      </c>
      <c r="I90" s="2">
        <v>10.31</v>
      </c>
      <c r="J90" s="2">
        <v>10.26</v>
      </c>
      <c r="K90" s="2">
        <v>10.24</v>
      </c>
      <c r="L90" s="2"/>
      <c r="M90" s="2"/>
      <c r="O90" s="1">
        <v>64029</v>
      </c>
      <c r="P90" s="1">
        <v>1008785</v>
      </c>
      <c r="R90" s="1">
        <v>4899</v>
      </c>
      <c r="S90" s="1">
        <v>2411</v>
      </c>
      <c r="T90" s="1">
        <f>O90/R90</f>
        <v>13.069810165339865</v>
      </c>
      <c r="U90" s="1">
        <f>P90/R90</f>
        <v>205.9165135741988</v>
      </c>
      <c r="V90" s="1">
        <f>ROUND(O90/P90*100,2)</f>
        <v>6.35</v>
      </c>
      <c r="W90" s="27">
        <f>V90-E90</f>
        <v>0</v>
      </c>
    </row>
    <row r="91" spans="1:23">
      <c r="A91" s="1">
        <v>2019</v>
      </c>
      <c r="B91" s="1" t="s">
        <v>105</v>
      </c>
      <c r="C91" s="1" t="s">
        <v>106</v>
      </c>
      <c r="D91" s="2">
        <v>5.31</v>
      </c>
      <c r="E91" s="2">
        <v>5.97</v>
      </c>
      <c r="F91" s="2">
        <v>-0.02</v>
      </c>
      <c r="G91" s="2">
        <v>-0.65</v>
      </c>
      <c r="H91" s="2">
        <v>4.82</v>
      </c>
      <c r="I91" s="2">
        <v>10.130000000000001</v>
      </c>
      <c r="J91" s="2">
        <v>10.11</v>
      </c>
      <c r="K91" s="2">
        <v>10.18</v>
      </c>
      <c r="L91" s="2"/>
      <c r="M91" s="2"/>
      <c r="O91" s="1">
        <v>83645</v>
      </c>
      <c r="P91" s="1">
        <v>1399969</v>
      </c>
      <c r="R91" s="1">
        <v>6702</v>
      </c>
      <c r="S91" s="1">
        <v>3164</v>
      </c>
      <c r="T91" s="1">
        <f>O91/R91</f>
        <v>12.480602805132795</v>
      </c>
      <c r="U91" s="1">
        <f>P91/R91</f>
        <v>208.88824231572664</v>
      </c>
      <c r="V91" s="1">
        <f>ROUND(O91/P91*100,2)</f>
        <v>5.97</v>
      </c>
      <c r="W91" s="27">
        <f>V91-E91</f>
        <v>0</v>
      </c>
    </row>
    <row r="92" spans="1:23">
      <c r="A92" s="1">
        <v>2019</v>
      </c>
      <c r="B92" s="1" t="s">
        <v>107</v>
      </c>
      <c r="C92" s="1" t="s">
        <v>108</v>
      </c>
      <c r="D92" s="2">
        <v>5.44</v>
      </c>
      <c r="E92" s="2">
        <v>6.21</v>
      </c>
      <c r="F92" s="2">
        <v>-0.14000000000000001</v>
      </c>
      <c r="G92" s="2">
        <v>-0.63</v>
      </c>
      <c r="H92" s="2">
        <v>4.82</v>
      </c>
      <c r="I92" s="2">
        <v>10.26</v>
      </c>
      <c r="J92" s="2">
        <v>10.220000000000001</v>
      </c>
      <c r="K92" s="2">
        <v>10.210000000000001</v>
      </c>
      <c r="L92" s="2"/>
      <c r="M92" s="2"/>
      <c r="O92" s="1">
        <v>58815</v>
      </c>
      <c r="P92" s="1">
        <v>946646</v>
      </c>
      <c r="R92" s="1">
        <v>4515</v>
      </c>
      <c r="S92" s="1">
        <v>2226</v>
      </c>
      <c r="T92" s="1">
        <f>O92/R92</f>
        <v>13.0265780730897</v>
      </c>
      <c r="U92" s="1">
        <f>P92/R92</f>
        <v>209.66688815060908</v>
      </c>
      <c r="V92" s="1">
        <f>ROUND(O92/P92*100,2)</f>
        <v>6.21</v>
      </c>
      <c r="W92" s="27">
        <f>V92-E92</f>
        <v>0</v>
      </c>
    </row>
    <row r="93" spans="1:23">
      <c r="A93" s="1">
        <v>2019</v>
      </c>
      <c r="B93" s="1" t="s">
        <v>109</v>
      </c>
      <c r="C93" s="1" t="s">
        <v>110</v>
      </c>
      <c r="D93" s="2">
        <v>5.18</v>
      </c>
      <c r="E93" s="2">
        <v>6.07</v>
      </c>
      <c r="F93" s="2">
        <v>-0.04</v>
      </c>
      <c r="G93" s="2">
        <v>-0.85</v>
      </c>
      <c r="H93" s="2">
        <v>4.82</v>
      </c>
      <c r="I93" s="2">
        <v>10</v>
      </c>
      <c r="J93" s="2">
        <v>10</v>
      </c>
      <c r="K93" s="2">
        <v>10.02</v>
      </c>
      <c r="L93" s="2"/>
      <c r="M93" s="2"/>
      <c r="O93" s="1">
        <v>52275</v>
      </c>
      <c r="P93" s="1">
        <v>861360</v>
      </c>
      <c r="R93" s="1">
        <v>4263</v>
      </c>
      <c r="S93" s="1">
        <v>2022</v>
      </c>
      <c r="T93" s="1">
        <f>O93/R93</f>
        <v>12.262491203377904</v>
      </c>
      <c r="U93" s="1">
        <f>P93/R93</f>
        <v>202.054890921886</v>
      </c>
      <c r="V93" s="1">
        <f>ROUND(O93/P93*100,2)</f>
        <v>6.07</v>
      </c>
      <c r="W93" s="27">
        <f>V93-E93</f>
        <v>0</v>
      </c>
    </row>
    <row r="94" spans="1:23">
      <c r="A94" s="1">
        <v>2019</v>
      </c>
      <c r="B94" s="1" t="s">
        <v>111</v>
      </c>
      <c r="C94" s="1" t="s">
        <v>112</v>
      </c>
      <c r="D94" s="2">
        <v>5.36</v>
      </c>
      <c r="E94" s="2">
        <v>6.23</v>
      </c>
      <c r="F94" s="2">
        <v>-0.01</v>
      </c>
      <c r="G94" s="2">
        <v>-0.86</v>
      </c>
      <c r="H94" s="2">
        <v>4.82</v>
      </c>
      <c r="I94" s="2">
        <v>10.18</v>
      </c>
      <c r="J94" s="2">
        <v>10.16</v>
      </c>
      <c r="K94" s="2">
        <v>10.16</v>
      </c>
      <c r="L94" s="2"/>
      <c r="M94" s="2"/>
      <c r="O94" s="1">
        <v>81971</v>
      </c>
      <c r="P94" s="1">
        <v>1314720</v>
      </c>
      <c r="R94" s="1">
        <v>6525</v>
      </c>
      <c r="S94" s="1">
        <v>3042</v>
      </c>
      <c r="T94" s="1">
        <f>O94/R94</f>
        <v>12.562605363984675</v>
      </c>
      <c r="U94" s="1">
        <f>P94/R94</f>
        <v>201.48965517241379</v>
      </c>
      <c r="V94" s="1">
        <f>ROUND(O94/P94*100,2)</f>
        <v>6.23</v>
      </c>
      <c r="W94" s="27">
        <f>V94-E94</f>
        <v>0</v>
      </c>
    </row>
    <row r="95" spans="1:23">
      <c r="A95" s="1">
        <v>2019</v>
      </c>
      <c r="B95" s="1" t="s">
        <v>113</v>
      </c>
      <c r="C95" s="1" t="s">
        <v>114</v>
      </c>
      <c r="D95" s="2">
        <v>5.12</v>
      </c>
      <c r="E95" s="2">
        <v>6.45</v>
      </c>
      <c r="F95" s="2">
        <v>0.34</v>
      </c>
      <c r="G95" s="2">
        <v>-1.67</v>
      </c>
      <c r="H95" s="2">
        <v>4.82</v>
      </c>
      <c r="I95" s="2">
        <v>9.94</v>
      </c>
      <c r="J95" s="2">
        <v>9.9499999999999993</v>
      </c>
      <c r="K95" s="2">
        <v>9.9499999999999993</v>
      </c>
      <c r="L95" s="2"/>
      <c r="M95" s="2"/>
      <c r="O95" s="1">
        <v>69546</v>
      </c>
      <c r="P95" s="1">
        <v>1078190</v>
      </c>
      <c r="R95" s="1">
        <v>6063</v>
      </c>
      <c r="S95" s="1">
        <v>2555</v>
      </c>
      <c r="T95" s="1">
        <f>O95/R95</f>
        <v>11.470559129143988</v>
      </c>
      <c r="U95" s="1">
        <f>P95/R95</f>
        <v>177.83110671284842</v>
      </c>
      <c r="V95" s="1">
        <f>ROUND(O95/P95*100,2)</f>
        <v>6.45</v>
      </c>
      <c r="W95" s="27">
        <f>V95-E95</f>
        <v>0</v>
      </c>
    </row>
    <row r="96" spans="1:23">
      <c r="A96" s="1">
        <v>2020</v>
      </c>
      <c r="B96" s="1" t="s">
        <v>21</v>
      </c>
      <c r="C96" s="1" t="s">
        <v>22</v>
      </c>
      <c r="D96" s="2">
        <v>5.67</v>
      </c>
      <c r="E96" s="2">
        <v>6.27</v>
      </c>
      <c r="F96" s="2">
        <v>-0.27</v>
      </c>
      <c r="G96" s="2">
        <v>-0.33</v>
      </c>
      <c r="H96" s="2">
        <v>4.7300000000000004</v>
      </c>
      <c r="I96" s="2">
        <v>10.4</v>
      </c>
      <c r="J96" s="2">
        <v>10.41</v>
      </c>
      <c r="K96" s="2">
        <v>10.41</v>
      </c>
      <c r="L96" s="2"/>
      <c r="M96" s="2">
        <v>4.0000000000000001E-3</v>
      </c>
      <c r="O96" s="1">
        <v>269038</v>
      </c>
      <c r="P96" s="1">
        <v>4292180</v>
      </c>
      <c r="R96" s="1">
        <v>18969</v>
      </c>
      <c r="S96" s="1">
        <v>10163</v>
      </c>
      <c r="T96" s="1">
        <f>O96/R96</f>
        <v>14.183035478939322</v>
      </c>
      <c r="U96" s="1">
        <f>P96/R96</f>
        <v>226.27339343138806</v>
      </c>
      <c r="V96" s="1">
        <f>ROUND(O96/P96*100,2)</f>
        <v>6.27</v>
      </c>
      <c r="W96" s="27">
        <f>V96-E96</f>
        <v>0</v>
      </c>
    </row>
    <row r="97" spans="1:23">
      <c r="A97" s="1">
        <v>2020</v>
      </c>
      <c r="B97" s="1" t="s">
        <v>23</v>
      </c>
      <c r="C97" s="1" t="s">
        <v>24</v>
      </c>
      <c r="D97" s="2">
        <v>5.19</v>
      </c>
      <c r="E97" s="2">
        <v>6.28</v>
      </c>
      <c r="F97" s="2">
        <v>-0.2</v>
      </c>
      <c r="G97" s="2">
        <v>-0.89</v>
      </c>
      <c r="H97" s="2">
        <v>4.7300000000000004</v>
      </c>
      <c r="I97" s="2">
        <v>9.92</v>
      </c>
      <c r="J97" s="2">
        <v>9.89</v>
      </c>
      <c r="K97" s="2">
        <v>9.8800000000000008</v>
      </c>
      <c r="L97" s="2"/>
      <c r="M97" s="2">
        <v>-1.0999999999999999E-2</v>
      </c>
      <c r="O97" s="1">
        <v>60759</v>
      </c>
      <c r="P97" s="1">
        <v>966964</v>
      </c>
      <c r="R97" s="1">
        <v>4702</v>
      </c>
      <c r="S97" s="1">
        <v>2480</v>
      </c>
      <c r="T97" s="1">
        <f>O97/R97</f>
        <v>12.921948107188431</v>
      </c>
      <c r="U97" s="1">
        <f>P97/R97</f>
        <v>205.64951084644832</v>
      </c>
      <c r="V97" s="1">
        <f>ROUND(O97/P97*100,2)</f>
        <v>6.28</v>
      </c>
      <c r="W97" s="27">
        <f>V97-E97</f>
        <v>0</v>
      </c>
    </row>
    <row r="98" spans="1:23">
      <c r="A98" s="1">
        <v>2020</v>
      </c>
      <c r="B98" s="1" t="s">
        <v>25</v>
      </c>
      <c r="C98" s="1" t="s">
        <v>26</v>
      </c>
      <c r="D98" s="2">
        <v>5.04</v>
      </c>
      <c r="E98" s="2">
        <v>5.88</v>
      </c>
      <c r="F98" s="2">
        <v>-0.25</v>
      </c>
      <c r="G98" s="2">
        <v>-0.59</v>
      </c>
      <c r="H98" s="2">
        <v>4.7300000000000004</v>
      </c>
      <c r="I98" s="2">
        <v>9.77</v>
      </c>
      <c r="J98" s="2">
        <v>9.77</v>
      </c>
      <c r="K98" s="2">
        <v>9.77</v>
      </c>
      <c r="L98" s="2"/>
      <c r="M98" s="2">
        <v>-7.0000000000000001E-3</v>
      </c>
      <c r="O98" s="1">
        <v>55743</v>
      </c>
      <c r="P98" s="1">
        <v>948368</v>
      </c>
      <c r="R98" s="1">
        <v>4387</v>
      </c>
      <c r="S98" s="1">
        <v>2294</v>
      </c>
      <c r="T98" s="1">
        <f>O98/R98</f>
        <v>12.706405288351949</v>
      </c>
      <c r="U98" s="1">
        <f>P98/R98</f>
        <v>216.17688625484385</v>
      </c>
      <c r="V98" s="1">
        <f>ROUND(O98/P98*100,2)</f>
        <v>5.88</v>
      </c>
      <c r="W98" s="27">
        <f>V98-E98</f>
        <v>0</v>
      </c>
    </row>
    <row r="99" spans="1:23">
      <c r="A99" s="1">
        <v>2020</v>
      </c>
      <c r="B99" s="1" t="s">
        <v>27</v>
      </c>
      <c r="C99" s="1" t="s">
        <v>28</v>
      </c>
      <c r="D99" s="2">
        <v>5.33</v>
      </c>
      <c r="E99" s="2">
        <v>5.76</v>
      </c>
      <c r="F99" s="2">
        <v>-0.13</v>
      </c>
      <c r="G99" s="2">
        <v>-0.3</v>
      </c>
      <c r="H99" s="2">
        <v>4.7300000000000004</v>
      </c>
      <c r="I99" s="2">
        <v>10.06</v>
      </c>
      <c r="J99" s="2">
        <v>10.08</v>
      </c>
      <c r="K99" s="2">
        <v>10.06</v>
      </c>
      <c r="L99" s="2"/>
      <c r="M99" s="2">
        <v>-2.5000000000000001E-2</v>
      </c>
      <c r="O99" s="1">
        <v>103035</v>
      </c>
      <c r="P99" s="1">
        <v>1788011</v>
      </c>
      <c r="R99" s="1">
        <v>7861</v>
      </c>
      <c r="S99" s="1">
        <v>3948</v>
      </c>
      <c r="T99" s="1">
        <f>O99/R99</f>
        <v>13.10711105457321</v>
      </c>
      <c r="U99" s="1">
        <f>P99/R99</f>
        <v>227.45337743289659</v>
      </c>
      <c r="V99" s="1">
        <f>ROUND(O99/P99*100,2)</f>
        <v>5.76</v>
      </c>
      <c r="W99" s="27">
        <f>V99-E99</f>
        <v>0</v>
      </c>
    </row>
    <row r="100" spans="1:23">
      <c r="A100" s="1">
        <v>2020</v>
      </c>
      <c r="B100" s="1" t="s">
        <v>29</v>
      </c>
      <c r="C100" s="1" t="s">
        <v>30</v>
      </c>
      <c r="D100" s="2">
        <v>5.5</v>
      </c>
      <c r="E100" s="2">
        <v>6.89</v>
      </c>
      <c r="F100" s="2">
        <v>-0.51</v>
      </c>
      <c r="G100" s="2">
        <v>-0.87</v>
      </c>
      <c r="H100" s="2">
        <v>4.7300000000000004</v>
      </c>
      <c r="I100" s="2">
        <v>10.23</v>
      </c>
      <c r="J100" s="2">
        <v>10.25</v>
      </c>
      <c r="K100" s="2">
        <v>10.25</v>
      </c>
      <c r="L100" s="2"/>
      <c r="M100" s="2">
        <v>-6.0000000000000001E-3</v>
      </c>
      <c r="O100" s="1">
        <v>49543</v>
      </c>
      <c r="P100" s="1">
        <v>719350</v>
      </c>
      <c r="R100" s="1">
        <v>3488</v>
      </c>
      <c r="S100" s="1">
        <v>1920</v>
      </c>
      <c r="T100" s="1">
        <f>O100/R100</f>
        <v>14.203841743119266</v>
      </c>
      <c r="U100" s="1">
        <f>P100/R100</f>
        <v>206.23566513761469</v>
      </c>
      <c r="V100" s="1">
        <f>ROUND(O100/P100*100,2)</f>
        <v>6.89</v>
      </c>
      <c r="W100" s="27">
        <f>V100-E100</f>
        <v>0</v>
      </c>
    </row>
    <row r="101" spans="1:23">
      <c r="A101" s="1">
        <v>2020</v>
      </c>
      <c r="B101" s="1" t="s">
        <v>31</v>
      </c>
      <c r="C101" s="1" t="s">
        <v>32</v>
      </c>
      <c r="D101" s="2">
        <v>5.31</v>
      </c>
      <c r="E101" s="2">
        <v>6</v>
      </c>
      <c r="F101" s="2">
        <v>-0.21</v>
      </c>
      <c r="G101" s="2">
        <v>-0.48</v>
      </c>
      <c r="H101" s="2">
        <v>4.7300000000000004</v>
      </c>
      <c r="I101" s="2">
        <v>10.039999999999999</v>
      </c>
      <c r="J101" s="2">
        <v>10.07</v>
      </c>
      <c r="K101" s="2">
        <v>10.050000000000001</v>
      </c>
      <c r="L101" s="2"/>
      <c r="M101" s="2">
        <v>-1.4999999999999999E-2</v>
      </c>
      <c r="O101" s="1">
        <v>55713</v>
      </c>
      <c r="P101" s="1">
        <v>927977</v>
      </c>
      <c r="R101" s="1">
        <v>4213</v>
      </c>
      <c r="S101" s="1">
        <v>2155</v>
      </c>
      <c r="T101" s="1">
        <f>O101/R101</f>
        <v>13.224068359838595</v>
      </c>
      <c r="U101" s="1">
        <f>P101/R101</f>
        <v>220.26513173510563</v>
      </c>
      <c r="V101" s="1">
        <f>ROUND(O101/P101*100,2)</f>
        <v>6</v>
      </c>
      <c r="W101" s="27">
        <f>V101-E101</f>
        <v>0</v>
      </c>
    </row>
    <row r="102" spans="1:23">
      <c r="A102" s="1">
        <v>2020</v>
      </c>
      <c r="B102" s="1" t="s">
        <v>33</v>
      </c>
      <c r="C102" s="1" t="s">
        <v>34</v>
      </c>
      <c r="D102" s="2">
        <v>4.97</v>
      </c>
      <c r="E102" s="2">
        <v>5.29</v>
      </c>
      <c r="F102" s="2">
        <v>-0.1</v>
      </c>
      <c r="G102" s="2">
        <v>-0.22</v>
      </c>
      <c r="H102" s="2">
        <v>4.7300000000000004</v>
      </c>
      <c r="I102" s="2">
        <v>9.6999999999999993</v>
      </c>
      <c r="J102" s="2">
        <v>9.7200000000000006</v>
      </c>
      <c r="K102" s="2">
        <v>9.7100000000000009</v>
      </c>
      <c r="L102" s="2"/>
      <c r="M102" s="2">
        <v>-8.0000000000000002E-3</v>
      </c>
      <c r="O102" s="1">
        <v>86796</v>
      </c>
      <c r="P102" s="1">
        <v>1641303</v>
      </c>
      <c r="R102" s="1">
        <v>7111</v>
      </c>
      <c r="S102" s="1">
        <v>3540</v>
      </c>
      <c r="T102" s="1">
        <f>O102/R102</f>
        <v>12.205878216847138</v>
      </c>
      <c r="U102" s="1">
        <f>P102/R102</f>
        <v>230.81184081001265</v>
      </c>
      <c r="V102" s="1">
        <f>ROUND(O102/P102*100,2)</f>
        <v>5.29</v>
      </c>
      <c r="W102" s="27">
        <f>V102-E102</f>
        <v>0</v>
      </c>
    </row>
    <row r="103" spans="1:23">
      <c r="A103" s="1">
        <v>2020</v>
      </c>
      <c r="B103" s="1" t="s">
        <v>35</v>
      </c>
      <c r="C103" s="1" t="s">
        <v>36</v>
      </c>
      <c r="D103" s="2">
        <v>5.0599999999999996</v>
      </c>
      <c r="E103" s="2">
        <v>4.9800000000000004</v>
      </c>
      <c r="F103" s="2">
        <v>0.01</v>
      </c>
      <c r="G103" s="2">
        <v>7.0000000000000007E-2</v>
      </c>
      <c r="H103" s="2">
        <v>4.7300000000000004</v>
      </c>
      <c r="I103" s="2">
        <v>9.7899999999999991</v>
      </c>
      <c r="J103" s="2">
        <v>9.76</v>
      </c>
      <c r="K103" s="2">
        <v>9.77</v>
      </c>
      <c r="L103" s="2"/>
      <c r="M103" s="2">
        <v>4.0000000000000001E-3</v>
      </c>
      <c r="O103" s="1">
        <v>89628</v>
      </c>
      <c r="P103" s="1">
        <v>1799844</v>
      </c>
      <c r="R103" s="1">
        <v>7395</v>
      </c>
      <c r="S103" s="1">
        <v>3677</v>
      </c>
      <c r="T103" s="1">
        <f>O103/R103</f>
        <v>12.120081135902637</v>
      </c>
      <c r="U103" s="1">
        <f>P103/R103</f>
        <v>243.38661257606492</v>
      </c>
      <c r="V103" s="1">
        <f>ROUND(O103/P103*100,2)</f>
        <v>4.9800000000000004</v>
      </c>
      <c r="W103" s="27">
        <f>V103-E103</f>
        <v>0</v>
      </c>
    </row>
    <row r="104" spans="1:23">
      <c r="A104" s="1">
        <v>2020</v>
      </c>
      <c r="B104" s="1" t="s">
        <v>37</v>
      </c>
      <c r="C104" s="1" t="s">
        <v>38</v>
      </c>
      <c r="D104" s="2">
        <v>5.14</v>
      </c>
      <c r="E104" s="2">
        <v>5.2</v>
      </c>
      <c r="F104" s="2">
        <v>-0.03</v>
      </c>
      <c r="G104" s="2">
        <v>-0.03</v>
      </c>
      <c r="H104" s="2">
        <v>4.7300000000000004</v>
      </c>
      <c r="I104" s="2">
        <v>9.8699999999999992</v>
      </c>
      <c r="J104" s="2">
        <v>9.8800000000000008</v>
      </c>
      <c r="K104" s="2">
        <v>9.8800000000000008</v>
      </c>
      <c r="L104" s="2"/>
      <c r="M104" s="2">
        <v>4.0000000000000001E-3</v>
      </c>
      <c r="O104" s="1">
        <v>69815</v>
      </c>
      <c r="P104" s="1">
        <v>1343140</v>
      </c>
      <c r="R104" s="1">
        <v>5619</v>
      </c>
      <c r="S104" s="1">
        <v>2796</v>
      </c>
      <c r="T104" s="1">
        <f>O104/R104</f>
        <v>12.424808684819363</v>
      </c>
      <c r="U104" s="1">
        <f>P104/R104</f>
        <v>239.03541555436911</v>
      </c>
      <c r="V104" s="1">
        <f>ROUND(O104/P104*100,2)</f>
        <v>5.2</v>
      </c>
      <c r="W104" s="27">
        <f>V104-E104</f>
        <v>0</v>
      </c>
    </row>
    <row r="105" spans="1:23">
      <c r="A105" s="1">
        <v>2020</v>
      </c>
      <c r="B105" s="1" t="s">
        <v>39</v>
      </c>
      <c r="C105" s="1" t="s">
        <v>40</v>
      </c>
      <c r="D105" s="2">
        <v>5.07</v>
      </c>
      <c r="E105" s="2">
        <v>5.17</v>
      </c>
      <c r="F105" s="2">
        <v>-0.02</v>
      </c>
      <c r="G105" s="2">
        <v>-7.0000000000000007E-2</v>
      </c>
      <c r="H105" s="2">
        <v>4.7300000000000004</v>
      </c>
      <c r="I105" s="2">
        <v>9.81</v>
      </c>
      <c r="J105" s="2">
        <v>9.77</v>
      </c>
      <c r="K105" s="2">
        <v>9.77</v>
      </c>
      <c r="L105" s="2"/>
      <c r="M105" s="2">
        <v>4.0000000000000001E-3</v>
      </c>
      <c r="O105" s="1">
        <v>80682</v>
      </c>
      <c r="P105" s="1">
        <v>1561412</v>
      </c>
      <c r="R105" s="1">
        <v>6583</v>
      </c>
      <c r="S105" s="1">
        <v>3291</v>
      </c>
      <c r="T105" s="1">
        <f>O105/R105</f>
        <v>12.256114233632083</v>
      </c>
      <c r="U105" s="1">
        <f>P105/R105</f>
        <v>237.18851587422148</v>
      </c>
      <c r="V105" s="1">
        <f>ROUND(O105/P105*100,2)</f>
        <v>5.17</v>
      </c>
      <c r="W105" s="27">
        <f>V105-E105</f>
        <v>0</v>
      </c>
    </row>
    <row r="106" spans="1:23">
      <c r="A106" s="1">
        <v>2020</v>
      </c>
      <c r="B106" s="1" t="s">
        <v>41</v>
      </c>
      <c r="C106" s="1" t="s">
        <v>42</v>
      </c>
      <c r="D106" s="2">
        <v>5.0599999999999996</v>
      </c>
      <c r="E106" s="2">
        <v>4.88</v>
      </c>
      <c r="F106" s="2">
        <v>0.01</v>
      </c>
      <c r="G106" s="2">
        <v>0.18</v>
      </c>
      <c r="H106" s="2">
        <v>4.7300000000000004</v>
      </c>
      <c r="I106" s="2">
        <v>9.7899999999999991</v>
      </c>
      <c r="J106" s="2">
        <v>9.8000000000000007</v>
      </c>
      <c r="K106" s="2">
        <v>9.81</v>
      </c>
      <c r="L106" s="2"/>
      <c r="M106" s="2">
        <v>4.0000000000000001E-3</v>
      </c>
      <c r="O106" s="1">
        <v>172287</v>
      </c>
      <c r="P106" s="1">
        <v>3533908</v>
      </c>
      <c r="R106" s="1">
        <v>14195</v>
      </c>
      <c r="S106" s="1">
        <v>7251</v>
      </c>
      <c r="T106" s="1">
        <f>O106/R106</f>
        <v>12.1371609721733</v>
      </c>
      <c r="U106" s="1">
        <f>P106/R106</f>
        <v>248.95442057062345</v>
      </c>
      <c r="V106" s="1">
        <f>ROUND(O106/P106*100,2)</f>
        <v>4.88</v>
      </c>
      <c r="W106" s="27">
        <f>V106-E106</f>
        <v>0</v>
      </c>
    </row>
    <row r="107" spans="1:23">
      <c r="A107" s="1">
        <v>2020</v>
      </c>
      <c r="B107" s="1" t="s">
        <v>43</v>
      </c>
      <c r="C107" s="1" t="s">
        <v>44</v>
      </c>
      <c r="D107" s="2">
        <v>5.05</v>
      </c>
      <c r="E107" s="2">
        <v>4.9800000000000004</v>
      </c>
      <c r="F107" s="2">
        <v>-0.1</v>
      </c>
      <c r="G107" s="2">
        <v>0.16</v>
      </c>
      <c r="H107" s="2">
        <v>4.7300000000000004</v>
      </c>
      <c r="I107" s="2">
        <v>9.7799999999999994</v>
      </c>
      <c r="J107" s="2">
        <v>9.75</v>
      </c>
      <c r="K107" s="2">
        <v>9.75</v>
      </c>
      <c r="L107" s="2"/>
      <c r="M107" s="2">
        <v>4.0000000000000001E-3</v>
      </c>
      <c r="O107" s="1">
        <v>125030</v>
      </c>
      <c r="P107" s="1">
        <v>2510151</v>
      </c>
      <c r="R107" s="1">
        <v>10119</v>
      </c>
      <c r="S107" s="1">
        <v>5172</v>
      </c>
      <c r="T107" s="1">
        <f>O107/R107</f>
        <v>12.355964028066014</v>
      </c>
      <c r="U107" s="1">
        <f>P107/R107</f>
        <v>248.06314853246369</v>
      </c>
      <c r="V107" s="1">
        <f>ROUND(O107/P107*100,2)</f>
        <v>4.9800000000000004</v>
      </c>
      <c r="W107" s="27">
        <f>V107-E107</f>
        <v>0</v>
      </c>
    </row>
    <row r="108" spans="1:23">
      <c r="A108" s="1">
        <v>2020</v>
      </c>
      <c r="B108" s="1" t="s">
        <v>45</v>
      </c>
      <c r="C108" s="1" t="s">
        <v>46</v>
      </c>
      <c r="D108" s="2">
        <v>5.13</v>
      </c>
      <c r="E108" s="2">
        <v>4.37</v>
      </c>
      <c r="F108" s="2">
        <v>0.06</v>
      </c>
      <c r="G108" s="2">
        <v>0.71</v>
      </c>
      <c r="H108" s="2">
        <v>4.7300000000000004</v>
      </c>
      <c r="I108" s="2">
        <v>9.8699999999999992</v>
      </c>
      <c r="J108" s="2">
        <v>9.8699999999999992</v>
      </c>
      <c r="K108" s="2">
        <v>9.8699999999999992</v>
      </c>
      <c r="L108" s="2"/>
      <c r="M108" s="2">
        <v>4.0000000000000001E-3</v>
      </c>
      <c r="O108" s="1">
        <v>611039</v>
      </c>
      <c r="P108" s="1">
        <v>13995340</v>
      </c>
      <c r="R108" s="1">
        <v>50422</v>
      </c>
      <c r="S108" s="1">
        <v>24672</v>
      </c>
      <c r="T108" s="1">
        <f>O108/R108</f>
        <v>12.118499861171712</v>
      </c>
      <c r="U108" s="1">
        <f>P108/R108</f>
        <v>277.56415850224107</v>
      </c>
      <c r="V108" s="1">
        <f>ROUND(O108/P108*100,2)</f>
        <v>4.37</v>
      </c>
      <c r="W108" s="27">
        <f>V108-E108</f>
        <v>0</v>
      </c>
    </row>
    <row r="109" spans="1:23">
      <c r="A109" s="1">
        <v>2020</v>
      </c>
      <c r="B109" s="1" t="s">
        <v>47</v>
      </c>
      <c r="C109" s="1" t="s">
        <v>48</v>
      </c>
      <c r="D109" s="2">
        <v>5.18</v>
      </c>
      <c r="E109" s="2">
        <v>4.76</v>
      </c>
      <c r="F109" s="2">
        <v>-0.03</v>
      </c>
      <c r="G109" s="2">
        <v>0.45</v>
      </c>
      <c r="H109" s="2">
        <v>4.7300000000000004</v>
      </c>
      <c r="I109" s="2">
        <v>9.91</v>
      </c>
      <c r="J109" s="2">
        <v>9.92</v>
      </c>
      <c r="K109" s="2">
        <v>9.93</v>
      </c>
      <c r="L109" s="2"/>
      <c r="M109" s="2">
        <v>4.0000000000000001E-3</v>
      </c>
      <c r="O109" s="1">
        <v>210114</v>
      </c>
      <c r="P109" s="1">
        <v>4410185</v>
      </c>
      <c r="R109" s="1">
        <v>16772</v>
      </c>
      <c r="S109" s="1">
        <v>8636</v>
      </c>
      <c r="T109" s="1">
        <f>O109/R109</f>
        <v>12.527665156212736</v>
      </c>
      <c r="U109" s="1">
        <f>P109/R109</f>
        <v>262.94926067254949</v>
      </c>
      <c r="V109" s="1">
        <f>ROUND(O109/P109*100,2)</f>
        <v>4.76</v>
      </c>
      <c r="W109" s="27">
        <f>V109-E109</f>
        <v>0</v>
      </c>
    </row>
    <row r="110" spans="1:23">
      <c r="A110" s="1">
        <v>2020</v>
      </c>
      <c r="B110" s="1" t="s">
        <v>49</v>
      </c>
      <c r="C110" s="1" t="s">
        <v>50</v>
      </c>
      <c r="D110" s="2">
        <v>4.82</v>
      </c>
      <c r="E110" s="2">
        <v>5.26</v>
      </c>
      <c r="F110" s="2">
        <v>-0.12</v>
      </c>
      <c r="G110" s="2">
        <v>-0.31</v>
      </c>
      <c r="H110" s="2">
        <v>4.7300000000000004</v>
      </c>
      <c r="I110" s="2">
        <v>9.5500000000000007</v>
      </c>
      <c r="J110" s="2">
        <v>9.59</v>
      </c>
      <c r="K110" s="2">
        <v>9.58</v>
      </c>
      <c r="L110" s="2"/>
      <c r="M110" s="2">
        <v>-1.7999999999999999E-2</v>
      </c>
      <c r="O110" s="1">
        <v>103137</v>
      </c>
      <c r="P110" s="1">
        <v>1960616</v>
      </c>
      <c r="R110" s="1">
        <v>8641</v>
      </c>
      <c r="S110" s="1">
        <v>4401</v>
      </c>
      <c r="T110" s="1">
        <f>O110/R110</f>
        <v>11.93577132276357</v>
      </c>
      <c r="U110" s="1">
        <f>P110/R110</f>
        <v>226.89688693438259</v>
      </c>
      <c r="V110" s="1">
        <f>ROUND(O110/P110*100,2)</f>
        <v>5.26</v>
      </c>
      <c r="W110" s="27">
        <f>V110-E110</f>
        <v>0</v>
      </c>
    </row>
    <row r="111" spans="1:23">
      <c r="A111" s="1">
        <v>2020</v>
      </c>
      <c r="B111" s="1" t="s">
        <v>51</v>
      </c>
      <c r="C111" s="1" t="s">
        <v>52</v>
      </c>
      <c r="D111" s="2">
        <v>4.9000000000000004</v>
      </c>
      <c r="E111" s="2">
        <v>4.8099999999999996</v>
      </c>
      <c r="F111" s="2">
        <v>-0.08</v>
      </c>
      <c r="G111" s="2">
        <v>0.17</v>
      </c>
      <c r="H111" s="2">
        <v>4.7300000000000004</v>
      </c>
      <c r="I111" s="2">
        <v>9.6300000000000008</v>
      </c>
      <c r="J111" s="2">
        <v>9.59</v>
      </c>
      <c r="K111" s="2">
        <v>9.59</v>
      </c>
      <c r="L111" s="2"/>
      <c r="M111" s="2">
        <v>-3.0000000000000001E-3</v>
      </c>
      <c r="O111" s="1">
        <v>52162</v>
      </c>
      <c r="P111" s="1">
        <v>1084971</v>
      </c>
      <c r="R111" s="1">
        <v>4367</v>
      </c>
      <c r="S111" s="1">
        <v>2249</v>
      </c>
      <c r="T111" s="1">
        <f>O111/R111</f>
        <v>11.944584382871536</v>
      </c>
      <c r="U111" s="1">
        <f>P111/R111</f>
        <v>248.44767574994276</v>
      </c>
      <c r="V111" s="1">
        <f>ROUND(O111/P111*100,2)</f>
        <v>4.8099999999999996</v>
      </c>
      <c r="W111" s="27">
        <f>V111-E111</f>
        <v>0</v>
      </c>
    </row>
    <row r="112" spans="1:23">
      <c r="A112" s="1">
        <v>2020</v>
      </c>
      <c r="B112" s="1" t="s">
        <v>53</v>
      </c>
      <c r="C112" s="1" t="s">
        <v>54</v>
      </c>
      <c r="D112" s="2">
        <v>5.29</v>
      </c>
      <c r="E112" s="2">
        <v>5.27</v>
      </c>
      <c r="F112" s="2">
        <v>-0.02</v>
      </c>
      <c r="G112" s="2">
        <v>0.05</v>
      </c>
      <c r="H112" s="2">
        <v>4.7300000000000004</v>
      </c>
      <c r="I112" s="2">
        <v>10.02</v>
      </c>
      <c r="J112" s="2">
        <v>10.02</v>
      </c>
      <c r="K112" s="2">
        <v>10.01</v>
      </c>
      <c r="L112" s="2"/>
      <c r="M112" s="2">
        <v>-5.0000000000000001E-3</v>
      </c>
      <c r="O112" s="1">
        <v>60274</v>
      </c>
      <c r="P112" s="1">
        <v>1143707</v>
      </c>
      <c r="R112" s="1">
        <v>4717</v>
      </c>
      <c r="S112" s="1">
        <v>2357</v>
      </c>
      <c r="T112" s="1">
        <f>O112/R112</f>
        <v>12.778036887852448</v>
      </c>
      <c r="U112" s="1">
        <f>P112/R112</f>
        <v>242.46491414034344</v>
      </c>
      <c r="V112" s="1">
        <f>ROUND(O112/P112*100,2)</f>
        <v>5.27</v>
      </c>
      <c r="W112" s="27">
        <f>V112-E112</f>
        <v>0</v>
      </c>
    </row>
    <row r="113" spans="1:23">
      <c r="A113" s="1">
        <v>2020</v>
      </c>
      <c r="B113" s="1" t="s">
        <v>55</v>
      </c>
      <c r="C113" s="1" t="s">
        <v>56</v>
      </c>
      <c r="D113" s="2">
        <v>5.24</v>
      </c>
      <c r="E113" s="2">
        <v>5.38</v>
      </c>
      <c r="F113" s="2">
        <v>-0.1</v>
      </c>
      <c r="G113" s="2">
        <v>-0.04</v>
      </c>
      <c r="H113" s="2">
        <v>4.7300000000000004</v>
      </c>
      <c r="I113" s="2">
        <v>9.9700000000000006</v>
      </c>
      <c r="J113" s="2">
        <v>9.98</v>
      </c>
      <c r="K113" s="2">
        <v>9.9499999999999993</v>
      </c>
      <c r="L113" s="2"/>
      <c r="M113" s="2">
        <v>-2.1999999999999999E-2</v>
      </c>
      <c r="O113" s="1">
        <v>39722</v>
      </c>
      <c r="P113" s="1">
        <v>738969</v>
      </c>
      <c r="R113" s="1">
        <v>3099</v>
      </c>
      <c r="S113" s="1">
        <v>1548</v>
      </c>
      <c r="T113" s="1">
        <f>O113/R113</f>
        <v>12.817683123588255</v>
      </c>
      <c r="U113" s="1">
        <f>P113/R113</f>
        <v>238.4540174249758</v>
      </c>
      <c r="V113" s="1">
        <f>ROUND(O113/P113*100,2)</f>
        <v>5.38</v>
      </c>
      <c r="W113" s="27">
        <f>V113-E113</f>
        <v>0</v>
      </c>
    </row>
    <row r="114" spans="1:23">
      <c r="A114" s="1">
        <v>2020</v>
      </c>
      <c r="B114" s="1" t="s">
        <v>57</v>
      </c>
      <c r="C114" s="1" t="s">
        <v>58</v>
      </c>
      <c r="D114" s="2">
        <v>5.12</v>
      </c>
      <c r="E114" s="2">
        <v>5.39</v>
      </c>
      <c r="F114" s="2">
        <v>-0.11</v>
      </c>
      <c r="G114" s="2">
        <v>-0.16</v>
      </c>
      <c r="H114" s="2">
        <v>4.7300000000000004</v>
      </c>
      <c r="I114" s="2">
        <v>9.85</v>
      </c>
      <c r="J114" s="2">
        <v>9.8000000000000007</v>
      </c>
      <c r="K114" s="2">
        <v>9.81</v>
      </c>
      <c r="L114" s="2"/>
      <c r="M114" s="2">
        <v>4.0000000000000001E-3</v>
      </c>
      <c r="O114" s="1">
        <v>33689</v>
      </c>
      <c r="P114" s="1">
        <v>624960</v>
      </c>
      <c r="R114" s="1">
        <v>2679</v>
      </c>
      <c r="S114" s="1">
        <v>1361</v>
      </c>
      <c r="T114" s="1">
        <f>O114/R114</f>
        <v>12.575214632325494</v>
      </c>
      <c r="U114" s="1">
        <f>P114/R114</f>
        <v>233.28107502799551</v>
      </c>
      <c r="V114" s="1">
        <f>ROUND(O114/P114*100,2)</f>
        <v>5.39</v>
      </c>
      <c r="W114" s="27">
        <f>V114-E114</f>
        <v>0</v>
      </c>
    </row>
    <row r="115" spans="1:23">
      <c r="A115" s="1">
        <v>2020</v>
      </c>
      <c r="B115" s="1" t="s">
        <v>59</v>
      </c>
      <c r="C115" s="1" t="s">
        <v>60</v>
      </c>
      <c r="D115" s="2">
        <v>4.92</v>
      </c>
      <c r="E115" s="2">
        <v>5.17</v>
      </c>
      <c r="F115" s="2">
        <v>-0.06</v>
      </c>
      <c r="G115" s="2">
        <v>-0.19</v>
      </c>
      <c r="H115" s="2">
        <v>4.7300000000000004</v>
      </c>
      <c r="I115" s="2">
        <v>9.65</v>
      </c>
      <c r="J115" s="2">
        <v>9.6999999999999993</v>
      </c>
      <c r="K115" s="2">
        <v>9.6999999999999993</v>
      </c>
      <c r="L115" s="2"/>
      <c r="M115" s="2">
        <v>-2E-3</v>
      </c>
      <c r="O115" s="1">
        <v>82738</v>
      </c>
      <c r="P115" s="1">
        <v>1601239</v>
      </c>
      <c r="R115" s="1">
        <v>6905</v>
      </c>
      <c r="S115" s="1">
        <v>3487</v>
      </c>
      <c r="T115" s="1">
        <f>O115/R115</f>
        <v>11.982331643736423</v>
      </c>
      <c r="U115" s="1">
        <f>P115/R115</f>
        <v>231.89558291093411</v>
      </c>
      <c r="V115" s="1">
        <f>ROUND(O115/P115*100,2)</f>
        <v>5.17</v>
      </c>
      <c r="W115" s="27">
        <f>V115-E115</f>
        <v>0</v>
      </c>
    </row>
    <row r="116" spans="1:23">
      <c r="A116" s="1">
        <v>2020</v>
      </c>
      <c r="B116" s="1" t="s">
        <v>61</v>
      </c>
      <c r="C116" s="1" t="s">
        <v>62</v>
      </c>
      <c r="D116" s="2">
        <v>5.17</v>
      </c>
      <c r="E116" s="2">
        <v>5.18</v>
      </c>
      <c r="F116" s="2">
        <v>0.02</v>
      </c>
      <c r="G116" s="2">
        <v>-0.04</v>
      </c>
      <c r="H116" s="2">
        <v>4.7300000000000004</v>
      </c>
      <c r="I116" s="2">
        <v>9.9</v>
      </c>
      <c r="J116" s="2">
        <v>9.91</v>
      </c>
      <c r="K116" s="2">
        <v>9.92</v>
      </c>
      <c r="L116" s="2"/>
      <c r="M116" s="2">
        <v>4.0000000000000001E-3</v>
      </c>
      <c r="O116" s="1">
        <v>98496</v>
      </c>
      <c r="P116" s="1">
        <v>1899780</v>
      </c>
      <c r="R116" s="1">
        <v>7965</v>
      </c>
      <c r="S116" s="1">
        <v>3955</v>
      </c>
      <c r="T116" s="1">
        <f>O116/R116</f>
        <v>12.366101694915255</v>
      </c>
      <c r="U116" s="1">
        <f>P116/R116</f>
        <v>238.51600753295668</v>
      </c>
      <c r="V116" s="1">
        <f>ROUND(O116/P116*100,2)</f>
        <v>5.18</v>
      </c>
      <c r="W116" s="27">
        <f>V116-E116</f>
        <v>0</v>
      </c>
    </row>
    <row r="117" spans="1:23">
      <c r="A117" s="1">
        <v>2020</v>
      </c>
      <c r="B117" s="1" t="s">
        <v>63</v>
      </c>
      <c r="C117" s="1" t="s">
        <v>64</v>
      </c>
      <c r="D117" s="2">
        <v>4.97</v>
      </c>
      <c r="E117" s="2">
        <v>4.8899999999999997</v>
      </c>
      <c r="F117" s="2">
        <v>-0.05</v>
      </c>
      <c r="G117" s="2">
        <v>0.13</v>
      </c>
      <c r="H117" s="2">
        <v>4.7300000000000004</v>
      </c>
      <c r="I117" s="2">
        <v>9.6999999999999993</v>
      </c>
      <c r="J117" s="2">
        <v>9.7200000000000006</v>
      </c>
      <c r="K117" s="2">
        <v>9.73</v>
      </c>
      <c r="L117" s="2"/>
      <c r="M117" s="2">
        <v>3.0000000000000001E-3</v>
      </c>
      <c r="O117" s="1">
        <v>130474</v>
      </c>
      <c r="P117" s="1">
        <v>2667147</v>
      </c>
      <c r="R117" s="1">
        <v>10816</v>
      </c>
      <c r="S117" s="1">
        <v>5452</v>
      </c>
      <c r="T117" s="1">
        <f>O117/R117</f>
        <v>12.06305473372781</v>
      </c>
      <c r="U117" s="1">
        <f>P117/R117</f>
        <v>246.59273298816569</v>
      </c>
      <c r="V117" s="1">
        <f>ROUND(O117/P117*100,2)</f>
        <v>4.8899999999999997</v>
      </c>
      <c r="W117" s="27">
        <f>V117-E117</f>
        <v>0</v>
      </c>
    </row>
    <row r="118" spans="1:23">
      <c r="A118" s="1">
        <v>2020</v>
      </c>
      <c r="B118" s="1" t="s">
        <v>65</v>
      </c>
      <c r="C118" s="1" t="s">
        <v>66</v>
      </c>
      <c r="D118" s="2">
        <v>5.15</v>
      </c>
      <c r="E118" s="2">
        <v>4.62</v>
      </c>
      <c r="F118" s="2">
        <v>0.19</v>
      </c>
      <c r="G118" s="2">
        <v>0.33</v>
      </c>
      <c r="H118" s="2">
        <v>4.7300000000000004</v>
      </c>
      <c r="I118" s="2">
        <v>9.8800000000000008</v>
      </c>
      <c r="J118" s="2">
        <v>9.8800000000000008</v>
      </c>
      <c r="K118" s="2">
        <v>9.8800000000000008</v>
      </c>
      <c r="L118" s="2"/>
      <c r="M118" s="2">
        <v>4.0000000000000001E-3</v>
      </c>
      <c r="O118" s="1">
        <v>310008</v>
      </c>
      <c r="P118" s="1">
        <v>6709411</v>
      </c>
      <c r="R118" s="1">
        <v>26142</v>
      </c>
      <c r="S118" s="1">
        <v>12442</v>
      </c>
      <c r="T118" s="1">
        <f>O118/R118</f>
        <v>11.858618315354601</v>
      </c>
      <c r="U118" s="1">
        <f>P118/R118</f>
        <v>256.65255144977431</v>
      </c>
      <c r="V118" s="1">
        <f>ROUND(O118/P118*100,2)</f>
        <v>4.62</v>
      </c>
      <c r="W118" s="27">
        <f>V118-E118</f>
        <v>0</v>
      </c>
    </row>
    <row r="119" spans="1:23">
      <c r="A119" s="1">
        <v>2020</v>
      </c>
      <c r="B119" s="1" t="s">
        <v>67</v>
      </c>
      <c r="C119" s="1" t="s">
        <v>68</v>
      </c>
      <c r="D119" s="2">
        <v>5.07</v>
      </c>
      <c r="E119" s="2">
        <v>4.97</v>
      </c>
      <c r="F119" s="2">
        <v>0.05</v>
      </c>
      <c r="G119" s="2">
        <v>0.05</v>
      </c>
      <c r="H119" s="2">
        <v>4.7300000000000004</v>
      </c>
      <c r="I119" s="2">
        <v>9.8000000000000007</v>
      </c>
      <c r="J119" s="2">
        <v>9.77</v>
      </c>
      <c r="K119" s="2">
        <v>9.77</v>
      </c>
      <c r="L119" s="2"/>
      <c r="M119" s="2">
        <v>-2E-3</v>
      </c>
      <c r="O119" s="1">
        <v>65413</v>
      </c>
      <c r="P119" s="1">
        <v>1315767</v>
      </c>
      <c r="R119" s="1">
        <v>5425</v>
      </c>
      <c r="S119" s="1">
        <v>2674</v>
      </c>
      <c r="T119" s="1">
        <f>O119/R119</f>
        <v>12.057695852534563</v>
      </c>
      <c r="U119" s="1">
        <f>P119/R119</f>
        <v>242.53769585253457</v>
      </c>
      <c r="V119" s="1">
        <f>ROUND(O119/P119*100,2)</f>
        <v>4.97</v>
      </c>
      <c r="W119" s="27">
        <f>V119-E119</f>
        <v>0</v>
      </c>
    </row>
    <row r="120" spans="1:23">
      <c r="A120" s="1">
        <v>2020</v>
      </c>
      <c r="B120" s="1" t="s">
        <v>69</v>
      </c>
      <c r="C120" s="1" t="s">
        <v>70</v>
      </c>
      <c r="D120" s="2">
        <v>5.08</v>
      </c>
      <c r="E120" s="2">
        <v>5.15</v>
      </c>
      <c r="F120" s="2">
        <v>0.06</v>
      </c>
      <c r="G120" s="2">
        <v>-0.13</v>
      </c>
      <c r="H120" s="2">
        <v>4.7300000000000004</v>
      </c>
      <c r="I120" s="2">
        <v>9.81</v>
      </c>
      <c r="J120" s="2">
        <v>9.7899999999999991</v>
      </c>
      <c r="K120" s="2">
        <v>9.7899999999999991</v>
      </c>
      <c r="L120" s="2"/>
      <c r="M120" s="2">
        <v>-5.0000000000000001E-3</v>
      </c>
      <c r="O120" s="1">
        <v>44971</v>
      </c>
      <c r="P120" s="1">
        <v>873482</v>
      </c>
      <c r="R120" s="1">
        <v>3724</v>
      </c>
      <c r="S120" s="1">
        <v>1795</v>
      </c>
      <c r="T120" s="1">
        <f>O120/R120</f>
        <v>12.075993555316863</v>
      </c>
      <c r="U120" s="1">
        <f>P120/R120</f>
        <v>234.5547798066595</v>
      </c>
      <c r="V120" s="1">
        <f>ROUND(O120/P120*100,2)</f>
        <v>5.15</v>
      </c>
      <c r="W120" s="27">
        <f>V120-E120</f>
        <v>0</v>
      </c>
    </row>
    <row r="121" spans="1:23">
      <c r="A121" s="1">
        <v>2020</v>
      </c>
      <c r="B121" s="1" t="s">
        <v>71</v>
      </c>
      <c r="C121" s="1" t="s">
        <v>72</v>
      </c>
      <c r="D121" s="2">
        <v>5.28</v>
      </c>
      <c r="E121" s="2">
        <v>5.14</v>
      </c>
      <c r="F121" s="2">
        <v>0.06</v>
      </c>
      <c r="G121" s="2">
        <v>0.08</v>
      </c>
      <c r="H121" s="2">
        <v>4.7300000000000004</v>
      </c>
      <c r="I121" s="2">
        <v>10.01</v>
      </c>
      <c r="J121" s="2">
        <v>10.02</v>
      </c>
      <c r="K121" s="2">
        <v>10.029999999999999</v>
      </c>
      <c r="L121" s="2"/>
      <c r="M121" s="2">
        <v>4.0000000000000001E-3</v>
      </c>
      <c r="O121" s="1">
        <v>117143</v>
      </c>
      <c r="P121" s="1">
        <v>2277649</v>
      </c>
      <c r="R121" s="1">
        <v>9329</v>
      </c>
      <c r="S121" s="1">
        <v>4547</v>
      </c>
      <c r="T121" s="1">
        <f>O121/R121</f>
        <v>12.556865687640689</v>
      </c>
      <c r="U121" s="1">
        <f>P121/R121</f>
        <v>244.14717547432736</v>
      </c>
      <c r="V121" s="1">
        <f>ROUND(O121/P121*100,2)</f>
        <v>5.14</v>
      </c>
      <c r="W121" s="27">
        <f>V121-E121</f>
        <v>0</v>
      </c>
    </row>
    <row r="122" spans="1:23">
      <c r="A122" s="1">
        <v>2020</v>
      </c>
      <c r="B122" s="1" t="s">
        <v>73</v>
      </c>
      <c r="C122" s="1" t="s">
        <v>74</v>
      </c>
      <c r="D122" s="2">
        <v>5.49</v>
      </c>
      <c r="E122" s="2">
        <v>5.18</v>
      </c>
      <c r="F122" s="2">
        <v>0.16</v>
      </c>
      <c r="G122" s="2">
        <v>0.14000000000000001</v>
      </c>
      <c r="H122" s="2">
        <v>4.7300000000000004</v>
      </c>
      <c r="I122" s="2">
        <v>10.23</v>
      </c>
      <c r="J122" s="2">
        <v>10.220000000000001</v>
      </c>
      <c r="K122" s="2">
        <v>10.220000000000001</v>
      </c>
      <c r="L122" s="2"/>
      <c r="M122" s="2">
        <v>4.0000000000000001E-3</v>
      </c>
      <c r="O122" s="1">
        <v>461772</v>
      </c>
      <c r="P122" s="1">
        <v>8906510</v>
      </c>
      <c r="R122" s="1">
        <v>36038</v>
      </c>
      <c r="S122" s="1">
        <v>17223</v>
      </c>
      <c r="T122" s="1">
        <f>O122/R122</f>
        <v>12.813474665630723</v>
      </c>
      <c r="U122" s="1">
        <f>P122/R122</f>
        <v>247.14218325101282</v>
      </c>
      <c r="V122" s="1">
        <f>ROUND(O122/P122*100,2)</f>
        <v>5.18</v>
      </c>
      <c r="W122" s="27">
        <f>V122-E122</f>
        <v>0</v>
      </c>
    </row>
    <row r="123" spans="1:23">
      <c r="A123" s="1">
        <v>2020</v>
      </c>
      <c r="B123" s="1" t="s">
        <v>75</v>
      </c>
      <c r="C123" s="1" t="s">
        <v>76</v>
      </c>
      <c r="D123" s="2">
        <v>5.41</v>
      </c>
      <c r="E123" s="2">
        <v>5.37</v>
      </c>
      <c r="F123" s="2">
        <v>0.04</v>
      </c>
      <c r="G123" s="2">
        <v>0</v>
      </c>
      <c r="H123" s="2">
        <v>4.7300000000000004</v>
      </c>
      <c r="I123" s="2">
        <v>10.14</v>
      </c>
      <c r="J123" s="2">
        <v>10.130000000000001</v>
      </c>
      <c r="K123" s="2">
        <v>10.14</v>
      </c>
      <c r="L123" s="2"/>
      <c r="M123" s="2">
        <v>4.0000000000000001E-3</v>
      </c>
      <c r="O123" s="1">
        <v>203851</v>
      </c>
      <c r="P123" s="1">
        <v>3797594</v>
      </c>
      <c r="R123" s="1">
        <v>15808</v>
      </c>
      <c r="S123" s="1">
        <v>7802</v>
      </c>
      <c r="T123" s="1">
        <f>O123/R123</f>
        <v>12.895432692307692</v>
      </c>
      <c r="U123" s="1">
        <f>P123/R123</f>
        <v>240.23241396761134</v>
      </c>
      <c r="V123" s="1">
        <f>ROUND(O123/P123*100,2)</f>
        <v>5.37</v>
      </c>
      <c r="W123" s="27">
        <f>V123-E123</f>
        <v>0</v>
      </c>
    </row>
    <row r="124" spans="1:23">
      <c r="A124" s="1">
        <v>2020</v>
      </c>
      <c r="B124" s="1" t="s">
        <v>77</v>
      </c>
      <c r="C124" s="1" t="s">
        <v>78</v>
      </c>
      <c r="D124" s="2">
        <v>5.37</v>
      </c>
      <c r="E124" s="2">
        <v>5.8</v>
      </c>
      <c r="F124" s="2">
        <v>-0.01</v>
      </c>
      <c r="G124" s="2">
        <v>-0.42</v>
      </c>
      <c r="H124" s="2">
        <v>4.7300000000000004</v>
      </c>
      <c r="I124" s="2">
        <v>10.1</v>
      </c>
      <c r="J124" s="2">
        <v>10.130000000000001</v>
      </c>
      <c r="K124" s="2">
        <v>10.14</v>
      </c>
      <c r="L124" s="2"/>
      <c r="M124" s="2">
        <v>4.0000000000000001E-3</v>
      </c>
      <c r="O124" s="1">
        <v>43555</v>
      </c>
      <c r="P124" s="1">
        <v>751596</v>
      </c>
      <c r="R124" s="1">
        <v>3374</v>
      </c>
      <c r="S124" s="1">
        <v>1666</v>
      </c>
      <c r="T124" s="1">
        <f>O124/R124</f>
        <v>12.90901007705987</v>
      </c>
      <c r="U124" s="1">
        <f>P124/R124</f>
        <v>222.76111440426794</v>
      </c>
      <c r="V124" s="1">
        <f>ROUND(O124/P124*100,2)</f>
        <v>5.8</v>
      </c>
      <c r="W124" s="27">
        <f>V124-E124</f>
        <v>0</v>
      </c>
    </row>
    <row r="125" spans="1:23">
      <c r="A125" s="1">
        <v>2020</v>
      </c>
      <c r="B125" s="1" t="s">
        <v>79</v>
      </c>
      <c r="C125" s="1" t="s">
        <v>80</v>
      </c>
      <c r="D125" s="2">
        <v>5.39</v>
      </c>
      <c r="E125" s="2">
        <v>5.88</v>
      </c>
      <c r="F125" s="2">
        <v>0.03</v>
      </c>
      <c r="G125" s="2">
        <v>-0.52</v>
      </c>
      <c r="H125" s="2">
        <v>4.7300000000000004</v>
      </c>
      <c r="I125" s="2">
        <v>10.119999999999999</v>
      </c>
      <c r="J125" s="2">
        <v>10.130000000000001</v>
      </c>
      <c r="K125" s="2">
        <v>10.14</v>
      </c>
      <c r="L125" s="2"/>
      <c r="M125" s="2">
        <v>4.0000000000000001E-3</v>
      </c>
      <c r="O125" s="1">
        <v>40250</v>
      </c>
      <c r="P125" s="1">
        <v>684122</v>
      </c>
      <c r="R125" s="1">
        <v>3129</v>
      </c>
      <c r="S125" s="1">
        <v>1580</v>
      </c>
      <c r="T125" s="1">
        <f>O125/R125</f>
        <v>12.863534675615213</v>
      </c>
      <c r="U125" s="1">
        <f>P125/R125</f>
        <v>218.63918184723553</v>
      </c>
      <c r="V125" s="1">
        <f>ROUND(O125/P125*100,2)</f>
        <v>5.88</v>
      </c>
      <c r="W125" s="27">
        <f>V125-E125</f>
        <v>0</v>
      </c>
    </row>
    <row r="126" spans="1:23">
      <c r="A126" s="1">
        <v>2020</v>
      </c>
      <c r="B126" s="1" t="s">
        <v>81</v>
      </c>
      <c r="C126" s="1" t="s">
        <v>82</v>
      </c>
      <c r="D126" s="2">
        <v>5.23</v>
      </c>
      <c r="E126" s="2">
        <v>6.05</v>
      </c>
      <c r="F126" s="2">
        <v>-0.12</v>
      </c>
      <c r="G126" s="2">
        <v>-0.7</v>
      </c>
      <c r="H126" s="2">
        <v>4.7300000000000004</v>
      </c>
      <c r="I126" s="2">
        <v>9.9600000000000009</v>
      </c>
      <c r="J126" s="2">
        <v>9.98</v>
      </c>
      <c r="K126" s="2">
        <v>9.99</v>
      </c>
      <c r="L126" s="2"/>
      <c r="M126" s="2">
        <v>4.0000000000000001E-3</v>
      </c>
      <c r="O126" s="1">
        <v>27713</v>
      </c>
      <c r="P126" s="1">
        <v>458329</v>
      </c>
      <c r="R126" s="1">
        <v>2159</v>
      </c>
      <c r="S126" s="1">
        <v>1072</v>
      </c>
      <c r="T126" s="1">
        <f>O126/R126</f>
        <v>12.836035201482167</v>
      </c>
      <c r="U126" s="1">
        <f>P126/R126</f>
        <v>212.28763316350162</v>
      </c>
      <c r="V126" s="1">
        <f>ROUND(O126/P126*100,2)</f>
        <v>6.05</v>
      </c>
      <c r="W126" s="27">
        <f>V126-E126</f>
        <v>0</v>
      </c>
    </row>
    <row r="127" spans="1:23">
      <c r="A127" s="1">
        <v>2020</v>
      </c>
      <c r="B127" s="1" t="s">
        <v>83</v>
      </c>
      <c r="C127" s="1" t="s">
        <v>84</v>
      </c>
      <c r="D127" s="2">
        <v>5.42</v>
      </c>
      <c r="E127" s="2">
        <v>6.28</v>
      </c>
      <c r="F127" s="2">
        <v>-0.27</v>
      </c>
      <c r="G127" s="2">
        <v>-0.59</v>
      </c>
      <c r="H127" s="2">
        <v>4.7300000000000004</v>
      </c>
      <c r="I127" s="2">
        <v>10.15</v>
      </c>
      <c r="J127" s="2">
        <v>10.15</v>
      </c>
      <c r="K127" s="2">
        <v>10.15</v>
      </c>
      <c r="L127" s="2"/>
      <c r="M127" s="2">
        <v>-5.0000000000000001E-3</v>
      </c>
      <c r="O127" s="1">
        <v>35736</v>
      </c>
      <c r="P127" s="1">
        <v>568671</v>
      </c>
      <c r="R127" s="1">
        <v>2633</v>
      </c>
      <c r="S127" s="1">
        <v>1339</v>
      </c>
      <c r="T127" s="1">
        <f>O127/R127</f>
        <v>13.572350930497532</v>
      </c>
      <c r="U127" s="1">
        <f>P127/R127</f>
        <v>215.97835169008735</v>
      </c>
      <c r="V127" s="1">
        <f>ROUND(O127/P127*100,2)</f>
        <v>6.28</v>
      </c>
      <c r="W127" s="27">
        <f>V127-E127</f>
        <v>0</v>
      </c>
    </row>
    <row r="128" spans="1:23">
      <c r="A128" s="1">
        <v>2020</v>
      </c>
      <c r="B128" s="1" t="s">
        <v>85</v>
      </c>
      <c r="C128" s="1" t="s">
        <v>86</v>
      </c>
      <c r="D128" s="2">
        <v>5.46</v>
      </c>
      <c r="E128" s="2">
        <v>5.57</v>
      </c>
      <c r="F128" s="2">
        <v>7.0000000000000007E-2</v>
      </c>
      <c r="G128" s="2">
        <v>-0.18</v>
      </c>
      <c r="H128" s="2">
        <v>4.7300000000000004</v>
      </c>
      <c r="I128" s="2">
        <v>10.19</v>
      </c>
      <c r="J128" s="2">
        <v>10.17</v>
      </c>
      <c r="K128" s="2">
        <v>10.17</v>
      </c>
      <c r="L128" s="2"/>
      <c r="M128" s="2">
        <v>1E-3</v>
      </c>
      <c r="O128" s="1">
        <v>98110</v>
      </c>
      <c r="P128" s="1">
        <v>1761957</v>
      </c>
      <c r="R128" s="1">
        <v>7578</v>
      </c>
      <c r="S128" s="1">
        <v>3635</v>
      </c>
      <c r="T128" s="1">
        <f>O128/R128</f>
        <v>12.946687780416996</v>
      </c>
      <c r="U128" s="1">
        <f>P128/R128</f>
        <v>232.50950118764845</v>
      </c>
      <c r="V128" s="1">
        <f>ROUND(O128/P128*100,2)</f>
        <v>5.57</v>
      </c>
      <c r="W128" s="27">
        <f>V128-E128</f>
        <v>0</v>
      </c>
    </row>
    <row r="129" spans="1:23">
      <c r="A129" s="1">
        <v>2020</v>
      </c>
      <c r="B129" s="1" t="s">
        <v>87</v>
      </c>
      <c r="C129" s="1" t="s">
        <v>88</v>
      </c>
      <c r="D129" s="2">
        <v>5.29</v>
      </c>
      <c r="E129" s="2">
        <v>5.35</v>
      </c>
      <c r="F129" s="2">
        <v>0.04</v>
      </c>
      <c r="G129" s="2">
        <v>-0.1</v>
      </c>
      <c r="H129" s="2">
        <v>4.7300000000000004</v>
      </c>
      <c r="I129" s="2">
        <v>10.02</v>
      </c>
      <c r="J129" s="2">
        <v>10</v>
      </c>
      <c r="K129" s="2">
        <v>10.01</v>
      </c>
      <c r="L129" s="2"/>
      <c r="M129" s="2">
        <v>4.0000000000000001E-3</v>
      </c>
      <c r="O129" s="1">
        <v>144111</v>
      </c>
      <c r="P129" s="1">
        <v>2691953</v>
      </c>
      <c r="R129" s="1">
        <v>11423</v>
      </c>
      <c r="S129" s="1">
        <v>5616</v>
      </c>
      <c r="T129" s="1">
        <f>O129/R129</f>
        <v>12.615862733082377</v>
      </c>
      <c r="U129" s="1">
        <f>P129/R129</f>
        <v>235.66077212641162</v>
      </c>
      <c r="V129" s="1">
        <f>ROUND(O129/P129*100,2)</f>
        <v>5.35</v>
      </c>
      <c r="W129" s="27">
        <f>V129-E129</f>
        <v>0</v>
      </c>
    </row>
    <row r="130" spans="1:23">
      <c r="A130" s="1">
        <v>2020</v>
      </c>
      <c r="B130" s="1" t="s">
        <v>89</v>
      </c>
      <c r="C130" s="1" t="s">
        <v>90</v>
      </c>
      <c r="D130" s="2">
        <v>5.49</v>
      </c>
      <c r="E130" s="2">
        <v>5.8</v>
      </c>
      <c r="F130" s="2">
        <v>-0.19</v>
      </c>
      <c r="G130" s="2">
        <v>-0.13</v>
      </c>
      <c r="H130" s="2">
        <v>4.7300000000000004</v>
      </c>
      <c r="I130" s="2">
        <v>10.220000000000001</v>
      </c>
      <c r="J130" s="2">
        <v>10.199999999999999</v>
      </c>
      <c r="K130" s="2">
        <v>10.199999999999999</v>
      </c>
      <c r="L130" s="2"/>
      <c r="M130" s="2">
        <v>4.0000000000000001E-3</v>
      </c>
      <c r="O130" s="1">
        <v>61858</v>
      </c>
      <c r="P130" s="1">
        <v>1066127</v>
      </c>
      <c r="R130" s="1">
        <v>4543</v>
      </c>
      <c r="S130" s="1">
        <v>2358</v>
      </c>
      <c r="T130" s="1">
        <f>O130/R130</f>
        <v>13.616112700858464</v>
      </c>
      <c r="U130" s="1">
        <f>P130/R130</f>
        <v>234.67466431873211</v>
      </c>
      <c r="V130" s="1">
        <f>ROUND(O130/P130*100,2)</f>
        <v>5.8</v>
      </c>
      <c r="W130" s="27">
        <f>V130-E130</f>
        <v>0</v>
      </c>
    </row>
    <row r="131" spans="1:23">
      <c r="A131" s="1">
        <v>2020</v>
      </c>
      <c r="B131" s="1" t="s">
        <v>91</v>
      </c>
      <c r="C131" s="1" t="s">
        <v>92</v>
      </c>
      <c r="D131" s="2">
        <v>5.59</v>
      </c>
      <c r="E131" s="2">
        <v>6.08</v>
      </c>
      <c r="F131" s="2">
        <v>-0.08</v>
      </c>
      <c r="G131" s="2">
        <v>-0.4</v>
      </c>
      <c r="H131" s="2">
        <v>4.7300000000000004</v>
      </c>
      <c r="I131" s="2">
        <v>10.32</v>
      </c>
      <c r="J131" s="2">
        <v>10.28</v>
      </c>
      <c r="K131" s="2">
        <v>10.28</v>
      </c>
      <c r="L131" s="2"/>
      <c r="M131" s="2">
        <v>4.0000000000000001E-3</v>
      </c>
      <c r="O131" s="1">
        <v>38552</v>
      </c>
      <c r="P131" s="1">
        <v>633991</v>
      </c>
      <c r="R131" s="1">
        <v>2839</v>
      </c>
      <c r="S131" s="1">
        <v>1401</v>
      </c>
      <c r="T131" s="1">
        <f>O131/R131</f>
        <v>13.579429376541036</v>
      </c>
      <c r="U131" s="1">
        <f>P131/R131</f>
        <v>223.31489961253962</v>
      </c>
      <c r="V131" s="1">
        <f>ROUND(O131/P131*100,2)</f>
        <v>6.08</v>
      </c>
      <c r="W131" s="27">
        <f>V131-E131</f>
        <v>0</v>
      </c>
    </row>
    <row r="132" spans="1:23">
      <c r="A132" s="1">
        <v>2020</v>
      </c>
      <c r="B132" s="1" t="s">
        <v>93</v>
      </c>
      <c r="C132" s="1" t="s">
        <v>94</v>
      </c>
      <c r="D132" s="2">
        <v>5.61</v>
      </c>
      <c r="E132" s="2">
        <v>5.94</v>
      </c>
      <c r="F132" s="2">
        <v>-0.05</v>
      </c>
      <c r="G132" s="2">
        <v>-0.28000000000000003</v>
      </c>
      <c r="H132" s="2">
        <v>4.7300000000000004</v>
      </c>
      <c r="I132" s="2">
        <v>10.34</v>
      </c>
      <c r="J132" s="2">
        <v>10.33</v>
      </c>
      <c r="K132" s="2">
        <v>10.34</v>
      </c>
      <c r="L132" s="2"/>
      <c r="M132" s="2">
        <v>4.0000000000000001E-3</v>
      </c>
      <c r="O132" s="1">
        <v>55457</v>
      </c>
      <c r="P132" s="1">
        <v>933498</v>
      </c>
      <c r="R132" s="1">
        <v>4091</v>
      </c>
      <c r="S132" s="1">
        <v>2024</v>
      </c>
      <c r="T132" s="1">
        <f>O132/R132</f>
        <v>13.55585431434857</v>
      </c>
      <c r="U132" s="1">
        <f>P132/R132</f>
        <v>228.18332925934979</v>
      </c>
      <c r="V132" s="1">
        <f>ROUND(O132/P132*100,2)</f>
        <v>5.94</v>
      </c>
      <c r="W132" s="27">
        <f>V132-E132</f>
        <v>0</v>
      </c>
    </row>
    <row r="133" spans="1:23">
      <c r="A133" s="1">
        <v>2020</v>
      </c>
      <c r="B133" s="1" t="s">
        <v>95</v>
      </c>
      <c r="C133" s="1" t="s">
        <v>96</v>
      </c>
      <c r="D133" s="2">
        <v>5.36</v>
      </c>
      <c r="E133" s="2">
        <v>5.81</v>
      </c>
      <c r="F133" s="2">
        <v>0.04</v>
      </c>
      <c r="G133" s="2">
        <v>-0.48</v>
      </c>
      <c r="H133" s="2">
        <v>4.7300000000000004</v>
      </c>
      <c r="I133" s="2">
        <v>10.09</v>
      </c>
      <c r="J133" s="2">
        <v>10.06</v>
      </c>
      <c r="K133" s="2">
        <v>10.07</v>
      </c>
      <c r="L133" s="2"/>
      <c r="M133" s="2">
        <v>4.0000000000000001E-3</v>
      </c>
      <c r="O133" s="1">
        <v>71202</v>
      </c>
      <c r="P133" s="1">
        <v>1226441</v>
      </c>
      <c r="R133" s="1">
        <v>5570</v>
      </c>
      <c r="S133" s="1">
        <v>2719</v>
      </c>
      <c r="T133" s="1">
        <f>O133/R133</f>
        <v>12.783123877917415</v>
      </c>
      <c r="U133" s="1">
        <f>P133/R133</f>
        <v>220.18689407540396</v>
      </c>
      <c r="V133" s="1">
        <f>ROUND(O133/P133*100,2)</f>
        <v>5.81</v>
      </c>
      <c r="W133" s="27">
        <f>V133-E133</f>
        <v>0</v>
      </c>
    </row>
    <row r="134" spans="1:23">
      <c r="A134" s="1">
        <v>2020</v>
      </c>
      <c r="B134" s="1" t="s">
        <v>97</v>
      </c>
      <c r="C134" s="1" t="s">
        <v>98</v>
      </c>
      <c r="D134" s="2">
        <v>5.53</v>
      </c>
      <c r="E134" s="2">
        <v>6.08</v>
      </c>
      <c r="F134" s="2">
        <v>-0.12</v>
      </c>
      <c r="G134" s="2">
        <v>-0.43</v>
      </c>
      <c r="H134" s="2">
        <v>4.7300000000000004</v>
      </c>
      <c r="I134" s="2">
        <v>10.26</v>
      </c>
      <c r="J134" s="2">
        <v>10.3</v>
      </c>
      <c r="K134" s="2">
        <v>10.3</v>
      </c>
      <c r="L134" s="2"/>
      <c r="M134" s="2">
        <v>4.0000000000000001E-3</v>
      </c>
      <c r="O134" s="1">
        <v>36281</v>
      </c>
      <c r="P134" s="1">
        <v>596366</v>
      </c>
      <c r="R134" s="1">
        <v>2684</v>
      </c>
      <c r="S134" s="1">
        <v>1373</v>
      </c>
      <c r="T134" s="1">
        <f>O134/R134</f>
        <v>13.517511177347243</v>
      </c>
      <c r="U134" s="1">
        <f>P134/R134</f>
        <v>222.19299552906111</v>
      </c>
      <c r="V134" s="1">
        <f>ROUND(O134/P134*100,2)</f>
        <v>6.08</v>
      </c>
      <c r="W134" s="27">
        <f>V134-E134</f>
        <v>0</v>
      </c>
    </row>
    <row r="135" spans="1:23">
      <c r="A135" s="1">
        <v>2020</v>
      </c>
      <c r="B135" s="1" t="s">
        <v>99</v>
      </c>
      <c r="C135" s="1" t="s">
        <v>100</v>
      </c>
      <c r="D135" s="2">
        <v>5.6</v>
      </c>
      <c r="E135" s="2">
        <v>5.85</v>
      </c>
      <c r="F135" s="2">
        <v>0.03</v>
      </c>
      <c r="G135" s="2">
        <v>-0.28000000000000003</v>
      </c>
      <c r="H135" s="2">
        <v>4.7300000000000004</v>
      </c>
      <c r="I135" s="2">
        <v>10.33</v>
      </c>
      <c r="J135" s="2">
        <v>10.31</v>
      </c>
      <c r="K135" s="2">
        <v>10.32</v>
      </c>
      <c r="L135" s="2"/>
      <c r="M135" s="2">
        <v>4.0000000000000001E-3</v>
      </c>
      <c r="O135" s="1">
        <v>265135</v>
      </c>
      <c r="P135" s="1">
        <v>4535698</v>
      </c>
      <c r="R135" s="1">
        <v>19868</v>
      </c>
      <c r="S135" s="1">
        <v>9478</v>
      </c>
      <c r="T135" s="1">
        <f>O135/R135</f>
        <v>13.344825850614052</v>
      </c>
      <c r="U135" s="1">
        <f>P135/R135</f>
        <v>228.29162472317293</v>
      </c>
      <c r="V135" s="1">
        <f>ROUND(O135/P135*100,2)</f>
        <v>5.85</v>
      </c>
      <c r="W135" s="27">
        <f>V135-E135</f>
        <v>0</v>
      </c>
    </row>
    <row r="136" spans="1:23">
      <c r="A136" s="1">
        <v>2020</v>
      </c>
      <c r="B136" s="1" t="s">
        <v>101</v>
      </c>
      <c r="C136" s="1" t="s">
        <v>102</v>
      </c>
      <c r="D136" s="2">
        <v>6.06</v>
      </c>
      <c r="E136" s="2">
        <v>6.98</v>
      </c>
      <c r="F136" s="2">
        <v>-0.16</v>
      </c>
      <c r="G136" s="2">
        <v>-0.76</v>
      </c>
      <c r="H136" s="2">
        <v>4.7300000000000004</v>
      </c>
      <c r="I136" s="2">
        <v>10.79</v>
      </c>
      <c r="J136" s="2">
        <v>10.77</v>
      </c>
      <c r="K136" s="2">
        <v>10.73</v>
      </c>
      <c r="L136" s="2"/>
      <c r="M136" s="2">
        <v>-3.5999999999999997E-2</v>
      </c>
      <c r="O136" s="1">
        <v>45828</v>
      </c>
      <c r="P136" s="1">
        <v>656205</v>
      </c>
      <c r="R136" s="1">
        <v>3123</v>
      </c>
      <c r="S136" s="1">
        <v>1520</v>
      </c>
      <c r="T136" s="1">
        <f>O136/R136</f>
        <v>14.67435158501441</v>
      </c>
      <c r="U136" s="1">
        <f>P136/R136</f>
        <v>210.12007684918348</v>
      </c>
      <c r="V136" s="1">
        <f>ROUND(O136/P136*100,2)</f>
        <v>6.98</v>
      </c>
      <c r="W136" s="27">
        <f>V136-E136</f>
        <v>0</v>
      </c>
    </row>
    <row r="137" spans="1:23">
      <c r="A137" s="1">
        <v>2020</v>
      </c>
      <c r="B137" s="1" t="s">
        <v>103</v>
      </c>
      <c r="C137" s="1" t="s">
        <v>104</v>
      </c>
      <c r="D137" s="2">
        <v>5.52</v>
      </c>
      <c r="E137" s="2">
        <v>6.43</v>
      </c>
      <c r="F137" s="2">
        <v>-0.16</v>
      </c>
      <c r="G137" s="2">
        <v>-0.75</v>
      </c>
      <c r="H137" s="2">
        <v>4.7300000000000004</v>
      </c>
      <c r="I137" s="2">
        <v>10.25</v>
      </c>
      <c r="J137" s="2">
        <v>10.23</v>
      </c>
      <c r="K137" s="2">
        <v>10.220000000000001</v>
      </c>
      <c r="L137" s="2"/>
      <c r="M137" s="2">
        <v>-1.4E-2</v>
      </c>
      <c r="O137" s="1">
        <v>65948</v>
      </c>
      <c r="P137" s="1">
        <v>1025257</v>
      </c>
      <c r="R137" s="1">
        <v>4874</v>
      </c>
      <c r="S137" s="1">
        <v>2441</v>
      </c>
      <c r="T137" s="1">
        <f>O137/R137</f>
        <v>13.53057037340993</v>
      </c>
      <c r="U137" s="1">
        <f>P137/R137</f>
        <v>210.35227739023389</v>
      </c>
      <c r="V137" s="1">
        <f>ROUND(O137/P137*100,2)</f>
        <v>6.43</v>
      </c>
      <c r="W137" s="27">
        <f>V137-E137</f>
        <v>0</v>
      </c>
    </row>
    <row r="138" spans="1:23">
      <c r="A138" s="1">
        <v>2020</v>
      </c>
      <c r="B138" s="1" t="s">
        <v>105</v>
      </c>
      <c r="C138" s="1" t="s">
        <v>106</v>
      </c>
      <c r="D138" s="2">
        <v>5.58</v>
      </c>
      <c r="E138" s="2">
        <v>6.25</v>
      </c>
      <c r="F138" s="2">
        <v>-0.03</v>
      </c>
      <c r="G138" s="2">
        <v>-0.64</v>
      </c>
      <c r="H138" s="2">
        <v>4.7300000000000004</v>
      </c>
      <c r="I138" s="2">
        <v>10.31</v>
      </c>
      <c r="J138" s="2">
        <v>10.35</v>
      </c>
      <c r="K138" s="2">
        <v>10.33</v>
      </c>
      <c r="L138" s="2"/>
      <c r="M138" s="2">
        <v>-1.2999999999999999E-2</v>
      </c>
      <c r="O138" s="1">
        <v>90182</v>
      </c>
      <c r="P138" s="1">
        <v>1443386</v>
      </c>
      <c r="R138" s="1">
        <v>6730</v>
      </c>
      <c r="S138" s="1">
        <v>3232</v>
      </c>
      <c r="T138" s="1">
        <f>O138/R138</f>
        <v>13.4</v>
      </c>
      <c r="U138" s="1">
        <f>P138/R138</f>
        <v>214.47043090638931</v>
      </c>
      <c r="V138" s="1">
        <f>ROUND(O138/P138*100,2)</f>
        <v>6.25</v>
      </c>
      <c r="W138" s="27">
        <f>V138-E138</f>
        <v>0</v>
      </c>
    </row>
    <row r="139" spans="1:23">
      <c r="A139" s="1">
        <v>2020</v>
      </c>
      <c r="B139" s="1" t="s">
        <v>107</v>
      </c>
      <c r="C139" s="1" t="s">
        <v>108</v>
      </c>
      <c r="D139" s="2">
        <v>5.5</v>
      </c>
      <c r="E139" s="2">
        <v>6.28</v>
      </c>
      <c r="F139" s="2">
        <v>-0.16</v>
      </c>
      <c r="G139" s="2">
        <v>-0.62</v>
      </c>
      <c r="H139" s="2">
        <v>4.7300000000000004</v>
      </c>
      <c r="I139" s="2">
        <v>10.23</v>
      </c>
      <c r="J139" s="2">
        <v>10.17</v>
      </c>
      <c r="K139" s="2">
        <v>10.17</v>
      </c>
      <c r="L139" s="2"/>
      <c r="M139" s="2">
        <v>2E-3</v>
      </c>
      <c r="O139" s="1">
        <v>60439</v>
      </c>
      <c r="P139" s="1">
        <v>961811</v>
      </c>
      <c r="R139" s="1">
        <v>4475</v>
      </c>
      <c r="S139" s="1">
        <v>2246</v>
      </c>
      <c r="T139" s="1">
        <f>O139/R139</f>
        <v>13.505921787709497</v>
      </c>
      <c r="U139" s="1">
        <f>P139/R139</f>
        <v>214.92983240223464</v>
      </c>
      <c r="V139" s="1">
        <f>ROUND(O139/P139*100,2)</f>
        <v>6.28</v>
      </c>
      <c r="W139" s="27">
        <f>V139-E139</f>
        <v>0</v>
      </c>
    </row>
    <row r="140" spans="1:23">
      <c r="A140" s="1">
        <v>2020</v>
      </c>
      <c r="B140" s="1" t="s">
        <v>109</v>
      </c>
      <c r="C140" s="1" t="s">
        <v>110</v>
      </c>
      <c r="D140" s="2">
        <v>5.2</v>
      </c>
      <c r="E140" s="2">
        <v>6.11</v>
      </c>
      <c r="F140" s="2">
        <v>-7.0000000000000007E-2</v>
      </c>
      <c r="G140" s="2">
        <v>-0.84</v>
      </c>
      <c r="H140" s="2">
        <v>4.7300000000000004</v>
      </c>
      <c r="I140" s="2">
        <v>9.93</v>
      </c>
      <c r="J140" s="2">
        <v>9.92</v>
      </c>
      <c r="K140" s="2">
        <v>9.91</v>
      </c>
      <c r="L140" s="2"/>
      <c r="M140" s="2">
        <v>-6.0000000000000001E-3</v>
      </c>
      <c r="O140" s="1">
        <v>53644</v>
      </c>
      <c r="P140" s="1">
        <v>877836</v>
      </c>
      <c r="R140" s="1">
        <v>4237</v>
      </c>
      <c r="S140" s="1">
        <v>2051</v>
      </c>
      <c r="T140" s="1">
        <f>O140/R140</f>
        <v>12.660844937455748</v>
      </c>
      <c r="U140" s="1">
        <f>P140/R140</f>
        <v>207.18338447014398</v>
      </c>
      <c r="V140" s="1">
        <f>ROUND(O140/P140*100,2)</f>
        <v>6.11</v>
      </c>
      <c r="W140" s="27">
        <f>V140-E140</f>
        <v>0</v>
      </c>
    </row>
    <row r="141" spans="1:23">
      <c r="A141" s="1">
        <v>2020</v>
      </c>
      <c r="B141" s="1" t="s">
        <v>111</v>
      </c>
      <c r="C141" s="1" t="s">
        <v>112</v>
      </c>
      <c r="D141" s="2">
        <v>5.48</v>
      </c>
      <c r="E141" s="2">
        <v>6.38</v>
      </c>
      <c r="F141" s="2">
        <v>-0.03</v>
      </c>
      <c r="G141" s="2">
        <v>-0.87</v>
      </c>
      <c r="H141" s="2">
        <v>4.7300000000000004</v>
      </c>
      <c r="I141" s="2">
        <v>10.210000000000001</v>
      </c>
      <c r="J141" s="2">
        <v>10.25</v>
      </c>
      <c r="K141" s="2">
        <v>10.25</v>
      </c>
      <c r="L141" s="2"/>
      <c r="M141" s="2">
        <v>-6.0000000000000001E-3</v>
      </c>
      <c r="O141" s="1">
        <v>85491</v>
      </c>
      <c r="P141" s="1">
        <v>1339164</v>
      </c>
      <c r="R141" s="1">
        <v>6496</v>
      </c>
      <c r="S141" s="1">
        <v>3080</v>
      </c>
      <c r="T141" s="1">
        <f>O141/R141</f>
        <v>13.160560344827585</v>
      </c>
      <c r="U141" s="1">
        <f>P141/R141</f>
        <v>206.1520935960591</v>
      </c>
      <c r="V141" s="1">
        <f>ROUND(O141/P141*100,2)</f>
        <v>6.38</v>
      </c>
      <c r="W141" s="27">
        <f>V141-E141</f>
        <v>0</v>
      </c>
    </row>
    <row r="142" spans="1:23">
      <c r="A142" s="1">
        <v>2020</v>
      </c>
      <c r="B142" s="1" t="s">
        <v>113</v>
      </c>
      <c r="C142" s="1" t="s">
        <v>114</v>
      </c>
      <c r="D142" s="2">
        <v>5.24</v>
      </c>
      <c r="E142" s="2">
        <v>6.57</v>
      </c>
      <c r="F142" s="2">
        <v>0.32</v>
      </c>
      <c r="G142" s="2">
        <v>-1.65</v>
      </c>
      <c r="H142" s="2">
        <v>4.7300000000000004</v>
      </c>
      <c r="I142" s="2">
        <v>9.9700000000000006</v>
      </c>
      <c r="J142" s="2">
        <v>10.01</v>
      </c>
      <c r="K142" s="2">
        <v>9.9700000000000006</v>
      </c>
      <c r="L142" s="2"/>
      <c r="M142" s="2">
        <v>-3.3000000000000002E-2</v>
      </c>
      <c r="O142" s="1">
        <v>73698</v>
      </c>
      <c r="P142" s="1">
        <v>1121963</v>
      </c>
      <c r="R142" s="1">
        <v>6131</v>
      </c>
      <c r="S142" s="1">
        <v>2635</v>
      </c>
      <c r="T142" s="1">
        <f>O142/R142</f>
        <v>12.020551296688957</v>
      </c>
      <c r="U142" s="1">
        <f>P142/R142</f>
        <v>182.99836894470724</v>
      </c>
      <c r="V142" s="1">
        <f>ROUND(O142/P142*100,2)</f>
        <v>6.57</v>
      </c>
      <c r="W142" s="27">
        <f>V142-E142</f>
        <v>0</v>
      </c>
    </row>
    <row r="143" spans="1:23">
      <c r="A143" s="1">
        <v>2021</v>
      </c>
      <c r="B143" s="1" t="s">
        <v>21</v>
      </c>
      <c r="C143" s="1" t="s">
        <v>22</v>
      </c>
      <c r="D143" s="2">
        <v>5.72</v>
      </c>
      <c r="E143" s="2">
        <v>6.33</v>
      </c>
      <c r="F143" s="2">
        <v>-0.28999999999999998</v>
      </c>
      <c r="G143" s="2">
        <v>-0.32</v>
      </c>
      <c r="H143" s="2">
        <v>4.71</v>
      </c>
      <c r="I143" s="2">
        <v>10.42</v>
      </c>
      <c r="J143" s="2">
        <v>10.44</v>
      </c>
      <c r="K143" s="2">
        <v>10.45</v>
      </c>
      <c r="L143" s="2"/>
      <c r="M143" s="2">
        <v>7.0000000000000001E-3</v>
      </c>
      <c r="O143" s="1">
        <v>263272</v>
      </c>
      <c r="P143" s="1">
        <v>4157486</v>
      </c>
      <c r="R143" s="1">
        <v>18346</v>
      </c>
      <c r="S143" s="1">
        <v>9947</v>
      </c>
      <c r="T143" s="1">
        <f>O143/R143</f>
        <v>14.350376103782841</v>
      </c>
      <c r="U143" s="1">
        <f>P143/R143</f>
        <v>226.61539300119918</v>
      </c>
      <c r="V143" s="1">
        <f>ROUND(O143/P143*100,2)</f>
        <v>6.33</v>
      </c>
      <c r="W143" s="27">
        <f>V143-E143</f>
        <v>0</v>
      </c>
    </row>
    <row r="144" spans="1:23">
      <c r="A144" s="1">
        <v>2021</v>
      </c>
      <c r="B144" s="1" t="s">
        <v>23</v>
      </c>
      <c r="C144" s="1" t="s">
        <v>115</v>
      </c>
      <c r="D144" s="2">
        <v>5.22</v>
      </c>
      <c r="E144" s="2">
        <v>6.36</v>
      </c>
      <c r="F144" s="2">
        <v>-0.25</v>
      </c>
      <c r="G144" s="2">
        <v>-0.88</v>
      </c>
      <c r="H144" s="2">
        <v>4.71</v>
      </c>
      <c r="I144" s="2">
        <v>9.93</v>
      </c>
      <c r="J144" s="2">
        <v>9.9499999999999993</v>
      </c>
      <c r="K144" s="2">
        <v>9.9600000000000009</v>
      </c>
      <c r="L144" s="2"/>
      <c r="M144" s="2">
        <v>7.0000000000000001E-3</v>
      </c>
      <c r="O144" s="1">
        <v>59822</v>
      </c>
      <c r="P144" s="1">
        <v>941128</v>
      </c>
      <c r="R144" s="1">
        <v>4569</v>
      </c>
      <c r="S144" s="1">
        <v>2449</v>
      </c>
      <c r="T144" s="1">
        <f>O144/R144</f>
        <v>13.093018165900634</v>
      </c>
      <c r="U144" s="1">
        <f>P144/R144</f>
        <v>205.98117750054718</v>
      </c>
      <c r="V144" s="1">
        <f>ROUND(O144/P144*100,2)</f>
        <v>6.36</v>
      </c>
      <c r="W144" s="27">
        <f>V144-E144</f>
        <v>0</v>
      </c>
    </row>
    <row r="145" spans="1:23">
      <c r="A145" s="1">
        <v>2021</v>
      </c>
      <c r="B145" s="1" t="s">
        <v>25</v>
      </c>
      <c r="C145" s="1" t="s">
        <v>26</v>
      </c>
      <c r="D145" s="2">
        <v>5.04</v>
      </c>
      <c r="E145" s="2">
        <v>5.95</v>
      </c>
      <c r="F145" s="2">
        <v>-0.28999999999999998</v>
      </c>
      <c r="G145" s="2">
        <v>-0.62</v>
      </c>
      <c r="H145" s="2">
        <v>4.71</v>
      </c>
      <c r="I145" s="2">
        <v>9.75</v>
      </c>
      <c r="J145" s="2">
        <v>9.74</v>
      </c>
      <c r="K145" s="2">
        <v>9.74</v>
      </c>
      <c r="L145" s="2"/>
      <c r="M145" s="2">
        <v>-4.0000000000000001E-3</v>
      </c>
      <c r="O145" s="1">
        <v>54285</v>
      </c>
      <c r="P145" s="1">
        <v>913048</v>
      </c>
      <c r="R145" s="1">
        <v>4241</v>
      </c>
      <c r="S145" s="1">
        <v>2252</v>
      </c>
      <c r="T145" s="1">
        <f>O145/R145</f>
        <v>12.800047158688988</v>
      </c>
      <c r="U145" s="1">
        <f>P145/R145</f>
        <v>215.29073331761376</v>
      </c>
      <c r="V145" s="1">
        <f>ROUND(O145/P145*100,2)</f>
        <v>5.95</v>
      </c>
      <c r="W145" s="27">
        <f>V145-E145</f>
        <v>0</v>
      </c>
    </row>
    <row r="146" spans="1:23">
      <c r="A146" s="1">
        <v>2021</v>
      </c>
      <c r="B146" s="1" t="s">
        <v>27</v>
      </c>
      <c r="C146" s="1" t="s">
        <v>28</v>
      </c>
      <c r="D146" s="2">
        <v>5.33</v>
      </c>
      <c r="E146" s="2">
        <v>5.83</v>
      </c>
      <c r="F146" s="2">
        <v>-0.16</v>
      </c>
      <c r="G146" s="2">
        <v>-0.34</v>
      </c>
      <c r="H146" s="2">
        <v>4.71</v>
      </c>
      <c r="I146" s="2">
        <v>10.039999999999999</v>
      </c>
      <c r="J146" s="2">
        <v>10.02</v>
      </c>
      <c r="K146" s="2">
        <v>10.01</v>
      </c>
      <c r="L146" s="2"/>
      <c r="M146" s="2">
        <v>-0.01</v>
      </c>
      <c r="O146" s="1">
        <v>100975</v>
      </c>
      <c r="P146" s="1">
        <v>1733261</v>
      </c>
      <c r="R146" s="1">
        <v>7667</v>
      </c>
      <c r="S146" s="1">
        <v>3920</v>
      </c>
      <c r="T146" s="1">
        <f>O146/R146</f>
        <v>13.170079561758184</v>
      </c>
      <c r="U146" s="1">
        <f>P146/R146</f>
        <v>226.06769270901265</v>
      </c>
      <c r="V146" s="1">
        <f>ROUND(O146/P146*100,2)</f>
        <v>5.83</v>
      </c>
      <c r="W146" s="27">
        <f>V146-E146</f>
        <v>0</v>
      </c>
    </row>
    <row r="147" spans="1:23">
      <c r="A147" s="1">
        <v>2021</v>
      </c>
      <c r="B147" s="1" t="s">
        <v>29</v>
      </c>
      <c r="C147" s="1" t="s">
        <v>30</v>
      </c>
      <c r="D147" s="2">
        <v>5.47</v>
      </c>
      <c r="E147" s="2">
        <v>6.92</v>
      </c>
      <c r="F147" s="2">
        <v>-0.56999999999999995</v>
      </c>
      <c r="G147" s="2">
        <v>-0.87</v>
      </c>
      <c r="H147" s="2">
        <v>4.71</v>
      </c>
      <c r="I147" s="2">
        <v>10.18</v>
      </c>
      <c r="J147" s="2">
        <v>10.16</v>
      </c>
      <c r="K147" s="2">
        <v>10.16</v>
      </c>
      <c r="L147" s="2"/>
      <c r="M147" s="2">
        <v>7.0000000000000001E-3</v>
      </c>
      <c r="O147" s="1">
        <v>47646</v>
      </c>
      <c r="P147" s="1">
        <v>688974</v>
      </c>
      <c r="R147" s="1">
        <v>3338</v>
      </c>
      <c r="S147" s="1">
        <v>1868</v>
      </c>
      <c r="T147" s="1">
        <f>O147/R147</f>
        <v>14.273816656680648</v>
      </c>
      <c r="U147" s="1">
        <f>P147/R147</f>
        <v>206.40323547034151</v>
      </c>
      <c r="V147" s="1">
        <f>ROUND(O147/P147*100,2)</f>
        <v>6.92</v>
      </c>
      <c r="W147" s="27">
        <f>V147-E147</f>
        <v>0</v>
      </c>
    </row>
    <row r="148" spans="1:23">
      <c r="A148" s="1">
        <v>2021</v>
      </c>
      <c r="B148" s="1" t="s">
        <v>31</v>
      </c>
      <c r="C148" s="1" t="s">
        <v>32</v>
      </c>
      <c r="D148" s="2">
        <v>5.33</v>
      </c>
      <c r="E148" s="2">
        <v>6.09</v>
      </c>
      <c r="F148" s="2">
        <v>-0.25</v>
      </c>
      <c r="G148" s="2">
        <v>-0.5</v>
      </c>
      <c r="H148" s="2">
        <v>4.71</v>
      </c>
      <c r="I148" s="2">
        <v>10.039999999999999</v>
      </c>
      <c r="J148" s="2">
        <v>10.08</v>
      </c>
      <c r="K148" s="2">
        <v>10.029999999999999</v>
      </c>
      <c r="L148" s="2"/>
      <c r="M148" s="2">
        <v>-0.05</v>
      </c>
      <c r="O148" s="1">
        <v>54290</v>
      </c>
      <c r="P148" s="1">
        <v>892057</v>
      </c>
      <c r="R148" s="1">
        <v>4062</v>
      </c>
      <c r="S148" s="1">
        <v>2112</v>
      </c>
      <c r="T148" s="1">
        <f>O148/R148</f>
        <v>13.365337272279666</v>
      </c>
      <c r="U148" s="1">
        <f>P148/R148</f>
        <v>219.61029049729197</v>
      </c>
      <c r="V148" s="1">
        <f>ROUND(O148/P148*100,2)</f>
        <v>6.09</v>
      </c>
      <c r="W148" s="27">
        <f>V148-E148</f>
        <v>0</v>
      </c>
    </row>
    <row r="149" spans="1:23">
      <c r="A149" s="1">
        <v>2021</v>
      </c>
      <c r="B149" s="1" t="s">
        <v>33</v>
      </c>
      <c r="C149" s="1" t="s">
        <v>34</v>
      </c>
      <c r="D149" s="2">
        <v>4.95</v>
      </c>
      <c r="E149" s="2">
        <v>5.37</v>
      </c>
      <c r="F149" s="2">
        <v>-0.14000000000000001</v>
      </c>
      <c r="G149" s="2">
        <v>-0.28000000000000003</v>
      </c>
      <c r="H149" s="2">
        <v>4.71</v>
      </c>
      <c r="I149" s="2">
        <v>9.66</v>
      </c>
      <c r="J149" s="2">
        <v>9.66</v>
      </c>
      <c r="K149" s="2">
        <v>9.64</v>
      </c>
      <c r="L149" s="2"/>
      <c r="M149" s="2">
        <v>-1.9E-2</v>
      </c>
      <c r="O149" s="1">
        <v>84452</v>
      </c>
      <c r="P149" s="1">
        <v>1572590</v>
      </c>
      <c r="R149" s="1">
        <v>6887</v>
      </c>
      <c r="S149" s="1">
        <v>3490</v>
      </c>
      <c r="T149" s="1">
        <f>O149/R149</f>
        <v>12.262523595179323</v>
      </c>
      <c r="U149" s="1">
        <f>P149/R149</f>
        <v>228.34180339770583</v>
      </c>
      <c r="V149" s="1">
        <f>ROUND(O149/P149*100,2)</f>
        <v>5.37</v>
      </c>
      <c r="W149" s="27">
        <f>V149-E149</f>
        <v>0</v>
      </c>
    </row>
    <row r="150" spans="1:23">
      <c r="A150" s="1">
        <v>2021</v>
      </c>
      <c r="B150" s="1" t="s">
        <v>35</v>
      </c>
      <c r="C150" s="1" t="s">
        <v>36</v>
      </c>
      <c r="D150" s="2">
        <v>5.0599999999999996</v>
      </c>
      <c r="E150" s="2">
        <v>5.04</v>
      </c>
      <c r="F150" s="2">
        <v>-0.02</v>
      </c>
      <c r="G150" s="2">
        <v>0.04</v>
      </c>
      <c r="H150" s="2">
        <v>4.71</v>
      </c>
      <c r="I150" s="2">
        <v>9.76</v>
      </c>
      <c r="J150" s="2">
        <v>9.73</v>
      </c>
      <c r="K150" s="2">
        <v>9.74</v>
      </c>
      <c r="L150" s="2"/>
      <c r="M150" s="2">
        <v>7.0000000000000001E-3</v>
      </c>
      <c r="O150" s="1">
        <v>88830</v>
      </c>
      <c r="P150" s="1">
        <v>1763233</v>
      </c>
      <c r="R150" s="1">
        <v>7283</v>
      </c>
      <c r="S150" s="1">
        <v>3683</v>
      </c>
      <c r="T150" s="1">
        <f>O150/R150</f>
        <v>12.196896883152547</v>
      </c>
      <c r="U150" s="1">
        <f>P150/R150</f>
        <v>242.10256762323218</v>
      </c>
      <c r="V150" s="1">
        <f>ROUND(O150/P150*100,2)</f>
        <v>5.04</v>
      </c>
      <c r="W150" s="27">
        <f>V150-E150</f>
        <v>0</v>
      </c>
    </row>
    <row r="151" spans="1:23">
      <c r="A151" s="1">
        <v>2021</v>
      </c>
      <c r="B151" s="1" t="s">
        <v>37</v>
      </c>
      <c r="C151" s="1" t="s">
        <v>38</v>
      </c>
      <c r="D151" s="2">
        <v>5.17</v>
      </c>
      <c r="E151" s="2">
        <v>5.25</v>
      </c>
      <c r="F151" s="2">
        <v>-0.05</v>
      </c>
      <c r="G151" s="2">
        <v>-0.03</v>
      </c>
      <c r="H151" s="2">
        <v>4.71</v>
      </c>
      <c r="I151" s="2">
        <v>9.8800000000000008</v>
      </c>
      <c r="J151" s="2">
        <v>9.8699999999999992</v>
      </c>
      <c r="K151" s="2">
        <v>9.8699999999999992</v>
      </c>
      <c r="L151" s="2"/>
      <c r="M151" s="2">
        <v>3.0000000000000001E-3</v>
      </c>
      <c r="O151" s="1">
        <v>69066</v>
      </c>
      <c r="P151" s="1">
        <v>1315010</v>
      </c>
      <c r="R151" s="1">
        <v>5503</v>
      </c>
      <c r="S151" s="1">
        <v>2784</v>
      </c>
      <c r="T151" s="1">
        <f>O151/R151</f>
        <v>12.550608758858804</v>
      </c>
      <c r="U151" s="1">
        <f>P151/R151</f>
        <v>238.96238415409778</v>
      </c>
      <c r="V151" s="1">
        <f>ROUND(O151/P151*100,2)</f>
        <v>5.25</v>
      </c>
      <c r="W151" s="27">
        <f>V151-E151</f>
        <v>0</v>
      </c>
    </row>
    <row r="152" spans="1:23">
      <c r="A152" s="1">
        <v>2021</v>
      </c>
      <c r="B152" s="1" t="s">
        <v>39</v>
      </c>
      <c r="C152" s="1" t="s">
        <v>40</v>
      </c>
      <c r="D152" s="2">
        <v>5.04</v>
      </c>
      <c r="E152" s="2">
        <v>5.13</v>
      </c>
      <c r="F152" s="2">
        <v>-0.02</v>
      </c>
      <c r="G152" s="2">
        <v>-7.0000000000000007E-2</v>
      </c>
      <c r="H152" s="2">
        <v>4.71</v>
      </c>
      <c r="I152" s="2">
        <v>9.74</v>
      </c>
      <c r="J152" s="2">
        <v>9.65</v>
      </c>
      <c r="K152" s="2">
        <v>9.66</v>
      </c>
      <c r="L152" s="2"/>
      <c r="M152" s="2">
        <v>7.0000000000000001E-3</v>
      </c>
      <c r="O152" s="1">
        <v>78643</v>
      </c>
      <c r="P152" s="1">
        <v>1531639</v>
      </c>
      <c r="R152" s="1">
        <v>6460</v>
      </c>
      <c r="S152" s="1">
        <v>3263</v>
      </c>
      <c r="T152" s="1">
        <f>O152/R152</f>
        <v>12.173839009287926</v>
      </c>
      <c r="U152" s="1">
        <f>P152/R152</f>
        <v>237.09582043343653</v>
      </c>
      <c r="V152" s="1">
        <f>ROUND(O152/P152*100,2)</f>
        <v>5.13</v>
      </c>
      <c r="W152" s="27">
        <f>V152-E152</f>
        <v>0</v>
      </c>
    </row>
    <row r="153" spans="1:23">
      <c r="A153" s="1">
        <v>2021</v>
      </c>
      <c r="B153" s="1" t="s">
        <v>41</v>
      </c>
      <c r="C153" s="1" t="s">
        <v>42</v>
      </c>
      <c r="D153" s="2">
        <v>5.07</v>
      </c>
      <c r="E153" s="2">
        <v>4.91</v>
      </c>
      <c r="F153" s="2">
        <v>-0.01</v>
      </c>
      <c r="G153" s="2">
        <v>0.17</v>
      </c>
      <c r="H153" s="2">
        <v>4.71</v>
      </c>
      <c r="I153" s="2">
        <v>9.7799999999999994</v>
      </c>
      <c r="J153" s="2">
        <v>9.7899999999999991</v>
      </c>
      <c r="K153" s="2">
        <v>9.8000000000000007</v>
      </c>
      <c r="L153" s="2"/>
      <c r="M153" s="2">
        <v>7.0000000000000001E-3</v>
      </c>
      <c r="O153" s="1">
        <v>174491</v>
      </c>
      <c r="P153" s="1">
        <v>3555539</v>
      </c>
      <c r="R153" s="1">
        <v>14306</v>
      </c>
      <c r="S153" s="1">
        <v>7400</v>
      </c>
      <c r="T153" s="1">
        <f>O153/R153</f>
        <v>12.197050188732</v>
      </c>
      <c r="U153" s="1">
        <f>P153/R153</f>
        <v>248.53481056899204</v>
      </c>
      <c r="V153" s="1">
        <f>ROUND(O153/P153*100,2)</f>
        <v>4.91</v>
      </c>
      <c r="W153" s="27">
        <f>V153-E153</f>
        <v>0</v>
      </c>
    </row>
    <row r="154" spans="1:23">
      <c r="A154" s="1">
        <v>2021</v>
      </c>
      <c r="B154" s="1" t="s">
        <v>43</v>
      </c>
      <c r="C154" s="1" t="s">
        <v>44</v>
      </c>
      <c r="D154" s="2">
        <v>5.08</v>
      </c>
      <c r="E154" s="2">
        <v>5.03</v>
      </c>
      <c r="F154" s="2">
        <v>-0.11</v>
      </c>
      <c r="G154" s="2">
        <v>0.16</v>
      </c>
      <c r="H154" s="2">
        <v>4.71</v>
      </c>
      <c r="I154" s="2">
        <v>9.7899999999999991</v>
      </c>
      <c r="J154" s="2">
        <v>9.7899999999999991</v>
      </c>
      <c r="K154" s="2">
        <v>9.7899999999999991</v>
      </c>
      <c r="L154" s="2"/>
      <c r="M154" s="2">
        <v>7.0000000000000001E-3</v>
      </c>
      <c r="O154" s="1">
        <v>125168</v>
      </c>
      <c r="P154" s="1">
        <v>2489136</v>
      </c>
      <c r="R154" s="1">
        <v>10033</v>
      </c>
      <c r="S154" s="1">
        <v>5185</v>
      </c>
      <c r="T154" s="1">
        <f>O154/R154</f>
        <v>12.475630419615269</v>
      </c>
      <c r="U154" s="1">
        <f>P154/R154</f>
        <v>248.09488687331805</v>
      </c>
      <c r="V154" s="1">
        <f>ROUND(O154/P154*100,2)</f>
        <v>5.03</v>
      </c>
      <c r="W154" s="27">
        <f>V154-E154</f>
        <v>0</v>
      </c>
    </row>
    <row r="155" spans="1:23">
      <c r="A155" s="1">
        <v>2021</v>
      </c>
      <c r="B155" s="1" t="s">
        <v>45</v>
      </c>
      <c r="C155" s="1" t="s">
        <v>116</v>
      </c>
      <c r="D155" s="2">
        <v>5.15</v>
      </c>
      <c r="E155" s="2">
        <v>4.32</v>
      </c>
      <c r="F155" s="2">
        <v>0.13</v>
      </c>
      <c r="G155" s="2">
        <v>0.69</v>
      </c>
      <c r="H155" s="2">
        <v>4.71</v>
      </c>
      <c r="I155" s="2">
        <v>9.85</v>
      </c>
      <c r="J155" s="2">
        <v>9.83</v>
      </c>
      <c r="K155" s="2">
        <v>9.84</v>
      </c>
      <c r="L155" s="2"/>
      <c r="M155" s="2">
        <v>7.0000000000000001E-3</v>
      </c>
      <c r="O155" s="1">
        <v>656846</v>
      </c>
      <c r="P155" s="1">
        <v>15190384</v>
      </c>
      <c r="R155" s="1">
        <v>54901</v>
      </c>
      <c r="S155" s="1">
        <v>26937</v>
      </c>
      <c r="T155" s="1">
        <f>O155/R155</f>
        <v>11.964190087612247</v>
      </c>
      <c r="U155" s="1">
        <f>P155/R155</f>
        <v>276.68683630534963</v>
      </c>
      <c r="V155" s="1">
        <f>ROUND(O155/P155*100,2)</f>
        <v>4.32</v>
      </c>
      <c r="W155" s="27">
        <f>V155-E155</f>
        <v>0</v>
      </c>
    </row>
    <row r="156" spans="1:23">
      <c r="A156" s="1">
        <v>2021</v>
      </c>
      <c r="B156" s="1" t="s">
        <v>47</v>
      </c>
      <c r="C156" s="1" t="s">
        <v>48</v>
      </c>
      <c r="D156" s="2">
        <v>5.24</v>
      </c>
      <c r="E156" s="2">
        <v>4.8499999999999996</v>
      </c>
      <c r="F156" s="2">
        <v>-0.05</v>
      </c>
      <c r="G156" s="2">
        <v>0.44</v>
      </c>
      <c r="H156" s="2">
        <v>4.71</v>
      </c>
      <c r="I156" s="2">
        <v>9.94</v>
      </c>
      <c r="J156" s="2">
        <v>9.98</v>
      </c>
      <c r="K156" s="2">
        <v>9.99</v>
      </c>
      <c r="L156" s="2"/>
      <c r="M156" s="2">
        <v>7.0000000000000001E-3</v>
      </c>
      <c r="O156" s="1">
        <v>212200</v>
      </c>
      <c r="P156" s="1">
        <v>4375221</v>
      </c>
      <c r="R156" s="1">
        <v>16688</v>
      </c>
      <c r="S156" s="1">
        <v>8707</v>
      </c>
      <c r="T156" s="1">
        <f>O156/R156</f>
        <v>12.715723873441995</v>
      </c>
      <c r="U156" s="1">
        <f>P156/R156</f>
        <v>262.17767257909873</v>
      </c>
      <c r="V156" s="1">
        <f>ROUND(O156/P156*100,2)</f>
        <v>4.8499999999999996</v>
      </c>
      <c r="W156" s="27">
        <f>V156-E156</f>
        <v>0</v>
      </c>
    </row>
    <row r="157" spans="1:23">
      <c r="A157" s="1">
        <v>2021</v>
      </c>
      <c r="B157" s="1" t="s">
        <v>49</v>
      </c>
      <c r="C157" s="1" t="s">
        <v>50</v>
      </c>
      <c r="D157" s="2">
        <v>4.82</v>
      </c>
      <c r="E157" s="2">
        <v>5.28</v>
      </c>
      <c r="F157" s="2">
        <v>-0.14000000000000001</v>
      </c>
      <c r="G157" s="2">
        <v>-0.32</v>
      </c>
      <c r="H157" s="2">
        <v>4.71</v>
      </c>
      <c r="I157" s="2">
        <v>9.5299999999999994</v>
      </c>
      <c r="J157" s="2">
        <v>9.52</v>
      </c>
      <c r="K157" s="2">
        <v>9.5</v>
      </c>
      <c r="L157" s="2"/>
      <c r="M157" s="2">
        <v>-0.02</v>
      </c>
      <c r="O157" s="1">
        <v>100093</v>
      </c>
      <c r="P157" s="1">
        <v>1895181</v>
      </c>
      <c r="R157" s="1">
        <v>8360</v>
      </c>
      <c r="S157" s="1">
        <v>4315</v>
      </c>
      <c r="T157" s="1">
        <f>O157/R157</f>
        <v>11.972846889952153</v>
      </c>
      <c r="U157" s="1">
        <f>P157/R157</f>
        <v>226.6962918660287</v>
      </c>
      <c r="V157" s="1">
        <f>ROUND(O157/P157*100,2)</f>
        <v>5.28</v>
      </c>
      <c r="W157" s="27">
        <f>V157-E157</f>
        <v>0</v>
      </c>
    </row>
    <row r="158" spans="1:23">
      <c r="A158" s="1">
        <v>2021</v>
      </c>
      <c r="B158" s="1" t="s">
        <v>51</v>
      </c>
      <c r="C158" s="1" t="s">
        <v>52</v>
      </c>
      <c r="D158" s="2">
        <v>4.95</v>
      </c>
      <c r="E158" s="2">
        <v>4.91</v>
      </c>
      <c r="F158" s="2">
        <v>-0.09</v>
      </c>
      <c r="G158" s="2">
        <v>0.13</v>
      </c>
      <c r="H158" s="2">
        <v>4.71</v>
      </c>
      <c r="I158" s="2">
        <v>9.65</v>
      </c>
      <c r="J158" s="2">
        <v>9.65</v>
      </c>
      <c r="K158" s="2">
        <v>9.59</v>
      </c>
      <c r="L158" s="2"/>
      <c r="M158" s="2">
        <v>-5.6000000000000001E-2</v>
      </c>
      <c r="O158" s="1">
        <v>51084</v>
      </c>
      <c r="P158" s="1">
        <v>1041293</v>
      </c>
      <c r="R158" s="1">
        <v>4224</v>
      </c>
      <c r="S158" s="1">
        <v>2198</v>
      </c>
      <c r="T158" s="1">
        <f>O158/R158</f>
        <v>12.09375</v>
      </c>
      <c r="U158" s="1">
        <f>P158/R158</f>
        <v>246.51822916666666</v>
      </c>
      <c r="V158" s="1">
        <f>ROUND(O158/P158*100,2)</f>
        <v>4.91</v>
      </c>
      <c r="W158" s="27">
        <f>V158-E158</f>
        <v>0</v>
      </c>
    </row>
    <row r="159" spans="1:23">
      <c r="A159" s="1">
        <v>2021</v>
      </c>
      <c r="B159" s="1" t="s">
        <v>53</v>
      </c>
      <c r="C159" s="1" t="s">
        <v>54</v>
      </c>
      <c r="D159" s="2">
        <v>5.35</v>
      </c>
      <c r="E159" s="2">
        <v>5.36</v>
      </c>
      <c r="F159" s="2">
        <v>-0.03</v>
      </c>
      <c r="G159" s="2">
        <v>0.02</v>
      </c>
      <c r="H159" s="2">
        <v>4.71</v>
      </c>
      <c r="I159" s="2">
        <v>10.06</v>
      </c>
      <c r="J159" s="2">
        <v>10.1</v>
      </c>
      <c r="K159" s="2">
        <v>10.11</v>
      </c>
      <c r="L159" s="2"/>
      <c r="M159" s="2">
        <v>7.0000000000000001E-3</v>
      </c>
      <c r="O159" s="1">
        <v>59117</v>
      </c>
      <c r="P159" s="1">
        <v>1102200</v>
      </c>
      <c r="R159" s="1">
        <v>4565</v>
      </c>
      <c r="S159" s="1">
        <v>2305</v>
      </c>
      <c r="T159" s="1">
        <f>O159/R159</f>
        <v>12.950054764512595</v>
      </c>
      <c r="U159" s="1">
        <f>P159/R159</f>
        <v>241.44578313253012</v>
      </c>
      <c r="V159" s="1">
        <f>ROUND(O159/P159*100,2)</f>
        <v>5.36</v>
      </c>
      <c r="W159" s="27">
        <f>V159-E159</f>
        <v>0</v>
      </c>
    </row>
    <row r="160" spans="1:23">
      <c r="A160" s="1">
        <v>2021</v>
      </c>
      <c r="B160" s="1" t="s">
        <v>55</v>
      </c>
      <c r="C160" s="1" t="s">
        <v>56</v>
      </c>
      <c r="D160" s="2">
        <v>5.26</v>
      </c>
      <c r="E160" s="2">
        <v>5.42</v>
      </c>
      <c r="F160" s="2">
        <v>-0.12</v>
      </c>
      <c r="G160" s="2">
        <v>-0.04</v>
      </c>
      <c r="H160" s="2">
        <v>4.71</v>
      </c>
      <c r="I160" s="2">
        <v>9.9600000000000009</v>
      </c>
      <c r="J160" s="2">
        <v>10.02</v>
      </c>
      <c r="K160" s="2">
        <v>9.98</v>
      </c>
      <c r="L160" s="2"/>
      <c r="M160" s="2">
        <v>-4.2999999999999997E-2</v>
      </c>
      <c r="O160" s="1">
        <v>39005</v>
      </c>
      <c r="P160" s="1">
        <v>719636</v>
      </c>
      <c r="R160" s="1">
        <v>3018</v>
      </c>
      <c r="S160" s="1">
        <v>1525</v>
      </c>
      <c r="T160" s="1">
        <f>O160/R160</f>
        <v>12.924121935056329</v>
      </c>
      <c r="U160" s="1">
        <f>P160/R160</f>
        <v>238.44797879390325</v>
      </c>
      <c r="V160" s="1">
        <f>ROUND(O160/P160*100,2)</f>
        <v>5.42</v>
      </c>
      <c r="W160" s="27">
        <f>V160-E160</f>
        <v>0</v>
      </c>
    </row>
    <row r="161" spans="1:23">
      <c r="A161" s="1">
        <v>2021</v>
      </c>
      <c r="B161" s="1" t="s">
        <v>57</v>
      </c>
      <c r="C161" s="1" t="s">
        <v>58</v>
      </c>
      <c r="D161" s="2">
        <v>5.14</v>
      </c>
      <c r="E161" s="2">
        <v>5.45</v>
      </c>
      <c r="F161" s="2">
        <v>-0.14000000000000001</v>
      </c>
      <c r="G161" s="2">
        <v>-0.17</v>
      </c>
      <c r="H161" s="2">
        <v>4.71</v>
      </c>
      <c r="I161" s="2">
        <v>9.85</v>
      </c>
      <c r="J161" s="2">
        <v>9.7799999999999994</v>
      </c>
      <c r="K161" s="2">
        <v>9.7899999999999991</v>
      </c>
      <c r="L161" s="2"/>
      <c r="M161" s="2">
        <v>7.0000000000000001E-3</v>
      </c>
      <c r="O161" s="1">
        <v>32999</v>
      </c>
      <c r="P161" s="1">
        <v>605717</v>
      </c>
      <c r="R161" s="1">
        <v>2600</v>
      </c>
      <c r="S161" s="1">
        <v>1338</v>
      </c>
      <c r="T161" s="1">
        <f>O161/R161</f>
        <v>12.691923076923077</v>
      </c>
      <c r="U161" s="1">
        <f>P161/R161</f>
        <v>232.96807692307692</v>
      </c>
      <c r="V161" s="1">
        <f>ROUND(O161/P161*100,2)</f>
        <v>5.45</v>
      </c>
      <c r="W161" s="27">
        <f>V161-E161</f>
        <v>0</v>
      </c>
    </row>
    <row r="162" spans="1:23">
      <c r="A162" s="1">
        <v>2021</v>
      </c>
      <c r="B162" s="1" t="s">
        <v>59</v>
      </c>
      <c r="C162" s="1" t="s">
        <v>60</v>
      </c>
      <c r="D162" s="2">
        <v>4.95</v>
      </c>
      <c r="E162" s="2">
        <v>5.24</v>
      </c>
      <c r="F162" s="2">
        <v>-7.0000000000000007E-2</v>
      </c>
      <c r="G162" s="2">
        <v>-0.21</v>
      </c>
      <c r="H162" s="2">
        <v>4.71</v>
      </c>
      <c r="I162" s="2">
        <v>9.66</v>
      </c>
      <c r="J162" s="2">
        <v>9.6999999999999993</v>
      </c>
      <c r="K162" s="2">
        <v>9.7100000000000009</v>
      </c>
      <c r="L162" s="2"/>
      <c r="M162" s="2">
        <v>7.0000000000000001E-3</v>
      </c>
      <c r="O162" s="1">
        <v>81420</v>
      </c>
      <c r="P162" s="1">
        <v>1554937</v>
      </c>
      <c r="R162" s="1">
        <v>6729</v>
      </c>
      <c r="S162" s="1">
        <v>3442</v>
      </c>
      <c r="T162" s="1">
        <f>O162/R162</f>
        <v>12.099866250557289</v>
      </c>
      <c r="U162" s="1">
        <f>P162/R162</f>
        <v>231.0799524446426</v>
      </c>
      <c r="V162" s="1">
        <f>ROUND(O162/P162*100,2)</f>
        <v>5.24</v>
      </c>
      <c r="W162" s="27">
        <f>V162-E162</f>
        <v>0</v>
      </c>
    </row>
    <row r="163" spans="1:23">
      <c r="A163" s="1">
        <v>2021</v>
      </c>
      <c r="B163" s="1" t="s">
        <v>61</v>
      </c>
      <c r="C163" s="1" t="s">
        <v>62</v>
      </c>
      <c r="D163" s="2">
        <v>5.14</v>
      </c>
      <c r="E163" s="2">
        <v>5.19</v>
      </c>
      <c r="F163" s="2">
        <v>0.01</v>
      </c>
      <c r="G163" s="2">
        <v>-0.06</v>
      </c>
      <c r="H163" s="2">
        <v>4.71</v>
      </c>
      <c r="I163" s="2">
        <v>9.85</v>
      </c>
      <c r="J163" s="2">
        <v>9.82</v>
      </c>
      <c r="K163" s="2">
        <v>9.83</v>
      </c>
      <c r="L163" s="2"/>
      <c r="M163" s="2">
        <v>7.0000000000000001E-3</v>
      </c>
      <c r="O163" s="1">
        <v>95808</v>
      </c>
      <c r="P163" s="1">
        <v>1845656</v>
      </c>
      <c r="R163" s="1">
        <v>7765</v>
      </c>
      <c r="S163" s="1">
        <v>3902</v>
      </c>
      <c r="T163" s="1">
        <f>O163/R163</f>
        <v>12.338441725692208</v>
      </c>
      <c r="U163" s="1">
        <f>P163/R163</f>
        <v>237.68911783644558</v>
      </c>
      <c r="V163" s="1">
        <f>ROUND(O163/P163*100,2)</f>
        <v>5.19</v>
      </c>
      <c r="W163" s="27">
        <f>V163-E163</f>
        <v>0</v>
      </c>
    </row>
    <row r="164" spans="1:23">
      <c r="A164" s="1">
        <v>2021</v>
      </c>
      <c r="B164" s="1" t="s">
        <v>63</v>
      </c>
      <c r="C164" s="1" t="s">
        <v>64</v>
      </c>
      <c r="D164" s="2">
        <v>5</v>
      </c>
      <c r="E164" s="2">
        <v>4.9400000000000004</v>
      </c>
      <c r="F164" s="2">
        <v>-0.06</v>
      </c>
      <c r="G164" s="2">
        <v>0.12</v>
      </c>
      <c r="H164" s="2">
        <v>4.71</v>
      </c>
      <c r="I164" s="2">
        <v>9.6999999999999993</v>
      </c>
      <c r="J164" s="2">
        <v>9.7200000000000006</v>
      </c>
      <c r="K164" s="2">
        <v>9.7200000000000006</v>
      </c>
      <c r="L164" s="2"/>
      <c r="M164" s="2">
        <v>7.0000000000000001E-3</v>
      </c>
      <c r="O164" s="1">
        <v>128212</v>
      </c>
      <c r="P164" s="1">
        <v>2597504</v>
      </c>
      <c r="R164" s="1">
        <v>10561</v>
      </c>
      <c r="S164" s="1">
        <v>5381</v>
      </c>
      <c r="T164" s="1">
        <f>O164/R164</f>
        <v>12.140138244484424</v>
      </c>
      <c r="U164" s="1">
        <f>P164/R164</f>
        <v>245.95246662247894</v>
      </c>
      <c r="V164" s="1">
        <f>ROUND(O164/P164*100,2)</f>
        <v>4.9400000000000004</v>
      </c>
      <c r="W164" s="27">
        <f>V164-E164</f>
        <v>0</v>
      </c>
    </row>
    <row r="165" spans="1:23">
      <c r="A165" s="1">
        <v>2021</v>
      </c>
      <c r="B165" s="1" t="s">
        <v>65</v>
      </c>
      <c r="C165" s="1" t="s">
        <v>66</v>
      </c>
      <c r="D165" s="2">
        <v>5.18</v>
      </c>
      <c r="E165" s="2">
        <v>4.68</v>
      </c>
      <c r="F165" s="2">
        <v>0.19</v>
      </c>
      <c r="G165" s="2">
        <v>0.31</v>
      </c>
      <c r="H165" s="2">
        <v>4.71</v>
      </c>
      <c r="I165" s="2">
        <v>9.89</v>
      </c>
      <c r="J165" s="2">
        <v>9.9</v>
      </c>
      <c r="K165" s="2">
        <v>9.91</v>
      </c>
      <c r="L165" s="2"/>
      <c r="M165" s="2">
        <v>7.0000000000000001E-3</v>
      </c>
      <c r="O165" s="1">
        <v>307234</v>
      </c>
      <c r="P165" s="1">
        <v>6563438</v>
      </c>
      <c r="R165" s="1">
        <v>25693</v>
      </c>
      <c r="S165" s="1">
        <v>12339</v>
      </c>
      <c r="T165" s="1">
        <f>O165/R165</f>
        <v>11.957887362316585</v>
      </c>
      <c r="U165" s="1">
        <f>P165/R165</f>
        <v>255.45627213637957</v>
      </c>
      <c r="V165" s="1">
        <f>ROUND(O165/P165*100,2)</f>
        <v>4.68</v>
      </c>
      <c r="W165" s="27">
        <f>V165-E165</f>
        <v>0</v>
      </c>
    </row>
    <row r="166" spans="1:23">
      <c r="A166" s="1">
        <v>2021</v>
      </c>
      <c r="B166" s="1" t="s">
        <v>67</v>
      </c>
      <c r="C166" s="1" t="s">
        <v>68</v>
      </c>
      <c r="D166" s="2">
        <v>5.13</v>
      </c>
      <c r="E166" s="2">
        <v>5.04</v>
      </c>
      <c r="F166" s="2">
        <v>0.04</v>
      </c>
      <c r="G166" s="2">
        <v>0.04</v>
      </c>
      <c r="H166" s="2">
        <v>4.71</v>
      </c>
      <c r="I166" s="2">
        <v>9.83</v>
      </c>
      <c r="J166" s="2">
        <v>9.81</v>
      </c>
      <c r="K166" s="2">
        <v>9.81</v>
      </c>
      <c r="L166" s="2"/>
      <c r="M166" s="2">
        <v>7.0000000000000001E-3</v>
      </c>
      <c r="O166" s="1">
        <v>64708</v>
      </c>
      <c r="P166" s="1">
        <v>1283042</v>
      </c>
      <c r="R166" s="1">
        <v>5296</v>
      </c>
      <c r="S166" s="1">
        <v>2636</v>
      </c>
      <c r="T166" s="1">
        <f>O166/R166</f>
        <v>12.218277945619336</v>
      </c>
      <c r="U166" s="1">
        <f>P166/R166</f>
        <v>242.26623867069486</v>
      </c>
      <c r="V166" s="1">
        <f>ROUND(O166/P166*100,2)</f>
        <v>5.04</v>
      </c>
      <c r="W166" s="27">
        <f>V166-E166</f>
        <v>0</v>
      </c>
    </row>
    <row r="167" spans="1:23">
      <c r="A167" s="1">
        <v>2021</v>
      </c>
      <c r="B167" s="1" t="s">
        <v>69</v>
      </c>
      <c r="C167" s="1" t="s">
        <v>70</v>
      </c>
      <c r="D167" s="2">
        <v>5.13</v>
      </c>
      <c r="E167" s="2">
        <v>5.22</v>
      </c>
      <c r="F167" s="2">
        <v>0.05</v>
      </c>
      <c r="G167" s="2">
        <v>-0.15</v>
      </c>
      <c r="H167" s="2">
        <v>4.71</v>
      </c>
      <c r="I167" s="2">
        <v>9.84</v>
      </c>
      <c r="J167" s="2">
        <v>9.82</v>
      </c>
      <c r="K167" s="2">
        <v>9.7799999999999994</v>
      </c>
      <c r="L167" s="2"/>
      <c r="M167" s="2">
        <v>-4.7E-2</v>
      </c>
      <c r="O167" s="1">
        <v>44476</v>
      </c>
      <c r="P167" s="1">
        <v>851288</v>
      </c>
      <c r="R167" s="1">
        <v>3639</v>
      </c>
      <c r="S167" s="1">
        <v>1775</v>
      </c>
      <c r="T167" s="1">
        <f>O167/R167</f>
        <v>12.222039021709261</v>
      </c>
      <c r="U167" s="1">
        <f>P167/R167</f>
        <v>233.93459741687278</v>
      </c>
      <c r="V167" s="1">
        <f>ROUND(O167/P167*100,2)</f>
        <v>5.22</v>
      </c>
      <c r="W167" s="27">
        <f>V167-E167</f>
        <v>0</v>
      </c>
    </row>
    <row r="168" spans="1:23">
      <c r="A168" s="1">
        <v>2021</v>
      </c>
      <c r="B168" s="1" t="s">
        <v>71</v>
      </c>
      <c r="C168" s="1" t="s">
        <v>117</v>
      </c>
      <c r="D168" s="2">
        <v>5.33</v>
      </c>
      <c r="E168" s="2">
        <v>5.23</v>
      </c>
      <c r="F168" s="2">
        <v>0.06</v>
      </c>
      <c r="G168" s="2">
        <v>0.05</v>
      </c>
      <c r="H168" s="2">
        <v>4.71</v>
      </c>
      <c r="I168" s="2">
        <v>10.039999999999999</v>
      </c>
      <c r="J168" s="2">
        <v>10.050000000000001</v>
      </c>
      <c r="K168" s="2">
        <v>10.06</v>
      </c>
      <c r="L168" s="2"/>
      <c r="M168" s="2">
        <v>4.0000000000000001E-3</v>
      </c>
      <c r="O168" s="1">
        <v>115267</v>
      </c>
      <c r="P168" s="1">
        <v>2205868</v>
      </c>
      <c r="R168" s="1">
        <v>9082</v>
      </c>
      <c r="S168" s="1">
        <v>4484</v>
      </c>
      <c r="T168" s="1">
        <f>O168/R168</f>
        <v>12.691807971812375</v>
      </c>
      <c r="U168" s="1">
        <f>P168/R168</f>
        <v>242.88350583571901</v>
      </c>
      <c r="V168" s="1">
        <f>ROUND(O168/P168*100,2)</f>
        <v>5.23</v>
      </c>
      <c r="W168" s="27">
        <f>V168-E168</f>
        <v>0</v>
      </c>
    </row>
    <row r="169" spans="1:23">
      <c r="A169" s="1">
        <v>2021</v>
      </c>
      <c r="B169" s="1" t="s">
        <v>73</v>
      </c>
      <c r="C169" s="1" t="s">
        <v>118</v>
      </c>
      <c r="D169" s="2">
        <v>5.55</v>
      </c>
      <c r="E169" s="2">
        <v>5.22</v>
      </c>
      <c r="F169" s="2">
        <v>0.17</v>
      </c>
      <c r="G169" s="2">
        <v>0.16</v>
      </c>
      <c r="H169" s="2">
        <v>4.71</v>
      </c>
      <c r="I169" s="2">
        <v>10.26</v>
      </c>
      <c r="J169" s="2">
        <v>10.28</v>
      </c>
      <c r="K169" s="2">
        <v>10.29</v>
      </c>
      <c r="L169" s="2"/>
      <c r="M169" s="2">
        <v>7.0000000000000001E-3</v>
      </c>
      <c r="O169" s="1">
        <v>460716</v>
      </c>
      <c r="P169" s="1">
        <v>8824797</v>
      </c>
      <c r="R169" s="1">
        <v>35599</v>
      </c>
      <c r="S169" s="1">
        <v>17148</v>
      </c>
      <c r="T169" s="1">
        <f>O169/R169</f>
        <v>12.941824208545183</v>
      </c>
      <c r="U169" s="1">
        <f>P169/R169</f>
        <v>247.89451950897498</v>
      </c>
      <c r="V169" s="1">
        <f>ROUND(O169/P169*100,2)</f>
        <v>5.22</v>
      </c>
      <c r="W169" s="27">
        <f>V169-E169</f>
        <v>0</v>
      </c>
    </row>
    <row r="170" spans="1:23">
      <c r="A170" s="1">
        <v>2021</v>
      </c>
      <c r="B170" s="1" t="s">
        <v>75</v>
      </c>
      <c r="C170" s="1" t="s">
        <v>76</v>
      </c>
      <c r="D170" s="2">
        <v>5.49</v>
      </c>
      <c r="E170" s="2">
        <v>5.47</v>
      </c>
      <c r="F170" s="2">
        <v>0.03</v>
      </c>
      <c r="G170" s="2">
        <v>-0.01</v>
      </c>
      <c r="H170" s="2">
        <v>4.71</v>
      </c>
      <c r="I170" s="2">
        <v>10.19</v>
      </c>
      <c r="J170" s="2">
        <v>10.23</v>
      </c>
      <c r="K170" s="2">
        <v>10.24</v>
      </c>
      <c r="L170" s="2"/>
      <c r="M170" s="2">
        <v>7.0000000000000001E-3</v>
      </c>
      <c r="O170" s="1">
        <v>203120</v>
      </c>
      <c r="P170" s="1">
        <v>3714083</v>
      </c>
      <c r="R170" s="1">
        <v>15469</v>
      </c>
      <c r="S170" s="1">
        <v>7738</v>
      </c>
      <c r="T170" s="1">
        <f>O170/R170</f>
        <v>13.13077768440106</v>
      </c>
      <c r="U170" s="1">
        <f>P170/R170</f>
        <v>240.09845497446506</v>
      </c>
      <c r="V170" s="1">
        <f>ROUND(O170/P170*100,2)</f>
        <v>5.47</v>
      </c>
      <c r="W170" s="27">
        <f>V170-E170</f>
        <v>0</v>
      </c>
    </row>
    <row r="171" spans="1:23">
      <c r="A171" s="1">
        <v>2021</v>
      </c>
      <c r="B171" s="1" t="s">
        <v>77</v>
      </c>
      <c r="C171" s="1" t="s">
        <v>78</v>
      </c>
      <c r="D171" s="2">
        <v>5.34</v>
      </c>
      <c r="E171" s="2">
        <v>5.81</v>
      </c>
      <c r="F171" s="2">
        <v>-0.03</v>
      </c>
      <c r="G171" s="2">
        <v>-0.44</v>
      </c>
      <c r="H171" s="2">
        <v>4.71</v>
      </c>
      <c r="I171" s="2">
        <v>10.039999999999999</v>
      </c>
      <c r="J171" s="2">
        <v>10.01</v>
      </c>
      <c r="K171" s="2">
        <v>10</v>
      </c>
      <c r="L171" s="2"/>
      <c r="M171" s="2">
        <v>-7.0000000000000001E-3</v>
      </c>
      <c r="O171" s="1">
        <v>42538</v>
      </c>
      <c r="P171" s="1">
        <v>732081</v>
      </c>
      <c r="R171" s="1">
        <v>3298</v>
      </c>
      <c r="S171" s="1">
        <v>1654</v>
      </c>
      <c r="T171" s="1">
        <f>O171/R171</f>
        <v>12.898120072771377</v>
      </c>
      <c r="U171" s="1">
        <f>P171/R171</f>
        <v>221.97725894481505</v>
      </c>
      <c r="V171" s="1">
        <f>ROUND(O171/P171*100,2)</f>
        <v>5.81</v>
      </c>
      <c r="W171" s="27">
        <f>V171-E171</f>
        <v>0</v>
      </c>
    </row>
    <row r="172" spans="1:23">
      <c r="A172" s="1">
        <v>2021</v>
      </c>
      <c r="B172" s="1" t="s">
        <v>79</v>
      </c>
      <c r="C172" s="1" t="s">
        <v>80</v>
      </c>
      <c r="D172" s="2">
        <v>5.42</v>
      </c>
      <c r="E172" s="2">
        <v>5.96</v>
      </c>
      <c r="F172" s="2">
        <v>-0.01</v>
      </c>
      <c r="G172" s="2">
        <v>-0.52</v>
      </c>
      <c r="H172" s="2">
        <v>4.71</v>
      </c>
      <c r="I172" s="2">
        <v>10.130000000000001</v>
      </c>
      <c r="J172" s="2">
        <v>10.119999999999999</v>
      </c>
      <c r="K172" s="2">
        <v>10.11</v>
      </c>
      <c r="L172" s="2"/>
      <c r="M172" s="2">
        <v>-5.0000000000000001E-3</v>
      </c>
      <c r="O172" s="1">
        <v>39639</v>
      </c>
      <c r="P172" s="1">
        <v>665448</v>
      </c>
      <c r="R172" s="1">
        <v>3041</v>
      </c>
      <c r="S172" s="1">
        <v>1560</v>
      </c>
      <c r="T172" s="1">
        <f>O172/R172</f>
        <v>13.03485695494903</v>
      </c>
      <c r="U172" s="1">
        <f>P172/R172</f>
        <v>218.8253863860572</v>
      </c>
      <c r="V172" s="1">
        <f>ROUND(O172/P172*100,2)</f>
        <v>5.96</v>
      </c>
      <c r="W172" s="27">
        <f>V172-E172</f>
        <v>0</v>
      </c>
    </row>
    <row r="173" spans="1:23">
      <c r="A173" s="1">
        <v>2021</v>
      </c>
      <c r="B173" s="1" t="s">
        <v>81</v>
      </c>
      <c r="C173" s="1" t="s">
        <v>82</v>
      </c>
      <c r="D173" s="2">
        <v>5.27</v>
      </c>
      <c r="E173" s="2">
        <v>6.14</v>
      </c>
      <c r="F173" s="2">
        <v>-0.16</v>
      </c>
      <c r="G173" s="2">
        <v>-0.72</v>
      </c>
      <c r="H173" s="2">
        <v>4.71</v>
      </c>
      <c r="I173" s="2">
        <v>9.9700000000000006</v>
      </c>
      <c r="J173" s="2">
        <v>9.9600000000000009</v>
      </c>
      <c r="K173" s="2">
        <v>9.9700000000000006</v>
      </c>
      <c r="L173" s="2"/>
      <c r="M173" s="2">
        <v>7.0000000000000001E-3</v>
      </c>
      <c r="O173" s="1">
        <v>27265</v>
      </c>
      <c r="P173" s="1">
        <v>444154</v>
      </c>
      <c r="R173" s="1">
        <v>2098</v>
      </c>
      <c r="S173" s="1">
        <v>1057</v>
      </c>
      <c r="T173" s="1">
        <f>O173/R173</f>
        <v>12.995710200190658</v>
      </c>
      <c r="U173" s="1">
        <f>P173/R173</f>
        <v>211.70352716873214</v>
      </c>
      <c r="V173" s="1">
        <f>ROUND(O173/P173*100,2)</f>
        <v>6.14</v>
      </c>
      <c r="W173" s="27">
        <f>V173-E173</f>
        <v>0</v>
      </c>
    </row>
    <row r="174" spans="1:23">
      <c r="A174" s="1">
        <v>2021</v>
      </c>
      <c r="B174" s="1" t="s">
        <v>83</v>
      </c>
      <c r="C174" s="1" t="s">
        <v>84</v>
      </c>
      <c r="D174" s="2">
        <v>5.41</v>
      </c>
      <c r="E174" s="2">
        <v>6.3</v>
      </c>
      <c r="F174" s="2">
        <v>-0.28999999999999998</v>
      </c>
      <c r="G174" s="2">
        <v>-0.6</v>
      </c>
      <c r="H174" s="2">
        <v>4.71</v>
      </c>
      <c r="I174" s="2">
        <v>10.11</v>
      </c>
      <c r="J174" s="2">
        <v>10.09</v>
      </c>
      <c r="K174" s="2">
        <v>10.029999999999999</v>
      </c>
      <c r="L174" s="2"/>
      <c r="M174" s="2">
        <v>-5.7000000000000002E-2</v>
      </c>
      <c r="O174" s="1">
        <v>34585</v>
      </c>
      <c r="P174" s="1">
        <v>549095</v>
      </c>
      <c r="R174" s="1">
        <v>2542</v>
      </c>
      <c r="S174" s="1">
        <v>1311</v>
      </c>
      <c r="T174" s="1">
        <f>O174/R174</f>
        <v>13.605428796223446</v>
      </c>
      <c r="U174" s="1">
        <f>P174/R174</f>
        <v>216.00904799370574</v>
      </c>
      <c r="V174" s="1">
        <f>ROUND(O174/P174*100,2)</f>
        <v>6.3</v>
      </c>
      <c r="W174" s="27">
        <f>V174-E174</f>
        <v>0</v>
      </c>
    </row>
    <row r="175" spans="1:23">
      <c r="A175" s="1">
        <v>2021</v>
      </c>
      <c r="B175" s="1" t="s">
        <v>85</v>
      </c>
      <c r="C175" s="1" t="s">
        <v>86</v>
      </c>
      <c r="D175" s="2">
        <v>5.51</v>
      </c>
      <c r="E175" s="2">
        <v>5.64</v>
      </c>
      <c r="F175" s="2">
        <v>0.06</v>
      </c>
      <c r="G175" s="2">
        <v>-0.2</v>
      </c>
      <c r="H175" s="2">
        <v>4.71</v>
      </c>
      <c r="I175" s="2">
        <v>10.210000000000001</v>
      </c>
      <c r="J175" s="2">
        <v>10.19</v>
      </c>
      <c r="K175" s="2">
        <v>10.18</v>
      </c>
      <c r="L175" s="2"/>
      <c r="M175" s="2">
        <v>-8.9999999999999993E-3</v>
      </c>
      <c r="O175" s="1">
        <v>96852</v>
      </c>
      <c r="P175" s="1">
        <v>1716270</v>
      </c>
      <c r="R175" s="1">
        <v>7406</v>
      </c>
      <c r="S175" s="1">
        <v>3597</v>
      </c>
      <c r="T175" s="1">
        <f>O175/R175</f>
        <v>13.077504725897921</v>
      </c>
      <c r="U175" s="1">
        <f>P175/R175</f>
        <v>231.74048069133136</v>
      </c>
      <c r="V175" s="1">
        <f>ROUND(O175/P175*100,2)</f>
        <v>5.64</v>
      </c>
      <c r="W175" s="27">
        <f>V175-E175</f>
        <v>0</v>
      </c>
    </row>
    <row r="176" spans="1:23">
      <c r="A176" s="1">
        <v>2021</v>
      </c>
      <c r="B176" s="1" t="s">
        <v>87</v>
      </c>
      <c r="C176" s="1" t="s">
        <v>88</v>
      </c>
      <c r="D176" s="2">
        <v>5.33</v>
      </c>
      <c r="E176" s="2">
        <v>5.41</v>
      </c>
      <c r="F176" s="2">
        <v>0.03</v>
      </c>
      <c r="G176" s="2">
        <v>-0.12</v>
      </c>
      <c r="H176" s="2">
        <v>4.71</v>
      </c>
      <c r="I176" s="2">
        <v>10.029999999999999</v>
      </c>
      <c r="J176" s="2">
        <v>10.029999999999999</v>
      </c>
      <c r="K176" s="2">
        <v>10.039999999999999</v>
      </c>
      <c r="L176" s="2"/>
      <c r="M176" s="2">
        <v>7.0000000000000001E-3</v>
      </c>
      <c r="O176" s="1">
        <v>141824</v>
      </c>
      <c r="P176" s="1">
        <v>2620369</v>
      </c>
      <c r="R176" s="1">
        <v>11146</v>
      </c>
      <c r="S176" s="1">
        <v>5538</v>
      </c>
      <c r="T176" s="1">
        <f>O176/R176</f>
        <v>12.72420599318141</v>
      </c>
      <c r="U176" s="1">
        <f>P176/R176</f>
        <v>235.09501166337699</v>
      </c>
      <c r="V176" s="1">
        <f>ROUND(O176/P176*100,2)</f>
        <v>5.41</v>
      </c>
      <c r="W176" s="27">
        <f>V176-E176</f>
        <v>0</v>
      </c>
    </row>
    <row r="177" spans="1:23">
      <c r="A177" s="1">
        <v>2021</v>
      </c>
      <c r="B177" s="1" t="s">
        <v>89</v>
      </c>
      <c r="C177" s="1" t="s">
        <v>90</v>
      </c>
      <c r="D177" s="2">
        <v>5.51</v>
      </c>
      <c r="E177" s="2">
        <v>5.87</v>
      </c>
      <c r="F177" s="2">
        <v>-0.2</v>
      </c>
      <c r="G177" s="2">
        <v>-0.15</v>
      </c>
      <c r="H177" s="2">
        <v>4.71</v>
      </c>
      <c r="I177" s="2">
        <v>10.220000000000001</v>
      </c>
      <c r="J177" s="2">
        <v>10.210000000000001</v>
      </c>
      <c r="K177" s="2">
        <v>10.220000000000001</v>
      </c>
      <c r="L177" s="2"/>
      <c r="M177" s="2">
        <v>7.0000000000000001E-3</v>
      </c>
      <c r="O177" s="1">
        <v>59991</v>
      </c>
      <c r="P177" s="1">
        <v>1021985</v>
      </c>
      <c r="R177" s="1">
        <v>4373</v>
      </c>
      <c r="S177" s="1">
        <v>2297</v>
      </c>
      <c r="T177" s="1">
        <f>O177/R177</f>
        <v>13.718499885662016</v>
      </c>
      <c r="U177" s="1">
        <f>P177/R177</f>
        <v>233.70340727189571</v>
      </c>
      <c r="V177" s="1">
        <f>ROUND(O177/P177*100,2)</f>
        <v>5.87</v>
      </c>
      <c r="W177" s="27">
        <f>V177-E177</f>
        <v>0</v>
      </c>
    </row>
    <row r="178" spans="1:23">
      <c r="A178" s="1">
        <v>2021</v>
      </c>
      <c r="B178" s="1" t="s">
        <v>91</v>
      </c>
      <c r="C178" s="1" t="s">
        <v>92</v>
      </c>
      <c r="D178" s="2">
        <v>5.61</v>
      </c>
      <c r="E178" s="2">
        <v>6.14</v>
      </c>
      <c r="F178" s="2">
        <v>-0.11</v>
      </c>
      <c r="G178" s="2">
        <v>-0.43</v>
      </c>
      <c r="H178" s="2">
        <v>4.71</v>
      </c>
      <c r="I178" s="2">
        <v>10.31</v>
      </c>
      <c r="J178" s="2">
        <v>10.28</v>
      </c>
      <c r="K178" s="2">
        <v>10.29</v>
      </c>
      <c r="L178" s="2"/>
      <c r="M178" s="2">
        <v>7.0000000000000001E-3</v>
      </c>
      <c r="O178" s="1">
        <v>37648</v>
      </c>
      <c r="P178" s="1">
        <v>612905</v>
      </c>
      <c r="R178" s="1">
        <v>2757</v>
      </c>
      <c r="S178" s="1">
        <v>1381</v>
      </c>
      <c r="T178" s="1">
        <f>O178/R178</f>
        <v>13.655422560754443</v>
      </c>
      <c r="U178" s="1">
        <f>P178/R178</f>
        <v>222.30866884294522</v>
      </c>
      <c r="V178" s="1">
        <f>ROUND(O178/P178*100,2)</f>
        <v>6.14</v>
      </c>
      <c r="W178" s="27">
        <f>V178-E178</f>
        <v>0</v>
      </c>
    </row>
    <row r="179" spans="1:23">
      <c r="A179" s="1">
        <v>2021</v>
      </c>
      <c r="B179" s="1" t="s">
        <v>93</v>
      </c>
      <c r="C179" s="1" t="s">
        <v>94</v>
      </c>
      <c r="D179" s="2">
        <v>5.63</v>
      </c>
      <c r="E179" s="2">
        <v>6.02</v>
      </c>
      <c r="F179" s="2">
        <v>-7.0000000000000007E-2</v>
      </c>
      <c r="G179" s="2">
        <v>-0.33</v>
      </c>
      <c r="H179" s="2">
        <v>4.71</v>
      </c>
      <c r="I179" s="2">
        <v>10.33</v>
      </c>
      <c r="J179" s="2">
        <v>10.28</v>
      </c>
      <c r="K179" s="2">
        <v>10.28</v>
      </c>
      <c r="L179" s="2"/>
      <c r="M179" s="2">
        <v>1E-3</v>
      </c>
      <c r="O179" s="1">
        <v>54586</v>
      </c>
      <c r="P179" s="1">
        <v>906000</v>
      </c>
      <c r="R179" s="1">
        <v>4001</v>
      </c>
      <c r="S179" s="1">
        <v>2007</v>
      </c>
      <c r="T179" s="1">
        <f>O179/R179</f>
        <v>13.643089227693077</v>
      </c>
      <c r="U179" s="1">
        <f>P179/R179</f>
        <v>226.44338915271183</v>
      </c>
      <c r="V179" s="1">
        <f>ROUND(O179/P179*100,2)</f>
        <v>6.02</v>
      </c>
      <c r="W179" s="27">
        <f>V179-E179</f>
        <v>0</v>
      </c>
    </row>
    <row r="180" spans="1:23">
      <c r="A180" s="1">
        <v>2021</v>
      </c>
      <c r="B180" s="1" t="s">
        <v>95</v>
      </c>
      <c r="C180" s="1" t="s">
        <v>96</v>
      </c>
      <c r="D180" s="2">
        <v>5.45</v>
      </c>
      <c r="E180" s="2">
        <v>5.93</v>
      </c>
      <c r="F180" s="2">
        <v>0.03</v>
      </c>
      <c r="G180" s="2">
        <v>-0.51</v>
      </c>
      <c r="H180" s="2">
        <v>4.71</v>
      </c>
      <c r="I180" s="2">
        <v>10.16</v>
      </c>
      <c r="J180" s="2">
        <v>10.220000000000001</v>
      </c>
      <c r="K180" s="2">
        <v>10.220000000000001</v>
      </c>
      <c r="L180" s="2"/>
      <c r="M180" s="2">
        <v>7.0000000000000001E-3</v>
      </c>
      <c r="O180" s="1">
        <v>70412</v>
      </c>
      <c r="P180" s="1">
        <v>1187369</v>
      </c>
      <c r="R180" s="1">
        <v>5411</v>
      </c>
      <c r="S180" s="1">
        <v>2676</v>
      </c>
      <c r="T180" s="1">
        <f>O180/R180</f>
        <v>13.012751801885049</v>
      </c>
      <c r="U180" s="1">
        <f>P180/R180</f>
        <v>219.43614858621328</v>
      </c>
      <c r="V180" s="1">
        <f>ROUND(O180/P180*100,2)</f>
        <v>5.93</v>
      </c>
      <c r="W180" s="27">
        <f>V180-E180</f>
        <v>0</v>
      </c>
    </row>
    <row r="181" spans="1:23">
      <c r="A181" s="1">
        <v>2021</v>
      </c>
      <c r="B181" s="1" t="s">
        <v>97</v>
      </c>
      <c r="C181" s="1" t="s">
        <v>98</v>
      </c>
      <c r="D181" s="2">
        <v>5.5</v>
      </c>
      <c r="E181" s="2">
        <v>6.1</v>
      </c>
      <c r="F181" s="2">
        <v>-0.14000000000000001</v>
      </c>
      <c r="G181" s="2">
        <v>-0.46</v>
      </c>
      <c r="H181" s="2">
        <v>4.71</v>
      </c>
      <c r="I181" s="2">
        <v>10.199999999999999</v>
      </c>
      <c r="J181" s="2">
        <v>10.16</v>
      </c>
      <c r="K181" s="2">
        <v>10.17</v>
      </c>
      <c r="L181" s="2"/>
      <c r="M181" s="2">
        <v>7.0000000000000001E-3</v>
      </c>
      <c r="O181" s="1">
        <v>34849</v>
      </c>
      <c r="P181" s="1">
        <v>571339</v>
      </c>
      <c r="R181" s="1">
        <v>2581</v>
      </c>
      <c r="S181" s="1">
        <v>1341</v>
      </c>
      <c r="T181" s="1">
        <f>O181/R181</f>
        <v>13.502130956993414</v>
      </c>
      <c r="U181" s="1">
        <f>P181/R181</f>
        <v>221.3634250290585</v>
      </c>
      <c r="V181" s="1">
        <f>ROUND(O181/P181*100,2)</f>
        <v>6.1</v>
      </c>
      <c r="W181" s="27">
        <f>V181-E181</f>
        <v>0</v>
      </c>
    </row>
    <row r="182" spans="1:23">
      <c r="A182" s="1">
        <v>2021</v>
      </c>
      <c r="B182" s="1" t="s">
        <v>99</v>
      </c>
      <c r="C182" s="1" t="s">
        <v>100</v>
      </c>
      <c r="D182" s="2">
        <v>5.56</v>
      </c>
      <c r="E182" s="2">
        <v>5.84</v>
      </c>
      <c r="F182" s="2">
        <v>0.02</v>
      </c>
      <c r="G182" s="2">
        <v>-0.3</v>
      </c>
      <c r="H182" s="2">
        <v>4.71</v>
      </c>
      <c r="I182" s="2">
        <v>10.27</v>
      </c>
      <c r="J182" s="2">
        <v>10.23</v>
      </c>
      <c r="K182" s="2">
        <v>10.220000000000001</v>
      </c>
      <c r="L182" s="2"/>
      <c r="M182" s="2">
        <v>-1.0999999999999999E-2</v>
      </c>
      <c r="O182" s="1">
        <v>258156</v>
      </c>
      <c r="P182" s="1">
        <v>4417042</v>
      </c>
      <c r="R182" s="1">
        <v>19429</v>
      </c>
      <c r="S182" s="1">
        <v>9380</v>
      </c>
      <c r="T182" s="1">
        <f>O182/R182</f>
        <v>13.287148077615935</v>
      </c>
      <c r="U182" s="1">
        <f>P182/R182</f>
        <v>227.34273508672604</v>
      </c>
      <c r="V182" s="1">
        <f>ROUND(O182/P182*100,2)</f>
        <v>5.84</v>
      </c>
      <c r="W182" s="27">
        <f>V182-E182</f>
        <v>0</v>
      </c>
    </row>
    <row r="183" spans="1:23">
      <c r="A183" s="1">
        <v>2021</v>
      </c>
      <c r="B183" s="1" t="s">
        <v>101</v>
      </c>
      <c r="C183" s="1" t="s">
        <v>102</v>
      </c>
      <c r="D183" s="2">
        <v>6.07</v>
      </c>
      <c r="E183" s="2">
        <v>7.05</v>
      </c>
      <c r="F183" s="2">
        <v>-0.19</v>
      </c>
      <c r="G183" s="2">
        <v>-0.79</v>
      </c>
      <c r="H183" s="2">
        <v>4.71</v>
      </c>
      <c r="I183" s="2">
        <v>10.77</v>
      </c>
      <c r="J183" s="2">
        <v>10.7</v>
      </c>
      <c r="K183" s="2">
        <v>10.68</v>
      </c>
      <c r="L183" s="2"/>
      <c r="M183" s="2">
        <v>-2.7E-2</v>
      </c>
      <c r="O183" s="1">
        <v>44483</v>
      </c>
      <c r="P183" s="1">
        <v>630811</v>
      </c>
      <c r="R183" s="1">
        <v>3015</v>
      </c>
      <c r="S183" s="1">
        <v>1488</v>
      </c>
      <c r="T183" s="1">
        <f>O183/R183</f>
        <v>14.753897180762852</v>
      </c>
      <c r="U183" s="1">
        <f>P183/R183</f>
        <v>209.22421227197347</v>
      </c>
      <c r="V183" s="1">
        <f>ROUND(O183/P183*100,2)</f>
        <v>7.05</v>
      </c>
      <c r="W183" s="27">
        <f>V183-E183</f>
        <v>0</v>
      </c>
    </row>
    <row r="184" spans="1:23">
      <c r="A184" s="1">
        <v>2021</v>
      </c>
      <c r="B184" s="1" t="s">
        <v>103</v>
      </c>
      <c r="C184" s="1" t="s">
        <v>104</v>
      </c>
      <c r="D184" s="2">
        <v>5.59</v>
      </c>
      <c r="E184" s="2">
        <v>6.58</v>
      </c>
      <c r="F184" s="2">
        <v>-0.2</v>
      </c>
      <c r="G184" s="2">
        <v>-0.79</v>
      </c>
      <c r="H184" s="2">
        <v>4.71</v>
      </c>
      <c r="I184" s="2">
        <v>10.29</v>
      </c>
      <c r="J184" s="2">
        <v>10.28</v>
      </c>
      <c r="K184" s="2">
        <v>10.26</v>
      </c>
      <c r="L184" s="2"/>
      <c r="M184" s="2">
        <v>-1.6E-2</v>
      </c>
      <c r="O184" s="1">
        <v>64644</v>
      </c>
      <c r="P184" s="1">
        <v>981917</v>
      </c>
      <c r="R184" s="1">
        <v>4697</v>
      </c>
      <c r="S184" s="1">
        <v>2390</v>
      </c>
      <c r="T184" s="1">
        <f>O184/R184</f>
        <v>13.762827336597828</v>
      </c>
      <c r="U184" s="1">
        <f>P184/R184</f>
        <v>209.05194805194805</v>
      </c>
      <c r="V184" s="1">
        <f>ROUND(O184/P184*100,2)</f>
        <v>6.58</v>
      </c>
      <c r="W184" s="27">
        <f>V184-E184</f>
        <v>0</v>
      </c>
    </row>
    <row r="185" spans="1:23">
      <c r="A185" s="1">
        <v>2021</v>
      </c>
      <c r="B185" s="1" t="s">
        <v>105</v>
      </c>
      <c r="C185" s="1" t="s">
        <v>106</v>
      </c>
      <c r="D185" s="2">
        <v>5.6</v>
      </c>
      <c r="E185" s="2">
        <v>6.33</v>
      </c>
      <c r="F185" s="2">
        <v>-7.0000000000000007E-2</v>
      </c>
      <c r="G185" s="2">
        <v>-0.66</v>
      </c>
      <c r="H185" s="2">
        <v>4.71</v>
      </c>
      <c r="I185" s="2">
        <v>10.3</v>
      </c>
      <c r="J185" s="2">
        <v>10.33</v>
      </c>
      <c r="K185" s="2">
        <v>10.29</v>
      </c>
      <c r="L185" s="2"/>
      <c r="M185" s="2">
        <v>-3.3000000000000002E-2</v>
      </c>
      <c r="O185" s="1">
        <v>88658</v>
      </c>
      <c r="P185" s="1">
        <v>1400736</v>
      </c>
      <c r="R185" s="1">
        <v>6556</v>
      </c>
      <c r="S185" s="1">
        <v>3198</v>
      </c>
      <c r="T185" s="1">
        <f>O185/R185</f>
        <v>13.523184868822453</v>
      </c>
      <c r="U185" s="1">
        <f>P185/R185</f>
        <v>213.65710799267848</v>
      </c>
      <c r="V185" s="1">
        <f>ROUND(O185/P185*100,2)</f>
        <v>6.33</v>
      </c>
      <c r="W185" s="27">
        <f>V185-E185</f>
        <v>0</v>
      </c>
    </row>
    <row r="186" spans="1:23">
      <c r="A186" s="1">
        <v>2021</v>
      </c>
      <c r="B186" s="1" t="s">
        <v>107</v>
      </c>
      <c r="C186" s="1" t="s">
        <v>108</v>
      </c>
      <c r="D186" s="2">
        <v>5.58</v>
      </c>
      <c r="E186" s="2">
        <v>6.41</v>
      </c>
      <c r="F186" s="2">
        <v>-0.19</v>
      </c>
      <c r="G186" s="2">
        <v>-0.64</v>
      </c>
      <c r="H186" s="2">
        <v>4.71</v>
      </c>
      <c r="I186" s="2">
        <v>10.28</v>
      </c>
      <c r="J186" s="2">
        <v>10.3</v>
      </c>
      <c r="K186" s="2">
        <v>10.3</v>
      </c>
      <c r="L186" s="2"/>
      <c r="M186" s="2">
        <v>-5.0000000000000001E-3</v>
      </c>
      <c r="O186" s="1">
        <v>59426</v>
      </c>
      <c r="P186" s="1">
        <v>927793</v>
      </c>
      <c r="R186" s="1">
        <v>4324</v>
      </c>
      <c r="S186" s="1">
        <v>2202</v>
      </c>
      <c r="T186" s="1">
        <f>O186/R186</f>
        <v>13.743293246993524</v>
      </c>
      <c r="U186" s="1">
        <f>P186/R186</f>
        <v>214.56822386679002</v>
      </c>
      <c r="V186" s="1">
        <f>ROUND(O186/P186*100,2)</f>
        <v>6.41</v>
      </c>
      <c r="W186" s="27">
        <f>V186-E186</f>
        <v>0</v>
      </c>
    </row>
    <row r="187" spans="1:23">
      <c r="A187" s="1">
        <v>2021</v>
      </c>
      <c r="B187" s="1" t="s">
        <v>109</v>
      </c>
      <c r="C187" s="1" t="s">
        <v>110</v>
      </c>
      <c r="D187" s="2">
        <v>5.21</v>
      </c>
      <c r="E187" s="2">
        <v>6.14</v>
      </c>
      <c r="F187" s="2">
        <v>-0.08</v>
      </c>
      <c r="G187" s="2">
        <v>-0.85</v>
      </c>
      <c r="H187" s="2">
        <v>4.71</v>
      </c>
      <c r="I187" s="2">
        <v>9.91</v>
      </c>
      <c r="J187" s="2">
        <v>9.84</v>
      </c>
      <c r="K187" s="2">
        <v>9.83</v>
      </c>
      <c r="L187" s="2"/>
      <c r="M187" s="2">
        <v>-1.4999999999999999E-2</v>
      </c>
      <c r="O187" s="1">
        <v>52781</v>
      </c>
      <c r="P187" s="1">
        <v>859863</v>
      </c>
      <c r="R187" s="1">
        <v>4148</v>
      </c>
      <c r="S187" s="1">
        <v>2041</v>
      </c>
      <c r="T187" s="1">
        <f>O187/R187</f>
        <v>12.724445515911283</v>
      </c>
      <c r="U187" s="1">
        <f>P187/R187</f>
        <v>207.29580520732884</v>
      </c>
      <c r="V187" s="1">
        <f>ROUND(O187/P187*100,2)</f>
        <v>6.14</v>
      </c>
      <c r="W187" s="27">
        <f>V187-E187</f>
        <v>0</v>
      </c>
    </row>
    <row r="188" spans="1:23">
      <c r="A188" s="1">
        <v>2021</v>
      </c>
      <c r="B188" s="1" t="s">
        <v>111</v>
      </c>
      <c r="C188" s="1" t="s">
        <v>112</v>
      </c>
      <c r="D188" s="2">
        <v>5.57</v>
      </c>
      <c r="E188" s="2">
        <v>6.53</v>
      </c>
      <c r="F188" s="2">
        <v>-0.05</v>
      </c>
      <c r="G188" s="2">
        <v>-0.91</v>
      </c>
      <c r="H188" s="2">
        <v>4.71</v>
      </c>
      <c r="I188" s="2">
        <v>10.28</v>
      </c>
      <c r="J188" s="2">
        <v>10.35</v>
      </c>
      <c r="K188" s="2">
        <v>10.36</v>
      </c>
      <c r="L188" s="2"/>
      <c r="M188" s="2">
        <v>7.0000000000000001E-3</v>
      </c>
      <c r="O188" s="1">
        <v>84906</v>
      </c>
      <c r="P188" s="1">
        <v>1299701</v>
      </c>
      <c r="R188" s="1">
        <v>6332</v>
      </c>
      <c r="S188" s="1">
        <v>3043</v>
      </c>
      <c r="T188" s="1">
        <f>O188/R188</f>
        <v>13.409033480732786</v>
      </c>
      <c r="U188" s="1">
        <f>P188/R188</f>
        <v>205.25915982312065</v>
      </c>
      <c r="V188" s="1">
        <f>ROUND(O188/P188*100,2)</f>
        <v>6.53</v>
      </c>
      <c r="W188" s="27">
        <f>V188-E188</f>
        <v>0</v>
      </c>
    </row>
    <row r="189" spans="1:23">
      <c r="A189" s="1">
        <v>2021</v>
      </c>
      <c r="B189" s="1" t="s">
        <v>113</v>
      </c>
      <c r="C189" s="1" t="s">
        <v>114</v>
      </c>
      <c r="D189" s="2">
        <v>5.26</v>
      </c>
      <c r="E189" s="2">
        <v>6.56</v>
      </c>
      <c r="F189" s="2">
        <v>0.28000000000000003</v>
      </c>
      <c r="G189" s="2">
        <v>-1.58</v>
      </c>
      <c r="H189" s="2">
        <v>4.71</v>
      </c>
      <c r="I189" s="2">
        <v>9.9700000000000006</v>
      </c>
      <c r="J189" s="2">
        <v>9.98</v>
      </c>
      <c r="K189" s="2">
        <v>9.9499999999999993</v>
      </c>
      <c r="L189" s="2"/>
      <c r="M189" s="2">
        <v>-2.8000000000000001E-2</v>
      </c>
      <c r="O189" s="1">
        <v>73263</v>
      </c>
      <c r="P189" s="1">
        <v>1116244</v>
      </c>
      <c r="R189" s="1">
        <v>6030</v>
      </c>
      <c r="S189" s="1">
        <v>2636</v>
      </c>
      <c r="T189" s="1">
        <f>O189/R189</f>
        <v>12.149751243781095</v>
      </c>
      <c r="U189" s="1">
        <f>P189/R189</f>
        <v>185.1150912106136</v>
      </c>
      <c r="V189" s="1">
        <f>ROUND(O189/P189*100,2)</f>
        <v>6.56</v>
      </c>
      <c r="W189" s="27">
        <f>V189-E189</f>
        <v>0</v>
      </c>
    </row>
    <row r="190" spans="1:23">
      <c r="A190" s="1">
        <v>2022</v>
      </c>
      <c r="B190" s="1" t="s">
        <v>21</v>
      </c>
      <c r="C190" s="1" t="s">
        <v>22</v>
      </c>
      <c r="D190" s="2">
        <v>5.69</v>
      </c>
      <c r="E190" s="2">
        <v>6.26</v>
      </c>
      <c r="F190" s="2">
        <v>-0.31</v>
      </c>
      <c r="G190" s="2">
        <v>-0.26</v>
      </c>
      <c r="H190" s="2">
        <v>4.71</v>
      </c>
      <c r="I190" s="2">
        <v>10.41</v>
      </c>
      <c r="J190" s="2">
        <v>10.38</v>
      </c>
      <c r="K190" s="2">
        <v>10.39</v>
      </c>
      <c r="L190" s="2"/>
      <c r="M190" s="2">
        <v>7.0000000000000001E-3</v>
      </c>
      <c r="O190" s="1">
        <v>263346</v>
      </c>
      <c r="P190" s="1">
        <v>4204126</v>
      </c>
      <c r="R190" s="1">
        <v>17907</v>
      </c>
      <c r="S190" s="1">
        <v>9830</v>
      </c>
      <c r="T190" s="1">
        <f>O190/R190</f>
        <v>14.706315965823421</v>
      </c>
      <c r="U190" s="1">
        <f>P190/R190</f>
        <v>234.77556262913944</v>
      </c>
      <c r="V190" s="1">
        <f>ROUND(O190/P190*100,2)</f>
        <v>6.26</v>
      </c>
      <c r="W190" s="27">
        <f>V190-E190</f>
        <v>0</v>
      </c>
    </row>
    <row r="191" spans="1:23">
      <c r="A191" s="1">
        <v>2022</v>
      </c>
      <c r="B191" s="1" t="s">
        <v>23</v>
      </c>
      <c r="C191" s="1" t="s">
        <v>24</v>
      </c>
      <c r="D191" s="2">
        <v>5.26</v>
      </c>
      <c r="E191" s="2">
        <v>6.37</v>
      </c>
      <c r="F191" s="2">
        <v>-0.3</v>
      </c>
      <c r="G191" s="2">
        <v>-0.81</v>
      </c>
      <c r="H191" s="2">
        <v>4.71</v>
      </c>
      <c r="I191" s="2">
        <v>9.98</v>
      </c>
      <c r="J191" s="2">
        <v>10.02</v>
      </c>
      <c r="K191" s="2">
        <v>10.029999999999999</v>
      </c>
      <c r="L191" s="2"/>
      <c r="M191" s="2">
        <v>3.0000000000000001E-3</v>
      </c>
      <c r="O191" s="1">
        <v>60429</v>
      </c>
      <c r="P191" s="1">
        <v>948612</v>
      </c>
      <c r="R191" s="1">
        <v>4438</v>
      </c>
      <c r="S191" s="1">
        <v>2426</v>
      </c>
      <c r="T191" s="1">
        <f>O191/R191</f>
        <v>13.616268589454709</v>
      </c>
      <c r="U191" s="1">
        <f>P191/R191</f>
        <v>213.74763406940062</v>
      </c>
      <c r="V191" s="1">
        <f>ROUND(O191/P191*100,2)</f>
        <v>6.37</v>
      </c>
      <c r="W191" s="27">
        <f>V191-E191</f>
        <v>0</v>
      </c>
    </row>
    <row r="192" spans="1:23">
      <c r="A192" s="1">
        <v>2022</v>
      </c>
      <c r="B192" s="1" t="s">
        <v>25</v>
      </c>
      <c r="C192" s="1" t="s">
        <v>26</v>
      </c>
      <c r="D192" s="2">
        <v>5.12</v>
      </c>
      <c r="E192" s="2">
        <v>6.01</v>
      </c>
      <c r="F192" s="2">
        <v>-0.32</v>
      </c>
      <c r="G192" s="2">
        <v>-0.56999999999999995</v>
      </c>
      <c r="H192" s="2">
        <v>4.71</v>
      </c>
      <c r="I192" s="2">
        <v>9.84</v>
      </c>
      <c r="J192" s="2">
        <v>9.9</v>
      </c>
      <c r="K192" s="2">
        <v>9.91</v>
      </c>
      <c r="L192" s="2"/>
      <c r="M192" s="2">
        <v>7.0000000000000001E-3</v>
      </c>
      <c r="O192" s="1">
        <v>54837</v>
      </c>
      <c r="P192" s="1">
        <v>911740</v>
      </c>
      <c r="R192" s="1">
        <v>4103</v>
      </c>
      <c r="S192" s="1">
        <v>2219</v>
      </c>
      <c r="T192" s="1">
        <f>O192/R192</f>
        <v>13.365098708262247</v>
      </c>
      <c r="U192" s="1">
        <f>P192/R192</f>
        <v>222.21301486717036</v>
      </c>
      <c r="V192" s="1">
        <f>ROUND(O192/P192*100,2)</f>
        <v>6.01</v>
      </c>
      <c r="W192" s="27">
        <f>V192-E192</f>
        <v>0</v>
      </c>
    </row>
    <row r="193" spans="1:23">
      <c r="A193" s="1">
        <v>2022</v>
      </c>
      <c r="B193" s="1" t="s">
        <v>27</v>
      </c>
      <c r="C193" s="1" t="s">
        <v>28</v>
      </c>
      <c r="D193" s="2">
        <v>5.42</v>
      </c>
      <c r="E193" s="2">
        <v>5.91</v>
      </c>
      <c r="F193" s="2">
        <v>-0.17</v>
      </c>
      <c r="G193" s="2">
        <v>-0.32</v>
      </c>
      <c r="H193" s="2">
        <v>4.71</v>
      </c>
      <c r="I193" s="2">
        <v>10.130000000000001</v>
      </c>
      <c r="J193" s="2">
        <v>10.199999999999999</v>
      </c>
      <c r="K193" s="2">
        <v>10.18</v>
      </c>
      <c r="L193" s="2"/>
      <c r="M193" s="2">
        <v>-1.7000000000000001E-2</v>
      </c>
      <c r="O193" s="1">
        <v>102817</v>
      </c>
      <c r="P193" s="1">
        <v>1738438</v>
      </c>
      <c r="R193" s="1">
        <v>7490</v>
      </c>
      <c r="S193" s="1">
        <v>3900</v>
      </c>
      <c r="T193" s="1">
        <f>O193/R193</f>
        <v>13.727236315086783</v>
      </c>
      <c r="U193" s="1">
        <f>P193/R193</f>
        <v>232.10120160213617</v>
      </c>
      <c r="V193" s="1">
        <f>ROUND(O193/P193*100,2)</f>
        <v>5.91</v>
      </c>
      <c r="W193" s="27">
        <f>V193-E193</f>
        <v>0</v>
      </c>
    </row>
    <row r="194" spans="1:23">
      <c r="A194" s="1">
        <v>2022</v>
      </c>
      <c r="B194" s="1" t="s">
        <v>29</v>
      </c>
      <c r="C194" s="1" t="s">
        <v>30</v>
      </c>
      <c r="D194" s="2">
        <v>5.56</v>
      </c>
      <c r="E194" s="2">
        <v>6.99</v>
      </c>
      <c r="F194" s="2">
        <v>-0.63</v>
      </c>
      <c r="G194" s="2">
        <v>-0.8</v>
      </c>
      <c r="H194" s="2">
        <v>4.71</v>
      </c>
      <c r="I194" s="2">
        <v>10.28</v>
      </c>
      <c r="J194" s="2">
        <v>10.3</v>
      </c>
      <c r="K194" s="2">
        <v>10.27</v>
      </c>
      <c r="L194" s="2"/>
      <c r="M194" s="2">
        <v>-2.8000000000000001E-2</v>
      </c>
      <c r="O194" s="1">
        <v>48267</v>
      </c>
      <c r="P194" s="1">
        <v>690139</v>
      </c>
      <c r="R194" s="1">
        <v>3227</v>
      </c>
      <c r="S194" s="1">
        <v>1839</v>
      </c>
      <c r="T194" s="1">
        <f>O194/R194</f>
        <v>14.957235822745584</v>
      </c>
      <c r="U194" s="1">
        <f>P194/R194</f>
        <v>213.86396033467616</v>
      </c>
      <c r="V194" s="1">
        <f>ROUND(O194/P194*100,2)</f>
        <v>6.99</v>
      </c>
      <c r="W194" s="27">
        <f>V194-E194</f>
        <v>0</v>
      </c>
    </row>
    <row r="195" spans="1:23">
      <c r="A195" s="1">
        <v>2022</v>
      </c>
      <c r="B195" s="1" t="s">
        <v>31</v>
      </c>
      <c r="C195" s="1" t="s">
        <v>32</v>
      </c>
      <c r="D195" s="2">
        <v>5.32</v>
      </c>
      <c r="E195" s="2">
        <v>6.1</v>
      </c>
      <c r="F195" s="2">
        <v>-0.27</v>
      </c>
      <c r="G195" s="2">
        <v>-0.5</v>
      </c>
      <c r="H195" s="2">
        <v>4.71</v>
      </c>
      <c r="I195" s="2">
        <v>10.039999999999999</v>
      </c>
      <c r="J195" s="2">
        <v>10.039999999999999</v>
      </c>
      <c r="K195" s="2">
        <v>9.99</v>
      </c>
      <c r="L195" s="2"/>
      <c r="M195" s="2">
        <v>-4.2999999999999997E-2</v>
      </c>
      <c r="O195" s="1">
        <v>54008</v>
      </c>
      <c r="P195" s="1">
        <v>885561</v>
      </c>
      <c r="R195" s="1">
        <v>3937</v>
      </c>
      <c r="S195" s="1">
        <v>2083</v>
      </c>
      <c r="T195" s="1">
        <f>O195/R195</f>
        <v>13.718059436118873</v>
      </c>
      <c r="U195" s="1">
        <f>P195/R195</f>
        <v>224.93294386588772</v>
      </c>
      <c r="V195" s="1">
        <f>ROUND(O195/P195*100,2)</f>
        <v>6.1</v>
      </c>
      <c r="W195" s="27">
        <f>V195-E195</f>
        <v>0</v>
      </c>
    </row>
    <row r="196" spans="1:23">
      <c r="A196" s="1">
        <v>2022</v>
      </c>
      <c r="B196" s="1" t="s">
        <v>33</v>
      </c>
      <c r="C196" s="1" t="s">
        <v>34</v>
      </c>
      <c r="D196" s="2">
        <v>4.9400000000000004</v>
      </c>
      <c r="E196" s="2">
        <v>5.37</v>
      </c>
      <c r="F196" s="2">
        <v>-0.16</v>
      </c>
      <c r="G196" s="2">
        <v>-0.27</v>
      </c>
      <c r="H196" s="2">
        <v>4.71</v>
      </c>
      <c r="I196" s="2">
        <v>9.65</v>
      </c>
      <c r="J196" s="2">
        <v>9.68</v>
      </c>
      <c r="K196" s="2">
        <v>9.65</v>
      </c>
      <c r="L196" s="2"/>
      <c r="M196" s="2">
        <v>-2.3E-2</v>
      </c>
      <c r="O196" s="1">
        <v>84085</v>
      </c>
      <c r="P196" s="1">
        <v>1565241</v>
      </c>
      <c r="R196" s="1">
        <v>6676</v>
      </c>
      <c r="S196" s="1">
        <v>3446</v>
      </c>
      <c r="T196" s="1">
        <f>O196/R196</f>
        <v>12.595116836429</v>
      </c>
      <c r="U196" s="1">
        <f>P196/R196</f>
        <v>234.45790892750151</v>
      </c>
      <c r="V196" s="1">
        <f>ROUND(O196/P196*100,2)</f>
        <v>5.37</v>
      </c>
      <c r="W196" s="27">
        <f>V196-E196</f>
        <v>0</v>
      </c>
    </row>
    <row r="197" spans="1:23">
      <c r="A197" s="1">
        <v>2022</v>
      </c>
      <c r="B197" s="1" t="s">
        <v>35</v>
      </c>
      <c r="C197" s="1" t="s">
        <v>36</v>
      </c>
      <c r="D197" s="2">
        <v>5.0599999999999996</v>
      </c>
      <c r="E197" s="2">
        <v>5.05</v>
      </c>
      <c r="F197" s="2">
        <v>-0.04</v>
      </c>
      <c r="G197" s="2">
        <v>0.04</v>
      </c>
      <c r="H197" s="2">
        <v>4.71</v>
      </c>
      <c r="I197" s="2">
        <v>9.77</v>
      </c>
      <c r="J197" s="2">
        <v>9.76</v>
      </c>
      <c r="K197" s="2">
        <v>9.77</v>
      </c>
      <c r="L197" s="2"/>
      <c r="M197" s="2">
        <v>7.0000000000000001E-3</v>
      </c>
      <c r="O197" s="1">
        <v>90280</v>
      </c>
      <c r="P197" s="1">
        <v>1785993</v>
      </c>
      <c r="R197" s="1">
        <v>7198</v>
      </c>
      <c r="S197" s="1">
        <v>3703</v>
      </c>
      <c r="T197" s="1">
        <f>O197/R197</f>
        <v>12.542372881355933</v>
      </c>
      <c r="U197" s="1">
        <f>P197/R197</f>
        <v>248.12350652959157</v>
      </c>
      <c r="V197" s="1">
        <f>ROUND(O197/P197*100,2)</f>
        <v>5.05</v>
      </c>
      <c r="W197" s="27">
        <f>V197-E197</f>
        <v>0</v>
      </c>
    </row>
    <row r="198" spans="1:23">
      <c r="A198" s="1">
        <v>2022</v>
      </c>
      <c r="B198" s="1" t="s">
        <v>37</v>
      </c>
      <c r="C198" s="1" t="s">
        <v>38</v>
      </c>
      <c r="D198" s="2">
        <v>5.18</v>
      </c>
      <c r="E198" s="2">
        <v>5.29</v>
      </c>
      <c r="F198" s="2">
        <v>-0.06</v>
      </c>
      <c r="G198" s="2">
        <v>-0.05</v>
      </c>
      <c r="H198" s="2">
        <v>4.71</v>
      </c>
      <c r="I198" s="2">
        <v>9.89</v>
      </c>
      <c r="J198" s="2">
        <v>9.93</v>
      </c>
      <c r="K198" s="2">
        <v>9.9</v>
      </c>
      <c r="L198" s="2"/>
      <c r="M198" s="2">
        <v>-2.5000000000000001E-2</v>
      </c>
      <c r="O198" s="1">
        <v>69589</v>
      </c>
      <c r="P198" s="1">
        <v>1315809</v>
      </c>
      <c r="R198" s="1">
        <v>5394</v>
      </c>
      <c r="S198" s="1">
        <v>2773</v>
      </c>
      <c r="T198" s="1">
        <f>O198/R198</f>
        <v>12.901186503522432</v>
      </c>
      <c r="U198" s="1">
        <f>P198/R198</f>
        <v>243.93937708565073</v>
      </c>
      <c r="V198" s="1">
        <f>ROUND(O198/P198*100,2)</f>
        <v>5.29</v>
      </c>
      <c r="W198" s="27">
        <f>V198-E198</f>
        <v>0</v>
      </c>
    </row>
    <row r="199" spans="1:23">
      <c r="A199" s="1">
        <v>2022</v>
      </c>
      <c r="B199" s="1" t="s">
        <v>39</v>
      </c>
      <c r="C199" s="1" t="s">
        <v>40</v>
      </c>
      <c r="D199" s="2">
        <v>5.04</v>
      </c>
      <c r="E199" s="2">
        <v>5.15</v>
      </c>
      <c r="F199" s="2">
        <v>-0.02</v>
      </c>
      <c r="G199" s="2">
        <v>-0.08</v>
      </c>
      <c r="H199" s="2">
        <v>4.71</v>
      </c>
      <c r="I199" s="2">
        <v>9.76</v>
      </c>
      <c r="J199" s="2">
        <v>9.7200000000000006</v>
      </c>
      <c r="K199" s="2">
        <v>9.73</v>
      </c>
      <c r="L199" s="2"/>
      <c r="M199" s="2">
        <v>7.0000000000000001E-3</v>
      </c>
      <c r="O199" s="1">
        <v>79022</v>
      </c>
      <c r="P199" s="1">
        <v>1534239</v>
      </c>
      <c r="R199" s="1">
        <v>6327</v>
      </c>
      <c r="S199" s="1">
        <v>3239</v>
      </c>
      <c r="T199" s="1">
        <f>O199/R199</f>
        <v>12.489647542279121</v>
      </c>
      <c r="U199" s="1">
        <f>P199/R199</f>
        <v>242.49075391180654</v>
      </c>
      <c r="V199" s="1">
        <f>ROUND(O199/P199*100,2)</f>
        <v>5.15</v>
      </c>
      <c r="W199" s="27">
        <f>V199-E199</f>
        <v>0</v>
      </c>
    </row>
    <row r="200" spans="1:23">
      <c r="A200" s="1">
        <v>2022</v>
      </c>
      <c r="B200" s="1" t="s">
        <v>41</v>
      </c>
      <c r="C200" s="1" t="s">
        <v>42</v>
      </c>
      <c r="D200" s="2">
        <v>5.03</v>
      </c>
      <c r="E200" s="2">
        <v>4.91</v>
      </c>
      <c r="F200" s="2">
        <v>-0.02</v>
      </c>
      <c r="G200" s="2">
        <v>0.14000000000000001</v>
      </c>
      <c r="H200" s="2">
        <v>4.71</v>
      </c>
      <c r="I200" s="2">
        <v>9.75</v>
      </c>
      <c r="J200" s="2">
        <v>9.7100000000000009</v>
      </c>
      <c r="K200" s="2">
        <v>9.7100000000000009</v>
      </c>
      <c r="L200" s="2"/>
      <c r="M200" s="2">
        <v>7.0000000000000001E-3</v>
      </c>
      <c r="O200" s="1">
        <v>176671</v>
      </c>
      <c r="P200" s="1">
        <v>3600244</v>
      </c>
      <c r="R200" s="1">
        <v>14225</v>
      </c>
      <c r="S200" s="1">
        <v>7458</v>
      </c>
      <c r="T200" s="1">
        <f>O200/R200</f>
        <v>12.419753954305799</v>
      </c>
      <c r="U200" s="1">
        <f>P200/R200</f>
        <v>253.09272407732865</v>
      </c>
      <c r="V200" s="1">
        <f>ROUND(O200/P200*100,2)</f>
        <v>4.91</v>
      </c>
      <c r="W200" s="27">
        <f>V200-E200</f>
        <v>0</v>
      </c>
    </row>
    <row r="201" spans="1:23">
      <c r="A201" s="1">
        <v>2022</v>
      </c>
      <c r="B201" s="1" t="s">
        <v>43</v>
      </c>
      <c r="C201" s="1" t="s">
        <v>44</v>
      </c>
      <c r="D201" s="2">
        <v>5.05</v>
      </c>
      <c r="E201" s="2">
        <v>5.0199999999999996</v>
      </c>
      <c r="F201" s="2">
        <v>-0.11</v>
      </c>
      <c r="G201" s="2">
        <v>0.14000000000000001</v>
      </c>
      <c r="H201" s="2">
        <v>4.71</v>
      </c>
      <c r="I201" s="2">
        <v>9.76</v>
      </c>
      <c r="J201" s="2">
        <v>9.75</v>
      </c>
      <c r="K201" s="2">
        <v>9.76</v>
      </c>
      <c r="L201" s="2"/>
      <c r="M201" s="2">
        <v>7.0000000000000001E-3</v>
      </c>
      <c r="O201" s="1">
        <v>127132</v>
      </c>
      <c r="P201" s="1">
        <v>2534172</v>
      </c>
      <c r="R201" s="1">
        <v>10013</v>
      </c>
      <c r="S201" s="1">
        <v>5243</v>
      </c>
      <c r="T201" s="1">
        <f>O201/R201</f>
        <v>12.696694297413362</v>
      </c>
      <c r="U201" s="1">
        <f>P201/R201</f>
        <v>253.08818535903325</v>
      </c>
      <c r="V201" s="1">
        <f>ROUND(O201/P201*100,2)</f>
        <v>5.0199999999999996</v>
      </c>
      <c r="W201" s="27">
        <f>V201-E201</f>
        <v>0</v>
      </c>
    </row>
    <row r="202" spans="1:23">
      <c r="A202" s="1">
        <v>2022</v>
      </c>
      <c r="B202" s="1" t="s">
        <v>45</v>
      </c>
      <c r="C202" s="1" t="s">
        <v>46</v>
      </c>
      <c r="D202" s="2">
        <v>5.1100000000000003</v>
      </c>
      <c r="E202" s="2">
        <v>4.3099999999999996</v>
      </c>
      <c r="F202" s="2">
        <v>0.13</v>
      </c>
      <c r="G202" s="2">
        <v>0.67</v>
      </c>
      <c r="H202" s="2">
        <v>4.71</v>
      </c>
      <c r="I202" s="2">
        <v>9.82</v>
      </c>
      <c r="J202" s="2">
        <v>9.8000000000000007</v>
      </c>
      <c r="K202" s="2">
        <v>9.81</v>
      </c>
      <c r="L202" s="2"/>
      <c r="M202" s="2">
        <v>7.0000000000000001E-3</v>
      </c>
      <c r="O202" s="1">
        <v>672029</v>
      </c>
      <c r="P202" s="1">
        <v>15579666</v>
      </c>
      <c r="R202" s="1">
        <v>55264</v>
      </c>
      <c r="S202" s="1">
        <v>27399</v>
      </c>
      <c r="T202" s="1">
        <f>O202/R202</f>
        <v>12.160339461493921</v>
      </c>
      <c r="U202" s="1">
        <f>P202/R202</f>
        <v>281.91346988998265</v>
      </c>
      <c r="V202" s="1">
        <f>ROUND(O202/P202*100,2)</f>
        <v>4.3099999999999996</v>
      </c>
      <c r="W202" s="27">
        <f>V202-E202</f>
        <v>0</v>
      </c>
    </row>
    <row r="203" spans="1:23">
      <c r="A203" s="1">
        <v>2022</v>
      </c>
      <c r="B203" s="1" t="s">
        <v>47</v>
      </c>
      <c r="C203" s="1" t="s">
        <v>48</v>
      </c>
      <c r="D203" s="2">
        <v>5.16</v>
      </c>
      <c r="E203" s="2">
        <v>4.82</v>
      </c>
      <c r="F203" s="2">
        <v>-0.06</v>
      </c>
      <c r="G203" s="2">
        <v>0.41</v>
      </c>
      <c r="H203" s="2">
        <v>4.71</v>
      </c>
      <c r="I203" s="2">
        <v>9.8800000000000008</v>
      </c>
      <c r="J203" s="2">
        <v>9.84</v>
      </c>
      <c r="K203" s="2">
        <v>9.85</v>
      </c>
      <c r="L203" s="2"/>
      <c r="M203" s="2">
        <v>7.0000000000000001E-3</v>
      </c>
      <c r="O203" s="1">
        <v>214068</v>
      </c>
      <c r="P203" s="1">
        <v>4443518</v>
      </c>
      <c r="R203" s="1">
        <v>16651</v>
      </c>
      <c r="S203" s="1">
        <v>8809</v>
      </c>
      <c r="T203" s="1">
        <f>O203/R203</f>
        <v>12.856164794907214</v>
      </c>
      <c r="U203" s="1">
        <f>P203/R203</f>
        <v>266.86193021440153</v>
      </c>
      <c r="V203" s="1">
        <f>ROUND(O203/P203*100,2)</f>
        <v>4.82</v>
      </c>
      <c r="W203" s="27">
        <f>V203-E203</f>
        <v>0</v>
      </c>
    </row>
    <row r="204" spans="1:23">
      <c r="A204" s="1">
        <v>2022</v>
      </c>
      <c r="B204" s="1" t="s">
        <v>49</v>
      </c>
      <c r="C204" s="1" t="s">
        <v>50</v>
      </c>
      <c r="D204" s="2">
        <v>4.82</v>
      </c>
      <c r="E204" s="2">
        <v>5.28</v>
      </c>
      <c r="F204" s="2">
        <v>-0.14000000000000001</v>
      </c>
      <c r="G204" s="2">
        <v>-0.31</v>
      </c>
      <c r="H204" s="2">
        <v>4.71</v>
      </c>
      <c r="I204" s="2">
        <v>9.5399999999999991</v>
      </c>
      <c r="J204" s="2">
        <v>9.5399999999999991</v>
      </c>
      <c r="K204" s="2">
        <v>9.51</v>
      </c>
      <c r="L204" s="2"/>
      <c r="M204" s="2">
        <v>-3.2000000000000001E-2</v>
      </c>
      <c r="O204" s="1">
        <v>99778</v>
      </c>
      <c r="P204" s="1">
        <v>1891336</v>
      </c>
      <c r="R204" s="1">
        <v>8123</v>
      </c>
      <c r="S204" s="1">
        <v>4254</v>
      </c>
      <c r="T204" s="1">
        <f>O204/R204</f>
        <v>12.283392835159423</v>
      </c>
      <c r="U204" s="1">
        <f>P204/R204</f>
        <v>232.83712913948048</v>
      </c>
      <c r="V204" s="1">
        <f>ROUND(O204/P204*100,2)</f>
        <v>5.28</v>
      </c>
      <c r="W204" s="27">
        <f>V204-E204</f>
        <v>0</v>
      </c>
    </row>
    <row r="205" spans="1:23">
      <c r="A205" s="1">
        <v>2022</v>
      </c>
      <c r="B205" s="1" t="s">
        <v>51</v>
      </c>
      <c r="C205" s="1" t="s">
        <v>52</v>
      </c>
      <c r="D205" s="2">
        <v>4.92</v>
      </c>
      <c r="E205" s="2">
        <v>4.88</v>
      </c>
      <c r="F205" s="2">
        <v>-0.09</v>
      </c>
      <c r="G205" s="2">
        <v>0.13</v>
      </c>
      <c r="H205" s="2">
        <v>4.71</v>
      </c>
      <c r="I205" s="2">
        <v>9.64</v>
      </c>
      <c r="J205" s="2">
        <v>9.66</v>
      </c>
      <c r="K205" s="2">
        <v>9.61</v>
      </c>
      <c r="L205" s="2"/>
      <c r="M205" s="2">
        <v>-5.0999999999999997E-2</v>
      </c>
      <c r="O205" s="1">
        <v>50455</v>
      </c>
      <c r="P205" s="1">
        <v>1033278</v>
      </c>
      <c r="R205" s="1">
        <v>4092</v>
      </c>
      <c r="S205" s="1">
        <v>2155</v>
      </c>
      <c r="T205" s="1">
        <f>O205/R205</f>
        <v>12.330156402737048</v>
      </c>
      <c r="U205" s="1">
        <f>P205/R205</f>
        <v>252.51173020527858</v>
      </c>
      <c r="V205" s="1">
        <f>ROUND(O205/P205*100,2)</f>
        <v>4.88</v>
      </c>
      <c r="W205" s="27">
        <f>V205-E205</f>
        <v>0</v>
      </c>
    </row>
    <row r="206" spans="1:23">
      <c r="A206" s="1">
        <v>2022</v>
      </c>
      <c r="B206" s="1" t="s">
        <v>53</v>
      </c>
      <c r="C206" s="1" t="s">
        <v>54</v>
      </c>
      <c r="D206" s="2">
        <v>5.24</v>
      </c>
      <c r="E206" s="2">
        <v>5.27</v>
      </c>
      <c r="F206" s="2">
        <v>-0.03</v>
      </c>
      <c r="G206" s="2">
        <v>0</v>
      </c>
      <c r="H206" s="2">
        <v>4.71</v>
      </c>
      <c r="I206" s="2">
        <v>9.9499999999999993</v>
      </c>
      <c r="J206" s="2">
        <v>9.89</v>
      </c>
      <c r="K206" s="2">
        <v>9.89</v>
      </c>
      <c r="L206" s="2"/>
      <c r="M206" s="2">
        <v>7.0000000000000001E-3</v>
      </c>
      <c r="O206" s="1">
        <v>57742</v>
      </c>
      <c r="P206" s="1">
        <v>1094766</v>
      </c>
      <c r="R206" s="1">
        <v>4447</v>
      </c>
      <c r="S206" s="1">
        <v>2274</v>
      </c>
      <c r="T206" s="1">
        <f>O206/R206</f>
        <v>12.984483921744996</v>
      </c>
      <c r="U206" s="1">
        <f>P206/R206</f>
        <v>246.18079604227569</v>
      </c>
      <c r="V206" s="1">
        <f>ROUND(O206/P206*100,2)</f>
        <v>5.27</v>
      </c>
      <c r="W206" s="27">
        <f>V206-E206</f>
        <v>0</v>
      </c>
    </row>
    <row r="207" spans="1:23">
      <c r="A207" s="1">
        <v>2022</v>
      </c>
      <c r="B207" s="1" t="s">
        <v>55</v>
      </c>
      <c r="C207" s="1" t="s">
        <v>56</v>
      </c>
      <c r="D207" s="2">
        <v>5.25</v>
      </c>
      <c r="E207" s="2">
        <v>5.4</v>
      </c>
      <c r="F207" s="2">
        <v>-0.12</v>
      </c>
      <c r="G207" s="2">
        <v>-0.03</v>
      </c>
      <c r="H207" s="2">
        <v>4.71</v>
      </c>
      <c r="I207" s="2">
        <v>9.9600000000000009</v>
      </c>
      <c r="J207" s="2">
        <v>9.9600000000000009</v>
      </c>
      <c r="K207" s="2">
        <v>9.9600000000000009</v>
      </c>
      <c r="L207" s="2"/>
      <c r="M207" s="2">
        <v>7.0000000000000001E-3</v>
      </c>
      <c r="O207" s="1">
        <v>38956</v>
      </c>
      <c r="P207" s="1">
        <v>721666</v>
      </c>
      <c r="R207" s="1">
        <v>2944</v>
      </c>
      <c r="S207" s="1">
        <v>1507</v>
      </c>
      <c r="T207" s="1">
        <f>O207/R207</f>
        <v>13.232336956521738</v>
      </c>
      <c r="U207" s="1">
        <f>P207/R207</f>
        <v>245.13111413043478</v>
      </c>
      <c r="V207" s="1">
        <f>ROUND(O207/P207*100,2)</f>
        <v>5.4</v>
      </c>
      <c r="W207" s="27">
        <f>V207-E207</f>
        <v>0</v>
      </c>
    </row>
    <row r="208" spans="1:23">
      <c r="A208" s="1">
        <v>2022</v>
      </c>
      <c r="B208" s="1" t="s">
        <v>57</v>
      </c>
      <c r="C208" s="1" t="s">
        <v>58</v>
      </c>
      <c r="D208" s="2">
        <v>5.05</v>
      </c>
      <c r="E208" s="2">
        <v>5.37</v>
      </c>
      <c r="F208" s="2">
        <v>-0.14000000000000001</v>
      </c>
      <c r="G208" s="2">
        <v>-0.18</v>
      </c>
      <c r="H208" s="2">
        <v>4.71</v>
      </c>
      <c r="I208" s="2">
        <v>9.77</v>
      </c>
      <c r="J208" s="2">
        <v>9.68</v>
      </c>
      <c r="K208" s="2">
        <v>9.66</v>
      </c>
      <c r="L208" s="2"/>
      <c r="M208" s="2">
        <v>-2.1000000000000001E-2</v>
      </c>
      <c r="O208" s="1">
        <v>32486</v>
      </c>
      <c r="P208" s="1">
        <v>604719</v>
      </c>
      <c r="R208" s="1">
        <v>2536</v>
      </c>
      <c r="S208" s="1">
        <v>1320</v>
      </c>
      <c r="T208" s="1">
        <f>O208/R208</f>
        <v>12.809936908517351</v>
      </c>
      <c r="U208" s="1">
        <f>P208/R208</f>
        <v>238.4538643533123</v>
      </c>
      <c r="V208" s="1">
        <f>ROUND(O208/P208*100,2)</f>
        <v>5.37</v>
      </c>
      <c r="W208" s="27">
        <f>V208-E208</f>
        <v>0</v>
      </c>
    </row>
    <row r="209" spans="1:23">
      <c r="A209" s="1">
        <v>2022</v>
      </c>
      <c r="B209" s="1" t="s">
        <v>59</v>
      </c>
      <c r="C209" s="1" t="s">
        <v>60</v>
      </c>
      <c r="D209" s="2">
        <v>4.9400000000000004</v>
      </c>
      <c r="E209" s="2">
        <v>5.26</v>
      </c>
      <c r="F209" s="2">
        <v>-0.08</v>
      </c>
      <c r="G209" s="2">
        <v>-0.24</v>
      </c>
      <c r="H209" s="2">
        <v>4.71</v>
      </c>
      <c r="I209" s="2">
        <v>9.65</v>
      </c>
      <c r="J209" s="2">
        <v>9.68</v>
      </c>
      <c r="K209" s="2">
        <v>9.67</v>
      </c>
      <c r="L209" s="2"/>
      <c r="M209" s="2">
        <v>-1.0999999999999999E-2</v>
      </c>
      <c r="O209" s="1">
        <v>81622</v>
      </c>
      <c r="P209" s="1">
        <v>1552317</v>
      </c>
      <c r="R209" s="1">
        <v>6591</v>
      </c>
      <c r="S209" s="1">
        <v>3422</v>
      </c>
      <c r="T209" s="1">
        <f>O209/R209</f>
        <v>12.383856774389319</v>
      </c>
      <c r="U209" s="1">
        <f>P209/R209</f>
        <v>235.52071005917159</v>
      </c>
      <c r="V209" s="1">
        <f>ROUND(O209/P209*100,2)</f>
        <v>5.26</v>
      </c>
      <c r="W209" s="27">
        <f>V209-E209</f>
        <v>0</v>
      </c>
    </row>
    <row r="210" spans="1:23">
      <c r="A210" s="1">
        <v>2022</v>
      </c>
      <c r="B210" s="1" t="s">
        <v>61</v>
      </c>
      <c r="C210" s="1" t="s">
        <v>62</v>
      </c>
      <c r="D210" s="2">
        <v>5.14</v>
      </c>
      <c r="E210" s="2">
        <v>5.21</v>
      </c>
      <c r="F210" s="2">
        <v>0.01</v>
      </c>
      <c r="G210" s="2">
        <v>-0.08</v>
      </c>
      <c r="H210" s="2">
        <v>4.71</v>
      </c>
      <c r="I210" s="2">
        <v>9.86</v>
      </c>
      <c r="J210" s="2">
        <v>9.82</v>
      </c>
      <c r="K210" s="2">
        <v>9.82</v>
      </c>
      <c r="L210" s="2"/>
      <c r="M210" s="2">
        <v>-3.0000000000000001E-3</v>
      </c>
      <c r="O210" s="1">
        <v>95830</v>
      </c>
      <c r="P210" s="1">
        <v>1838464</v>
      </c>
      <c r="R210" s="1">
        <v>7575</v>
      </c>
      <c r="S210" s="1">
        <v>3855</v>
      </c>
      <c r="T210" s="1">
        <f>O210/R210</f>
        <v>12.65082508250825</v>
      </c>
      <c r="U210" s="1">
        <f>P210/R210</f>
        <v>242.70151815181518</v>
      </c>
      <c r="V210" s="1">
        <f>ROUND(O210/P210*100,2)</f>
        <v>5.21</v>
      </c>
      <c r="W210" s="27">
        <f>V210-E210</f>
        <v>0</v>
      </c>
    </row>
    <row r="211" spans="1:23">
      <c r="A211" s="1">
        <v>2022</v>
      </c>
      <c r="B211" s="1" t="s">
        <v>63</v>
      </c>
      <c r="C211" s="1" t="s">
        <v>64</v>
      </c>
      <c r="D211" s="2">
        <v>5.0199999999999996</v>
      </c>
      <c r="E211" s="2">
        <v>4.96</v>
      </c>
      <c r="F211" s="2">
        <v>-0.05</v>
      </c>
      <c r="G211" s="2">
        <v>0.1</v>
      </c>
      <c r="H211" s="2">
        <v>4.71</v>
      </c>
      <c r="I211" s="2">
        <v>9.74</v>
      </c>
      <c r="J211" s="2">
        <v>9.77</v>
      </c>
      <c r="K211" s="2">
        <v>9.75</v>
      </c>
      <c r="L211" s="2"/>
      <c r="M211" s="2">
        <v>-0.02</v>
      </c>
      <c r="O211" s="1">
        <v>128849</v>
      </c>
      <c r="P211" s="1">
        <v>2595912</v>
      </c>
      <c r="R211" s="1">
        <v>10330</v>
      </c>
      <c r="S211" s="1">
        <v>5321</v>
      </c>
      <c r="T211" s="1">
        <f>O211/R211</f>
        <v>12.473281703775411</v>
      </c>
      <c r="U211" s="1">
        <f>P211/R211</f>
        <v>251.29835430784124</v>
      </c>
      <c r="V211" s="1">
        <f>ROUND(O211/P211*100,2)</f>
        <v>4.96</v>
      </c>
      <c r="W211" s="27">
        <f>V211-E211</f>
        <v>0</v>
      </c>
    </row>
    <row r="212" spans="1:23">
      <c r="A212" s="1">
        <v>2022</v>
      </c>
      <c r="B212" s="1" t="s">
        <v>65</v>
      </c>
      <c r="C212" s="1" t="s">
        <v>66</v>
      </c>
      <c r="D212" s="2">
        <v>5.18</v>
      </c>
      <c r="E212" s="2">
        <v>4.71</v>
      </c>
      <c r="F212" s="2">
        <v>0.2</v>
      </c>
      <c r="G212" s="2">
        <v>0.27</v>
      </c>
      <c r="H212" s="2">
        <v>4.71</v>
      </c>
      <c r="I212" s="2">
        <v>9.9</v>
      </c>
      <c r="J212" s="2">
        <v>9.92</v>
      </c>
      <c r="K212" s="2">
        <v>9.93</v>
      </c>
      <c r="L212" s="2"/>
      <c r="M212" s="2">
        <v>7.0000000000000001E-3</v>
      </c>
      <c r="O212" s="1">
        <v>307597</v>
      </c>
      <c r="P212" s="1">
        <v>6524744</v>
      </c>
      <c r="R212" s="1">
        <v>25149</v>
      </c>
      <c r="S212" s="1">
        <v>12245</v>
      </c>
      <c r="T212" s="1">
        <f>O212/R212</f>
        <v>12.230983339297785</v>
      </c>
      <c r="U212" s="1">
        <f>P212/R212</f>
        <v>259.44347687780828</v>
      </c>
      <c r="V212" s="1">
        <f>ROUND(O212/P212*100,2)</f>
        <v>4.71</v>
      </c>
      <c r="W212" s="27">
        <f>V212-E212</f>
        <v>0</v>
      </c>
    </row>
    <row r="213" spans="1:23">
      <c r="A213" s="1">
        <v>2022</v>
      </c>
      <c r="B213" s="1" t="s">
        <v>67</v>
      </c>
      <c r="C213" s="1" t="s">
        <v>68</v>
      </c>
      <c r="D213" s="2">
        <v>5.14</v>
      </c>
      <c r="E213" s="2">
        <v>5.08</v>
      </c>
      <c r="F213" s="2">
        <v>0.03</v>
      </c>
      <c r="G213" s="2">
        <v>0.03</v>
      </c>
      <c r="H213" s="2">
        <v>4.71</v>
      </c>
      <c r="I213" s="2">
        <v>9.85</v>
      </c>
      <c r="J213" s="2">
        <v>9.9</v>
      </c>
      <c r="K213" s="2">
        <v>9.91</v>
      </c>
      <c r="L213" s="2"/>
      <c r="M213" s="2">
        <v>7.0000000000000001E-3</v>
      </c>
      <c r="O213" s="1">
        <v>64799</v>
      </c>
      <c r="P213" s="1">
        <v>1276097</v>
      </c>
      <c r="R213" s="1">
        <v>5152</v>
      </c>
      <c r="S213" s="1">
        <v>2607</v>
      </c>
      <c r="T213" s="1">
        <f>O213/R213</f>
        <v>12.577445652173912</v>
      </c>
      <c r="U213" s="1">
        <f>P213/R213</f>
        <v>247.68963509316771</v>
      </c>
      <c r="V213" s="1">
        <f>ROUND(O213/P213*100,2)</f>
        <v>5.08</v>
      </c>
      <c r="W213" s="27">
        <f>V213-E213</f>
        <v>0</v>
      </c>
    </row>
    <row r="214" spans="1:23">
      <c r="A214" s="1">
        <v>2022</v>
      </c>
      <c r="B214" s="1" t="s">
        <v>69</v>
      </c>
      <c r="C214" s="1" t="s">
        <v>70</v>
      </c>
      <c r="D214" s="2">
        <v>5.12</v>
      </c>
      <c r="E214" s="2">
        <v>5.2</v>
      </c>
      <c r="F214" s="2">
        <v>7.0000000000000007E-2</v>
      </c>
      <c r="G214" s="2">
        <v>-0.15</v>
      </c>
      <c r="H214" s="2">
        <v>4.71</v>
      </c>
      <c r="I214" s="2">
        <v>9.83</v>
      </c>
      <c r="J214" s="2">
        <v>9.85</v>
      </c>
      <c r="K214" s="2">
        <v>9.83</v>
      </c>
      <c r="L214" s="2"/>
      <c r="M214" s="2">
        <v>-2.3E-2</v>
      </c>
      <c r="O214" s="1">
        <v>44465</v>
      </c>
      <c r="P214" s="1">
        <v>855658</v>
      </c>
      <c r="R214" s="1">
        <v>3570</v>
      </c>
      <c r="S214" s="1">
        <v>1763</v>
      </c>
      <c r="T214" s="1">
        <f>O214/R214</f>
        <v>12.455182072829132</v>
      </c>
      <c r="U214" s="1">
        <f>P214/R214</f>
        <v>239.68011204481792</v>
      </c>
      <c r="V214" s="1">
        <f>ROUND(O214/P214*100,2)</f>
        <v>5.2</v>
      </c>
      <c r="W214" s="27">
        <f>V214-E214</f>
        <v>0</v>
      </c>
    </row>
    <row r="215" spans="1:23">
      <c r="A215" s="1">
        <v>2022</v>
      </c>
      <c r="B215" s="1" t="s">
        <v>71</v>
      </c>
      <c r="C215" s="1" t="s">
        <v>72</v>
      </c>
      <c r="D215" s="2">
        <v>5.27</v>
      </c>
      <c r="E215" s="2">
        <v>5.18</v>
      </c>
      <c r="F215" s="2">
        <v>7.0000000000000007E-2</v>
      </c>
      <c r="G215" s="2">
        <v>0.02</v>
      </c>
      <c r="H215" s="2">
        <v>4.71</v>
      </c>
      <c r="I215" s="2">
        <v>9.98</v>
      </c>
      <c r="J215" s="2">
        <v>9.94</v>
      </c>
      <c r="K215" s="2">
        <v>9.9499999999999993</v>
      </c>
      <c r="L215" s="2"/>
      <c r="M215" s="2">
        <v>7.0000000000000001E-3</v>
      </c>
      <c r="O215" s="1">
        <v>113992</v>
      </c>
      <c r="P215" s="1">
        <v>2202069</v>
      </c>
      <c r="R215" s="1">
        <v>8897</v>
      </c>
      <c r="S215" s="1">
        <v>4446</v>
      </c>
      <c r="T215" s="1">
        <f>O215/R215</f>
        <v>12.812408677082162</v>
      </c>
      <c r="U215" s="1">
        <f>P215/R215</f>
        <v>247.50691244239633</v>
      </c>
      <c r="V215" s="1">
        <f>ROUND(O215/P215*100,2)</f>
        <v>5.18</v>
      </c>
      <c r="W215" s="27">
        <f>V215-E215</f>
        <v>0</v>
      </c>
    </row>
    <row r="216" spans="1:23">
      <c r="A216" s="1">
        <v>2022</v>
      </c>
      <c r="B216" s="1" t="s">
        <v>73</v>
      </c>
      <c r="C216" s="1" t="s">
        <v>74</v>
      </c>
      <c r="D216" s="2">
        <v>5.51</v>
      </c>
      <c r="E216" s="2">
        <v>5.18</v>
      </c>
      <c r="F216" s="2">
        <v>0.18</v>
      </c>
      <c r="G216" s="2">
        <v>0.15</v>
      </c>
      <c r="H216" s="2">
        <v>4.71</v>
      </c>
      <c r="I216" s="2">
        <v>10.220000000000001</v>
      </c>
      <c r="J216" s="2">
        <v>10.210000000000001</v>
      </c>
      <c r="K216" s="2">
        <v>10.220000000000001</v>
      </c>
      <c r="L216" s="2"/>
      <c r="M216" s="2">
        <v>7.0000000000000001E-3</v>
      </c>
      <c r="O216" s="1">
        <v>459474</v>
      </c>
      <c r="P216" s="1">
        <v>8864152</v>
      </c>
      <c r="R216" s="1">
        <v>34990</v>
      </c>
      <c r="S216" s="1">
        <v>17066</v>
      </c>
      <c r="T216" s="1">
        <f>O216/R216</f>
        <v>13.131580451557587</v>
      </c>
      <c r="U216" s="1">
        <f>P216/R216</f>
        <v>253.33386681909116</v>
      </c>
      <c r="V216" s="1">
        <f>ROUND(O216/P216*100,2)</f>
        <v>5.18</v>
      </c>
      <c r="W216" s="27">
        <f>V216-E216</f>
        <v>0</v>
      </c>
    </row>
    <row r="217" spans="1:23">
      <c r="A217" s="1">
        <v>2022</v>
      </c>
      <c r="B217" s="1" t="s">
        <v>75</v>
      </c>
      <c r="C217" s="1" t="s">
        <v>76</v>
      </c>
      <c r="D217" s="2">
        <v>5.43</v>
      </c>
      <c r="E217" s="2">
        <v>5.4</v>
      </c>
      <c r="F217" s="2">
        <v>0.03</v>
      </c>
      <c r="G217" s="2">
        <v>-0.01</v>
      </c>
      <c r="H217" s="2">
        <v>4.71</v>
      </c>
      <c r="I217" s="2">
        <v>10.14</v>
      </c>
      <c r="J217" s="2">
        <v>10.130000000000001</v>
      </c>
      <c r="K217" s="2">
        <v>10.130000000000001</v>
      </c>
      <c r="L217" s="2"/>
      <c r="M217" s="2">
        <v>7.0000000000000001E-3</v>
      </c>
      <c r="O217" s="1">
        <v>201459</v>
      </c>
      <c r="P217" s="1">
        <v>3728620</v>
      </c>
      <c r="R217" s="1">
        <v>15157</v>
      </c>
      <c r="S217" s="1">
        <v>7684</v>
      </c>
      <c r="T217" s="1">
        <f>O217/R217</f>
        <v>13.29148248334103</v>
      </c>
      <c r="U217" s="1">
        <f>P217/R217</f>
        <v>245.99986804776671</v>
      </c>
      <c r="V217" s="1">
        <f>ROUND(O217/P217*100,2)</f>
        <v>5.4</v>
      </c>
      <c r="W217" s="27">
        <f>V217-E217</f>
        <v>0</v>
      </c>
    </row>
    <row r="218" spans="1:23">
      <c r="A218" s="1">
        <v>2022</v>
      </c>
      <c r="B218" s="1" t="s">
        <v>77</v>
      </c>
      <c r="C218" s="1" t="s">
        <v>78</v>
      </c>
      <c r="D218" s="2">
        <v>5.33</v>
      </c>
      <c r="E218" s="2">
        <v>5.79</v>
      </c>
      <c r="F218" s="2">
        <v>-0.02</v>
      </c>
      <c r="G218" s="2">
        <v>-0.44</v>
      </c>
      <c r="H218" s="2">
        <v>4.71</v>
      </c>
      <c r="I218" s="2">
        <v>10.039999999999999</v>
      </c>
      <c r="J218" s="2">
        <v>9.9700000000000006</v>
      </c>
      <c r="K218" s="2">
        <v>9.9600000000000009</v>
      </c>
      <c r="L218" s="2"/>
      <c r="M218" s="2">
        <v>-1.2E-2</v>
      </c>
      <c r="O218" s="1">
        <v>42630</v>
      </c>
      <c r="P218" s="1">
        <v>736213</v>
      </c>
      <c r="R218" s="1">
        <v>3237</v>
      </c>
      <c r="S218" s="1">
        <v>1645</v>
      </c>
      <c r="T218" s="1">
        <f>O218/R218</f>
        <v>13.169601482854494</v>
      </c>
      <c r="U218" s="1">
        <f>P218/R218</f>
        <v>227.43682421995675</v>
      </c>
      <c r="V218" s="1">
        <f>ROUND(O218/P218*100,2)</f>
        <v>5.79</v>
      </c>
      <c r="W218" s="27">
        <f>V218-E218</f>
        <v>0</v>
      </c>
    </row>
    <row r="219" spans="1:23">
      <c r="A219" s="1">
        <v>2022</v>
      </c>
      <c r="B219" s="1" t="s">
        <v>79</v>
      </c>
      <c r="C219" s="1" t="s">
        <v>80</v>
      </c>
      <c r="D219" s="2">
        <v>5.44</v>
      </c>
      <c r="E219" s="2">
        <v>5.96</v>
      </c>
      <c r="F219" s="2">
        <v>-0.03</v>
      </c>
      <c r="G219" s="2">
        <v>-0.48</v>
      </c>
      <c r="H219" s="2">
        <v>4.71</v>
      </c>
      <c r="I219" s="2">
        <v>10.15</v>
      </c>
      <c r="J219" s="2">
        <v>10.18</v>
      </c>
      <c r="K219" s="2">
        <v>10.18</v>
      </c>
      <c r="L219" s="2"/>
      <c r="M219" s="2">
        <v>3.0000000000000001E-3</v>
      </c>
      <c r="O219" s="1">
        <v>39905</v>
      </c>
      <c r="P219" s="1">
        <v>670049</v>
      </c>
      <c r="R219" s="1">
        <v>2968</v>
      </c>
      <c r="S219" s="1">
        <v>1550</v>
      </c>
      <c r="T219" s="1">
        <f>O219/R219</f>
        <v>13.445080862533693</v>
      </c>
      <c r="U219" s="1">
        <f>P219/R219</f>
        <v>225.75774932614556</v>
      </c>
      <c r="V219" s="1">
        <f>ROUND(O219/P219*100,2)</f>
        <v>5.96</v>
      </c>
      <c r="W219" s="27">
        <f>V219-E219</f>
        <v>0</v>
      </c>
    </row>
    <row r="220" spans="1:23">
      <c r="A220" s="1">
        <v>2022</v>
      </c>
      <c r="B220" s="1" t="s">
        <v>81</v>
      </c>
      <c r="C220" s="1" t="s">
        <v>82</v>
      </c>
      <c r="D220" s="2">
        <v>5.24</v>
      </c>
      <c r="E220" s="2">
        <v>6.07</v>
      </c>
      <c r="F220" s="2">
        <v>-0.15</v>
      </c>
      <c r="G220" s="2">
        <v>-0.67</v>
      </c>
      <c r="H220" s="2">
        <v>4.71</v>
      </c>
      <c r="I220" s="2">
        <v>9.9499999999999993</v>
      </c>
      <c r="J220" s="2">
        <v>9.94</v>
      </c>
      <c r="K220" s="2">
        <v>9.94</v>
      </c>
      <c r="L220" s="2"/>
      <c r="M220" s="2">
        <v>7.0000000000000001E-3</v>
      </c>
      <c r="O220" s="1">
        <v>27178</v>
      </c>
      <c r="P220" s="1">
        <v>448052</v>
      </c>
      <c r="R220" s="1">
        <v>2050</v>
      </c>
      <c r="S220" s="1">
        <v>1048</v>
      </c>
      <c r="T220" s="1">
        <f>O220/R220</f>
        <v>13.257560975609756</v>
      </c>
      <c r="U220" s="1">
        <f>P220/R220</f>
        <v>218.5619512195122</v>
      </c>
      <c r="V220" s="1">
        <f>ROUND(O220/P220*100,2)</f>
        <v>6.07</v>
      </c>
      <c r="W220" s="27">
        <f>V220-E220</f>
        <v>0</v>
      </c>
    </row>
    <row r="221" spans="1:23">
      <c r="A221" s="1">
        <v>2022</v>
      </c>
      <c r="B221" s="1" t="s">
        <v>83</v>
      </c>
      <c r="C221" s="1" t="s">
        <v>84</v>
      </c>
      <c r="D221" s="2">
        <v>5.56</v>
      </c>
      <c r="E221" s="2">
        <v>6.4</v>
      </c>
      <c r="F221" s="2">
        <v>-0.28999999999999998</v>
      </c>
      <c r="G221" s="2">
        <v>-0.55000000000000004</v>
      </c>
      <c r="H221" s="2">
        <v>4.71</v>
      </c>
      <c r="I221" s="2">
        <v>10.27</v>
      </c>
      <c r="J221" s="2">
        <v>10.37</v>
      </c>
      <c r="K221" s="2">
        <v>10.35</v>
      </c>
      <c r="L221" s="2"/>
      <c r="M221" s="2">
        <v>-1.6E-2</v>
      </c>
      <c r="O221" s="1">
        <v>35183</v>
      </c>
      <c r="P221" s="1">
        <v>549545</v>
      </c>
      <c r="R221" s="1">
        <v>2463</v>
      </c>
      <c r="S221" s="1">
        <v>1288</v>
      </c>
      <c r="T221" s="1">
        <f>O221/R221</f>
        <v>14.284612261469752</v>
      </c>
      <c r="U221" s="1">
        <f>P221/R221</f>
        <v>223.12017864393016</v>
      </c>
      <c r="V221" s="1">
        <f>ROUND(O221/P221*100,2)</f>
        <v>6.4</v>
      </c>
      <c r="W221" s="27">
        <f>V221-E221</f>
        <v>0</v>
      </c>
    </row>
    <row r="222" spans="1:23">
      <c r="A222" s="1">
        <v>2022</v>
      </c>
      <c r="B222" s="1" t="s">
        <v>85</v>
      </c>
      <c r="C222" s="1" t="s">
        <v>86</v>
      </c>
      <c r="D222" s="2">
        <v>5.51</v>
      </c>
      <c r="E222" s="2">
        <v>5.61</v>
      </c>
      <c r="F222" s="2">
        <v>7.0000000000000007E-2</v>
      </c>
      <c r="G222" s="2">
        <v>-0.18</v>
      </c>
      <c r="H222" s="2">
        <v>4.71</v>
      </c>
      <c r="I222" s="2">
        <v>10.220000000000001</v>
      </c>
      <c r="J222" s="2">
        <v>10.24</v>
      </c>
      <c r="K222" s="2">
        <v>10.25</v>
      </c>
      <c r="L222" s="2"/>
      <c r="M222" s="2">
        <v>7.0000000000000001E-3</v>
      </c>
      <c r="O222" s="1">
        <v>96862</v>
      </c>
      <c r="P222" s="1">
        <v>1725304</v>
      </c>
      <c r="R222" s="1">
        <v>7243</v>
      </c>
      <c r="S222" s="1">
        <v>3564</v>
      </c>
      <c r="T222" s="1">
        <f>O222/R222</f>
        <v>13.373187905563993</v>
      </c>
      <c r="U222" s="1">
        <f>P222/R222</f>
        <v>238.20295457683281</v>
      </c>
      <c r="V222" s="1">
        <f>ROUND(O222/P222*100,2)</f>
        <v>5.61</v>
      </c>
      <c r="W222" s="27">
        <f>V222-E222</f>
        <v>0</v>
      </c>
    </row>
    <row r="223" spans="1:23">
      <c r="A223" s="1">
        <v>2022</v>
      </c>
      <c r="B223" s="1" t="s">
        <v>87</v>
      </c>
      <c r="C223" s="1" t="s">
        <v>88</v>
      </c>
      <c r="D223" s="2">
        <v>5.35</v>
      </c>
      <c r="E223" s="2">
        <v>5.41</v>
      </c>
      <c r="F223" s="2">
        <v>0.05</v>
      </c>
      <c r="G223" s="2">
        <v>-0.12</v>
      </c>
      <c r="H223" s="2">
        <v>4.71</v>
      </c>
      <c r="I223" s="2">
        <v>10.06</v>
      </c>
      <c r="J223" s="2">
        <v>10.09</v>
      </c>
      <c r="K223" s="2">
        <v>10.09</v>
      </c>
      <c r="L223" s="2"/>
      <c r="M223" s="2">
        <v>7.0000000000000001E-3</v>
      </c>
      <c r="O223" s="1">
        <v>142884</v>
      </c>
      <c r="P223" s="1">
        <v>2638793</v>
      </c>
      <c r="R223" s="1">
        <v>10946</v>
      </c>
      <c r="S223" s="1">
        <v>5509</v>
      </c>
      <c r="T223" s="1">
        <f>O223/R223</f>
        <v>13.053535538096108</v>
      </c>
      <c r="U223" s="1">
        <f>P223/R223</f>
        <v>241.07372556184907</v>
      </c>
      <c r="V223" s="1">
        <f>ROUND(O223/P223*100,2)</f>
        <v>5.41</v>
      </c>
      <c r="W223" s="27">
        <f>V223-E223</f>
        <v>0</v>
      </c>
    </row>
    <row r="224" spans="1:23">
      <c r="A224" s="1">
        <v>2022</v>
      </c>
      <c r="B224" s="1" t="s">
        <v>89</v>
      </c>
      <c r="C224" s="1" t="s">
        <v>90</v>
      </c>
      <c r="D224" s="2">
        <v>5.48</v>
      </c>
      <c r="E224" s="2">
        <v>5.78</v>
      </c>
      <c r="F224" s="2">
        <v>-0.2</v>
      </c>
      <c r="G224" s="2">
        <v>-0.1</v>
      </c>
      <c r="H224" s="2">
        <v>4.71</v>
      </c>
      <c r="I224" s="2">
        <v>10.19</v>
      </c>
      <c r="J224" s="2">
        <v>10.16</v>
      </c>
      <c r="K224" s="2">
        <v>10.15</v>
      </c>
      <c r="L224" s="2"/>
      <c r="M224" s="2">
        <v>-1.0999999999999999E-2</v>
      </c>
      <c r="O224" s="1">
        <v>59321</v>
      </c>
      <c r="P224" s="1">
        <v>1026375</v>
      </c>
      <c r="R224" s="1">
        <v>4244</v>
      </c>
      <c r="S224" s="1">
        <v>2258</v>
      </c>
      <c r="T224" s="1">
        <f>O224/R224</f>
        <v>13.977615457115929</v>
      </c>
      <c r="U224" s="1">
        <f>P224/R224</f>
        <v>241.8414231856739</v>
      </c>
      <c r="V224" s="1">
        <f>ROUND(O224/P224*100,2)</f>
        <v>5.78</v>
      </c>
      <c r="W224" s="27">
        <f>V224-E224</f>
        <v>0</v>
      </c>
    </row>
    <row r="225" spans="1:23">
      <c r="A225" s="1">
        <v>2022</v>
      </c>
      <c r="B225" s="1" t="s">
        <v>91</v>
      </c>
      <c r="C225" s="1" t="s">
        <v>92</v>
      </c>
      <c r="D225" s="2">
        <v>5.69</v>
      </c>
      <c r="E225" s="2">
        <v>6.17</v>
      </c>
      <c r="F225" s="2">
        <v>-0.11</v>
      </c>
      <c r="G225" s="2">
        <v>-0.38</v>
      </c>
      <c r="H225" s="2">
        <v>4.71</v>
      </c>
      <c r="I225" s="2">
        <v>10.4</v>
      </c>
      <c r="J225" s="2">
        <v>10.45</v>
      </c>
      <c r="K225" s="2">
        <v>10.43</v>
      </c>
      <c r="L225" s="2"/>
      <c r="M225" s="2">
        <v>-2.3E-2</v>
      </c>
      <c r="O225" s="1">
        <v>37882</v>
      </c>
      <c r="P225" s="1">
        <v>613502</v>
      </c>
      <c r="R225" s="1">
        <v>2668</v>
      </c>
      <c r="S225" s="1">
        <v>1358</v>
      </c>
      <c r="T225" s="1">
        <f>O225/R225</f>
        <v>14.19865067466267</v>
      </c>
      <c r="U225" s="1">
        <f>P225/R225</f>
        <v>229.94827586206895</v>
      </c>
      <c r="V225" s="1">
        <f>ROUND(O225/P225*100,2)</f>
        <v>6.17</v>
      </c>
      <c r="W225" s="27">
        <f>V225-E225</f>
        <v>0</v>
      </c>
    </row>
    <row r="226" spans="1:23">
      <c r="A226" s="1">
        <v>2022</v>
      </c>
      <c r="B226" s="1" t="s">
        <v>93</v>
      </c>
      <c r="C226" s="1" t="s">
        <v>94</v>
      </c>
      <c r="D226" s="2">
        <v>5.63</v>
      </c>
      <c r="E226" s="2">
        <v>6</v>
      </c>
      <c r="F226" s="2">
        <v>-7.0000000000000007E-2</v>
      </c>
      <c r="G226" s="2">
        <v>-0.3</v>
      </c>
      <c r="H226" s="2">
        <v>4.71</v>
      </c>
      <c r="I226" s="2">
        <v>10.35</v>
      </c>
      <c r="J226" s="2">
        <v>10.33</v>
      </c>
      <c r="K226" s="2">
        <v>10.34</v>
      </c>
      <c r="L226" s="2"/>
      <c r="M226" s="2">
        <v>7.0000000000000001E-3</v>
      </c>
      <c r="O226" s="1">
        <v>54780</v>
      </c>
      <c r="P226" s="1">
        <v>912444</v>
      </c>
      <c r="R226" s="1">
        <v>3913</v>
      </c>
      <c r="S226" s="1">
        <v>1994</v>
      </c>
      <c r="T226" s="1">
        <f>O226/R226</f>
        <v>13.999488883209814</v>
      </c>
      <c r="U226" s="1">
        <f>P226/R226</f>
        <v>233.18272425249168</v>
      </c>
      <c r="V226" s="1">
        <f>ROUND(O226/P226*100,2)</f>
        <v>6</v>
      </c>
      <c r="W226" s="27">
        <f>V226-E226</f>
        <v>0</v>
      </c>
    </row>
    <row r="227" spans="1:23">
      <c r="A227" s="1">
        <v>2022</v>
      </c>
      <c r="B227" s="1" t="s">
        <v>95</v>
      </c>
      <c r="C227" s="1" t="s">
        <v>96</v>
      </c>
      <c r="D227" s="2">
        <v>5.47</v>
      </c>
      <c r="E227" s="2">
        <v>5.89</v>
      </c>
      <c r="F227" s="2">
        <v>0.03</v>
      </c>
      <c r="G227" s="2">
        <v>-0.46</v>
      </c>
      <c r="H227" s="2">
        <v>4.71</v>
      </c>
      <c r="I227" s="2">
        <v>10.19</v>
      </c>
      <c r="J227" s="2">
        <v>10.26</v>
      </c>
      <c r="K227" s="2">
        <v>10.26</v>
      </c>
      <c r="L227" s="2"/>
      <c r="M227" s="2">
        <v>7.0000000000000001E-3</v>
      </c>
      <c r="O227" s="1">
        <v>71082</v>
      </c>
      <c r="P227" s="1">
        <v>1205892</v>
      </c>
      <c r="R227" s="1">
        <v>5316</v>
      </c>
      <c r="S227" s="1">
        <v>2671</v>
      </c>
      <c r="T227" s="1">
        <f>O227/R227</f>
        <v>13.371331828442438</v>
      </c>
      <c r="U227" s="1">
        <f>P227/R227</f>
        <v>226.84198645598195</v>
      </c>
      <c r="V227" s="1">
        <f>ROUND(O227/P227*100,2)</f>
        <v>5.89</v>
      </c>
      <c r="W227" s="27">
        <f>V227-E227</f>
        <v>0</v>
      </c>
    </row>
    <row r="228" spans="1:23">
      <c r="A228" s="1">
        <v>2022</v>
      </c>
      <c r="B228" s="1" t="s">
        <v>97</v>
      </c>
      <c r="C228" s="1" t="s">
        <v>98</v>
      </c>
      <c r="D228" s="2">
        <v>5.57</v>
      </c>
      <c r="E228" s="2">
        <v>6.11</v>
      </c>
      <c r="F228" s="2">
        <v>-0.16</v>
      </c>
      <c r="G228" s="2">
        <v>-0.38</v>
      </c>
      <c r="H228" s="2">
        <v>4.71</v>
      </c>
      <c r="I228" s="2">
        <v>10.29</v>
      </c>
      <c r="J228" s="2">
        <v>10.29</v>
      </c>
      <c r="K228" s="2">
        <v>10.3</v>
      </c>
      <c r="L228" s="2"/>
      <c r="M228" s="2">
        <v>7.0000000000000001E-3</v>
      </c>
      <c r="O228" s="1">
        <v>35120</v>
      </c>
      <c r="P228" s="1">
        <v>575025</v>
      </c>
      <c r="R228" s="1">
        <v>2502</v>
      </c>
      <c r="S228" s="1">
        <v>1321</v>
      </c>
      <c r="T228" s="1">
        <f>O228/R228</f>
        <v>14.036770583533173</v>
      </c>
      <c r="U228" s="1">
        <f>P228/R228</f>
        <v>229.82613908872901</v>
      </c>
      <c r="V228" s="1">
        <f>ROUND(O228/P228*100,2)</f>
        <v>6.11</v>
      </c>
      <c r="W228" s="27">
        <f>V228-E228</f>
        <v>0</v>
      </c>
    </row>
    <row r="229" spans="1:23">
      <c r="A229" s="1">
        <v>2022</v>
      </c>
      <c r="B229" s="1" t="s">
        <v>99</v>
      </c>
      <c r="C229" s="1" t="s">
        <v>100</v>
      </c>
      <c r="D229" s="2">
        <v>5.56</v>
      </c>
      <c r="E229" s="2">
        <v>5.79</v>
      </c>
      <c r="F229" s="2">
        <v>0.05</v>
      </c>
      <c r="G229" s="2">
        <v>-0.28000000000000003</v>
      </c>
      <c r="H229" s="2">
        <v>4.71</v>
      </c>
      <c r="I229" s="2">
        <v>10.28</v>
      </c>
      <c r="J229" s="2">
        <v>10.210000000000001</v>
      </c>
      <c r="K229" s="2">
        <v>10.210000000000001</v>
      </c>
      <c r="L229" s="2"/>
      <c r="M229" s="2">
        <v>7.0000000000000001E-3</v>
      </c>
      <c r="O229" s="1">
        <v>258772</v>
      </c>
      <c r="P229" s="1">
        <v>4466632</v>
      </c>
      <c r="R229" s="1">
        <v>19085</v>
      </c>
      <c r="S229" s="1">
        <v>9334</v>
      </c>
      <c r="T229" s="1">
        <f>O229/R229</f>
        <v>13.558920618286612</v>
      </c>
      <c r="U229" s="1">
        <f>P229/R229</f>
        <v>234.03887870055016</v>
      </c>
      <c r="V229" s="1">
        <f>ROUND(O229/P229*100,2)</f>
        <v>5.79</v>
      </c>
      <c r="W229" s="27">
        <f>V229-E229</f>
        <v>0</v>
      </c>
    </row>
    <row r="230" spans="1:23">
      <c r="A230" s="1">
        <v>2022</v>
      </c>
      <c r="B230" s="1" t="s">
        <v>101</v>
      </c>
      <c r="C230" s="1" t="s">
        <v>102</v>
      </c>
      <c r="D230" s="2">
        <v>6.21</v>
      </c>
      <c r="E230" s="2">
        <v>7.13</v>
      </c>
      <c r="F230" s="2">
        <v>-0.19</v>
      </c>
      <c r="G230" s="2">
        <v>-0.74</v>
      </c>
      <c r="H230" s="2">
        <v>4.71</v>
      </c>
      <c r="I230" s="2">
        <v>10.92</v>
      </c>
      <c r="J230" s="2">
        <v>10.99</v>
      </c>
      <c r="K230" s="2">
        <v>11</v>
      </c>
      <c r="L230" s="2"/>
      <c r="M230" s="2">
        <v>7.0000000000000001E-3</v>
      </c>
      <c r="O230" s="1">
        <v>45366</v>
      </c>
      <c r="P230" s="1">
        <v>635941</v>
      </c>
      <c r="R230" s="1">
        <v>2942</v>
      </c>
      <c r="S230" s="1">
        <v>1474</v>
      </c>
      <c r="T230" s="1">
        <f>O230/R230</f>
        <v>15.420122365737594</v>
      </c>
      <c r="U230" s="1">
        <f>P230/R230</f>
        <v>216.15941536369817</v>
      </c>
      <c r="V230" s="1">
        <f>ROUND(O230/P230*100,2)</f>
        <v>7.13</v>
      </c>
      <c r="W230" s="27">
        <f>V230-E230</f>
        <v>0</v>
      </c>
    </row>
    <row r="231" spans="1:23">
      <c r="A231" s="1">
        <v>2022</v>
      </c>
      <c r="B231" s="1" t="s">
        <v>103</v>
      </c>
      <c r="C231" s="1" t="s">
        <v>104</v>
      </c>
      <c r="D231" s="2">
        <v>5.67</v>
      </c>
      <c r="E231" s="2">
        <v>6.62</v>
      </c>
      <c r="F231" s="2">
        <v>-0.21</v>
      </c>
      <c r="G231" s="2">
        <v>-0.74</v>
      </c>
      <c r="H231" s="2">
        <v>4.71</v>
      </c>
      <c r="I231" s="2">
        <v>10.38</v>
      </c>
      <c r="J231" s="2">
        <v>10.47</v>
      </c>
      <c r="K231" s="2">
        <v>10.47</v>
      </c>
      <c r="L231" s="2"/>
      <c r="M231" s="2">
        <v>-2E-3</v>
      </c>
      <c r="O231" s="1">
        <v>65337</v>
      </c>
      <c r="P231" s="1">
        <v>987688</v>
      </c>
      <c r="R231" s="1">
        <v>4571</v>
      </c>
      <c r="S231" s="1">
        <v>2361</v>
      </c>
      <c r="T231" s="1">
        <f>O231/R231</f>
        <v>14.293808794574492</v>
      </c>
      <c r="U231" s="1">
        <f>P231/R231</f>
        <v>216.07700721942683</v>
      </c>
      <c r="V231" s="1">
        <f>ROUND(O231/P231*100,2)</f>
        <v>6.62</v>
      </c>
      <c r="W231" s="27">
        <f>V231-E231</f>
        <v>0</v>
      </c>
    </row>
    <row r="232" spans="1:23">
      <c r="A232" s="1">
        <v>2022</v>
      </c>
      <c r="B232" s="1" t="s">
        <v>105</v>
      </c>
      <c r="C232" s="1" t="s">
        <v>106</v>
      </c>
      <c r="D232" s="2">
        <v>5.69</v>
      </c>
      <c r="E232" s="2">
        <v>6.39</v>
      </c>
      <c r="F232" s="2">
        <v>-0.06</v>
      </c>
      <c r="G232" s="2">
        <v>-0.63</v>
      </c>
      <c r="H232" s="2">
        <v>4.71</v>
      </c>
      <c r="I232" s="2">
        <v>10.41</v>
      </c>
      <c r="J232" s="2">
        <v>10.49</v>
      </c>
      <c r="K232" s="2">
        <v>10.45</v>
      </c>
      <c r="L232" s="2"/>
      <c r="M232" s="2">
        <v>-3.6999999999999998E-2</v>
      </c>
      <c r="O232" s="1">
        <v>90224</v>
      </c>
      <c r="P232" s="1">
        <v>1412939</v>
      </c>
      <c r="R232" s="1">
        <v>6416</v>
      </c>
      <c r="S232" s="1">
        <v>3179</v>
      </c>
      <c r="T232" s="1">
        <f>O232/R232</f>
        <v>14.062344139650873</v>
      </c>
      <c r="U232" s="1">
        <f>P232/R232</f>
        <v>220.22116583541148</v>
      </c>
      <c r="V232" s="1">
        <f>ROUND(O232/P232*100,2)</f>
        <v>6.39</v>
      </c>
      <c r="W232" s="27">
        <f>V232-E232</f>
        <v>0</v>
      </c>
    </row>
    <row r="233" spans="1:23">
      <c r="A233" s="1">
        <v>2022</v>
      </c>
      <c r="B233" s="1" t="s">
        <v>107</v>
      </c>
      <c r="C233" s="1" t="s">
        <v>108</v>
      </c>
      <c r="D233" s="2">
        <v>5.68</v>
      </c>
      <c r="E233" s="2">
        <v>6.49</v>
      </c>
      <c r="F233" s="2">
        <v>-0.21</v>
      </c>
      <c r="G233" s="2">
        <v>-0.6</v>
      </c>
      <c r="H233" s="2">
        <v>4.71</v>
      </c>
      <c r="I233" s="2">
        <v>10.4</v>
      </c>
      <c r="J233" s="2">
        <v>10.53</v>
      </c>
      <c r="K233" s="2">
        <v>10.52</v>
      </c>
      <c r="L233" s="2"/>
      <c r="M233" s="2">
        <v>-8.9999999999999993E-3</v>
      </c>
      <c r="O233" s="1">
        <v>59484</v>
      </c>
      <c r="P233" s="1">
        <v>915953</v>
      </c>
      <c r="R233" s="1">
        <v>4140</v>
      </c>
      <c r="S233" s="1">
        <v>2142</v>
      </c>
      <c r="T233" s="1">
        <f>O233/R233</f>
        <v>14.368115942028986</v>
      </c>
      <c r="U233" s="1">
        <f>P233/R233</f>
        <v>221.24468599033816</v>
      </c>
      <c r="V233" s="1">
        <f>ROUND(O233/P233*100,2)</f>
        <v>6.49</v>
      </c>
      <c r="W233" s="27">
        <f>V233-E233</f>
        <v>0</v>
      </c>
    </row>
    <row r="234" spans="1:23">
      <c r="A234" s="1">
        <v>2022</v>
      </c>
      <c r="B234" s="1" t="s">
        <v>109</v>
      </c>
      <c r="C234" s="1" t="s">
        <v>110</v>
      </c>
      <c r="D234" s="2">
        <v>5.33</v>
      </c>
      <c r="E234" s="2">
        <v>6.17</v>
      </c>
      <c r="F234" s="2">
        <v>-0.08</v>
      </c>
      <c r="G234" s="2">
        <v>-0.76</v>
      </c>
      <c r="H234" s="2">
        <v>4.71</v>
      </c>
      <c r="I234" s="2">
        <v>10.039999999999999</v>
      </c>
      <c r="J234" s="2">
        <v>10.14</v>
      </c>
      <c r="K234" s="2">
        <v>10.14</v>
      </c>
      <c r="L234" s="2"/>
      <c r="M234" s="2">
        <v>2E-3</v>
      </c>
      <c r="O234" s="1">
        <v>53924</v>
      </c>
      <c r="P234" s="1">
        <v>874589</v>
      </c>
      <c r="R234" s="1">
        <v>4061</v>
      </c>
      <c r="S234" s="1">
        <v>2031</v>
      </c>
      <c r="T234" s="1">
        <f>O234/R234</f>
        <v>13.278502831814825</v>
      </c>
      <c r="U234" s="1">
        <f>P234/R234</f>
        <v>215.36296478699828</v>
      </c>
      <c r="V234" s="1">
        <f>ROUND(O234/P234*100,2)</f>
        <v>6.17</v>
      </c>
      <c r="W234" s="27">
        <f>V234-E234</f>
        <v>0</v>
      </c>
    </row>
    <row r="235" spans="1:23">
      <c r="A235" s="1">
        <v>2022</v>
      </c>
      <c r="B235" s="1" t="s">
        <v>111</v>
      </c>
      <c r="C235" s="1" t="s">
        <v>112</v>
      </c>
      <c r="D235" s="2">
        <v>5.73</v>
      </c>
      <c r="E235" s="2">
        <v>6.62</v>
      </c>
      <c r="F235" s="2">
        <v>-0.03</v>
      </c>
      <c r="G235" s="2">
        <v>-0.85</v>
      </c>
      <c r="H235" s="2">
        <v>4.71</v>
      </c>
      <c r="I235" s="2">
        <v>10.45</v>
      </c>
      <c r="J235" s="2">
        <v>10.65</v>
      </c>
      <c r="K235" s="2">
        <v>10.65</v>
      </c>
      <c r="L235" s="2"/>
      <c r="M235" s="2">
        <v>7.0000000000000001E-3</v>
      </c>
      <c r="O235" s="1">
        <v>87017</v>
      </c>
      <c r="P235" s="1">
        <v>1314369</v>
      </c>
      <c r="R235" s="1">
        <v>6195</v>
      </c>
      <c r="S235" s="1">
        <v>3020</v>
      </c>
      <c r="T235" s="1">
        <f>O235/R235</f>
        <v>14.04632768361582</v>
      </c>
      <c r="U235" s="1">
        <f>P235/R235</f>
        <v>212.16610169491526</v>
      </c>
      <c r="V235" s="1">
        <f>ROUND(O235/P235*100,2)</f>
        <v>6.62</v>
      </c>
      <c r="W235" s="27">
        <f>V235-E235</f>
        <v>0</v>
      </c>
    </row>
    <row r="236" spans="1:23">
      <c r="A236" s="1">
        <v>2022</v>
      </c>
      <c r="B236" s="1" t="s">
        <v>113</v>
      </c>
      <c r="C236" s="1" t="s">
        <v>114</v>
      </c>
      <c r="D236" s="2">
        <v>5.33</v>
      </c>
      <c r="E236" s="2">
        <v>6.6</v>
      </c>
      <c r="F236" s="2">
        <v>0.3</v>
      </c>
      <c r="G236" s="2">
        <v>-1.56</v>
      </c>
      <c r="H236" s="2">
        <v>4.71</v>
      </c>
      <c r="I236" s="2">
        <v>10.050000000000001</v>
      </c>
      <c r="J236" s="2">
        <v>10.11</v>
      </c>
      <c r="K236" s="2">
        <v>10.09</v>
      </c>
      <c r="L236" s="2"/>
      <c r="M236" s="2">
        <v>-2.1000000000000001E-2</v>
      </c>
      <c r="O236" s="1">
        <v>74355</v>
      </c>
      <c r="P236" s="1">
        <v>1127250</v>
      </c>
      <c r="R236" s="1">
        <v>5927</v>
      </c>
      <c r="S236" s="1">
        <v>2639</v>
      </c>
      <c r="T236" s="1">
        <f>O236/R236</f>
        <v>12.545132444744389</v>
      </c>
      <c r="U236" s="1">
        <f>P236/R236</f>
        <v>190.18896574995782</v>
      </c>
      <c r="V236" s="1">
        <f>ROUND(O236/P236*100,2)</f>
        <v>6.6</v>
      </c>
      <c r="W236" s="27">
        <f>V236-E236</f>
        <v>0</v>
      </c>
    </row>
    <row r="237" spans="1:23">
      <c r="A237" s="1">
        <v>2023</v>
      </c>
      <c r="B237" s="1" t="s">
        <v>21</v>
      </c>
      <c r="C237" s="1" t="s">
        <v>22</v>
      </c>
      <c r="D237" s="2">
        <v>5.71</v>
      </c>
      <c r="E237" s="2">
        <v>6.28</v>
      </c>
      <c r="F237" s="2">
        <v>-0.31</v>
      </c>
      <c r="G237" s="2">
        <v>-0.26</v>
      </c>
      <c r="H237" s="2">
        <v>4.6399999999999997</v>
      </c>
      <c r="I237" s="2">
        <v>10.35</v>
      </c>
      <c r="J237" s="2">
        <v>10.28</v>
      </c>
      <c r="K237" s="2">
        <v>10.29</v>
      </c>
      <c r="L237" s="2"/>
      <c r="M237" s="2">
        <v>0.01</v>
      </c>
      <c r="O237" s="1">
        <v>260585</v>
      </c>
      <c r="P237" s="1">
        <v>4152138</v>
      </c>
      <c r="R237" s="1">
        <v>17148</v>
      </c>
      <c r="S237" s="1">
        <v>9493</v>
      </c>
      <c r="T237" s="1">
        <f>O237/R237</f>
        <v>15.196232796827619</v>
      </c>
      <c r="U237" s="1">
        <f>P237/R237</f>
        <v>242.13540937718685</v>
      </c>
      <c r="V237" s="1">
        <f>ROUND(O237/P237*100,2)</f>
        <v>6.28</v>
      </c>
      <c r="W237" s="27">
        <f>V237-E237</f>
        <v>0</v>
      </c>
    </row>
    <row r="238" spans="1:23">
      <c r="A238" s="1">
        <v>2023</v>
      </c>
      <c r="B238" s="1" t="s">
        <v>23</v>
      </c>
      <c r="C238" s="1" t="s">
        <v>24</v>
      </c>
      <c r="D238" s="2">
        <v>5.21</v>
      </c>
      <c r="E238" s="2">
        <v>6.33</v>
      </c>
      <c r="F238" s="2">
        <v>-0.31</v>
      </c>
      <c r="G238" s="2">
        <v>-0.8</v>
      </c>
      <c r="H238" s="2">
        <v>4.6399999999999997</v>
      </c>
      <c r="I238" s="2">
        <v>9.85</v>
      </c>
      <c r="J238" s="2">
        <v>9.7799999999999994</v>
      </c>
      <c r="K238" s="2">
        <v>9.7899999999999991</v>
      </c>
      <c r="L238" s="2"/>
      <c r="M238" s="2">
        <v>0.01</v>
      </c>
      <c r="O238" s="1">
        <v>59480</v>
      </c>
      <c r="P238" s="1">
        <v>940210</v>
      </c>
      <c r="R238" s="1">
        <v>4260</v>
      </c>
      <c r="S238" s="1">
        <v>2356</v>
      </c>
      <c r="T238" s="1">
        <f>O238/R238</f>
        <v>13.96244131455399</v>
      </c>
      <c r="U238" s="1">
        <f>P238/R238</f>
        <v>220.70657276995306</v>
      </c>
      <c r="V238" s="1">
        <f>ROUND(O238/P238*100,2)</f>
        <v>6.33</v>
      </c>
      <c r="W238" s="27">
        <f>V238-E238</f>
        <v>0</v>
      </c>
    </row>
    <row r="239" spans="1:23">
      <c r="A239" s="1">
        <v>2023</v>
      </c>
      <c r="B239" s="1" t="s">
        <v>25</v>
      </c>
      <c r="C239" s="1" t="s">
        <v>26</v>
      </c>
      <c r="D239" s="2">
        <v>5.1100000000000003</v>
      </c>
      <c r="E239" s="2">
        <v>6</v>
      </c>
      <c r="F239" s="2">
        <v>-0.32</v>
      </c>
      <c r="G239" s="2">
        <v>-0.56999999999999995</v>
      </c>
      <c r="H239" s="2">
        <v>4.6399999999999997</v>
      </c>
      <c r="I239" s="2">
        <v>9.75</v>
      </c>
      <c r="J239" s="2">
        <v>9.76</v>
      </c>
      <c r="K239" s="2">
        <v>9.77</v>
      </c>
      <c r="L239" s="2"/>
      <c r="M239" s="2">
        <v>0.01</v>
      </c>
      <c r="O239" s="1">
        <v>53818</v>
      </c>
      <c r="P239" s="1">
        <v>897564</v>
      </c>
      <c r="R239" s="1">
        <v>3913</v>
      </c>
      <c r="S239" s="1">
        <v>2139</v>
      </c>
      <c r="T239" s="1">
        <f>O239/R239</f>
        <v>13.753641707130079</v>
      </c>
      <c r="U239" s="1">
        <f>P239/R239</f>
        <v>229.38001533350371</v>
      </c>
      <c r="V239" s="1">
        <f>ROUND(O239/P239*100,2)</f>
        <v>6</v>
      </c>
      <c r="W239" s="27">
        <f>V239-E239</f>
        <v>0</v>
      </c>
    </row>
    <row r="240" spans="1:23">
      <c r="A240" s="1">
        <v>2023</v>
      </c>
      <c r="B240" s="1" t="s">
        <v>27</v>
      </c>
      <c r="C240" s="1" t="s">
        <v>28</v>
      </c>
      <c r="D240" s="2">
        <v>5.41</v>
      </c>
      <c r="E240" s="2">
        <v>5.91</v>
      </c>
      <c r="F240" s="2">
        <v>-0.17</v>
      </c>
      <c r="G240" s="2">
        <v>-0.32</v>
      </c>
      <c r="H240" s="2">
        <v>4.6399999999999997</v>
      </c>
      <c r="I240" s="2">
        <v>10.050000000000001</v>
      </c>
      <c r="J240" s="2">
        <v>10.06</v>
      </c>
      <c r="K240" s="2">
        <v>10.050000000000001</v>
      </c>
      <c r="L240" s="2"/>
      <c r="M240" s="2">
        <v>-1.2E-2</v>
      </c>
      <c r="O240" s="1">
        <v>102022</v>
      </c>
      <c r="P240" s="1">
        <v>1727024</v>
      </c>
      <c r="R240" s="1">
        <v>7220</v>
      </c>
      <c r="S240" s="1">
        <v>3807</v>
      </c>
      <c r="T240" s="1">
        <f>O240/R240</f>
        <v>14.130470914127423</v>
      </c>
      <c r="U240" s="1">
        <f>P240/R240</f>
        <v>239.2</v>
      </c>
      <c r="V240" s="1">
        <f>ROUND(O240/P240*100,2)</f>
        <v>5.91</v>
      </c>
      <c r="W240" s="27">
        <f>V240-E240</f>
        <v>0</v>
      </c>
    </row>
    <row r="241" spans="1:23">
      <c r="A241" s="1">
        <v>2023</v>
      </c>
      <c r="B241" s="1" t="s">
        <v>29</v>
      </c>
      <c r="C241" s="1" t="s">
        <v>30</v>
      </c>
      <c r="D241" s="2">
        <v>5.4</v>
      </c>
      <c r="E241" s="2">
        <v>6.8</v>
      </c>
      <c r="F241" s="2">
        <v>-0.64</v>
      </c>
      <c r="G241" s="2">
        <v>-0.76</v>
      </c>
      <c r="H241" s="2">
        <v>4.6399999999999997</v>
      </c>
      <c r="I241" s="2">
        <v>10.039999999999999</v>
      </c>
      <c r="J241" s="2">
        <v>9.9</v>
      </c>
      <c r="K241" s="2">
        <v>9.86</v>
      </c>
      <c r="L241" s="2"/>
      <c r="M241" s="2">
        <v>-3.7999999999999999E-2</v>
      </c>
      <c r="O241" s="1">
        <v>46633</v>
      </c>
      <c r="P241" s="1">
        <v>686202</v>
      </c>
      <c r="R241" s="1">
        <v>3091</v>
      </c>
      <c r="S241" s="1">
        <v>1787</v>
      </c>
      <c r="T241" s="1">
        <f>O241/R241</f>
        <v>15.086703332254933</v>
      </c>
      <c r="U241" s="1">
        <f>P241/R241</f>
        <v>222</v>
      </c>
      <c r="V241" s="1">
        <f>ROUND(O241/P241*100,2)</f>
        <v>6.8</v>
      </c>
      <c r="W241" s="27">
        <f>V241-E241</f>
        <v>0</v>
      </c>
    </row>
    <row r="242" spans="1:23">
      <c r="A242" s="1">
        <v>2023</v>
      </c>
      <c r="B242" s="1" t="s">
        <v>31</v>
      </c>
      <c r="C242" s="1" t="s">
        <v>32</v>
      </c>
      <c r="D242" s="2">
        <v>5.39</v>
      </c>
      <c r="E242" s="2">
        <v>6.15</v>
      </c>
      <c r="F242" s="2">
        <v>-0.28000000000000003</v>
      </c>
      <c r="G242" s="2">
        <v>-0.48</v>
      </c>
      <c r="H242" s="2">
        <v>4.6399999999999997</v>
      </c>
      <c r="I242" s="2">
        <v>10.029999999999999</v>
      </c>
      <c r="J242" s="2">
        <v>10.02</v>
      </c>
      <c r="K242" s="2">
        <v>9.98</v>
      </c>
      <c r="L242" s="2"/>
      <c r="M242" s="2">
        <v>-4.2999999999999997E-2</v>
      </c>
      <c r="O242" s="1">
        <v>54051</v>
      </c>
      <c r="P242" s="1">
        <v>878893</v>
      </c>
      <c r="R242" s="1">
        <v>3774</v>
      </c>
      <c r="S242" s="1">
        <v>2021</v>
      </c>
      <c r="T242" s="1">
        <f>O242/R242</f>
        <v>14.321939586645469</v>
      </c>
      <c r="U242" s="1">
        <f>P242/R242</f>
        <v>232.88102808691045</v>
      </c>
      <c r="V242" s="1">
        <f>ROUND(O242/P242*100,2)</f>
        <v>6.15</v>
      </c>
      <c r="W242" s="27">
        <f>V242-E242</f>
        <v>0</v>
      </c>
    </row>
    <row r="243" spans="1:23">
      <c r="A243" s="1">
        <v>2023</v>
      </c>
      <c r="B243" s="1" t="s">
        <v>33</v>
      </c>
      <c r="C243" s="1" t="s">
        <v>34</v>
      </c>
      <c r="D243" s="2">
        <v>4.97</v>
      </c>
      <c r="E243" s="2">
        <v>5.42</v>
      </c>
      <c r="F243" s="2">
        <v>-0.18</v>
      </c>
      <c r="G243" s="2">
        <v>-0.27</v>
      </c>
      <c r="H243" s="2">
        <v>4.6399999999999997</v>
      </c>
      <c r="I243" s="2">
        <v>9.61</v>
      </c>
      <c r="J243" s="2">
        <v>9.5500000000000007</v>
      </c>
      <c r="K243" s="2">
        <v>9.5299999999999994</v>
      </c>
      <c r="L243" s="2"/>
      <c r="M243" s="2">
        <v>-1.9E-2</v>
      </c>
      <c r="O243" s="1">
        <v>83900</v>
      </c>
      <c r="P243" s="1">
        <v>1547458</v>
      </c>
      <c r="R243" s="1">
        <v>6406</v>
      </c>
      <c r="S243" s="1">
        <v>3348</v>
      </c>
      <c r="T243" s="1">
        <f>O243/R243</f>
        <v>13.097096472057446</v>
      </c>
      <c r="U243" s="1">
        <f>P243/R243</f>
        <v>241.56384639400562</v>
      </c>
      <c r="V243" s="1">
        <f>ROUND(O243/P243*100,2)</f>
        <v>5.42</v>
      </c>
      <c r="W243" s="27">
        <f>V243-E243</f>
        <v>0</v>
      </c>
    </row>
    <row r="244" spans="1:23">
      <c r="A244" s="1">
        <v>2023</v>
      </c>
      <c r="B244" s="1" t="s">
        <v>35</v>
      </c>
      <c r="C244" s="1" t="s">
        <v>36</v>
      </c>
      <c r="D244" s="2">
        <v>5.0999999999999996</v>
      </c>
      <c r="E244" s="2">
        <v>5.12</v>
      </c>
      <c r="F244" s="2">
        <v>-0.04</v>
      </c>
      <c r="G244" s="2">
        <v>0.03</v>
      </c>
      <c r="H244" s="2">
        <v>4.6399999999999997</v>
      </c>
      <c r="I244" s="2">
        <v>9.75</v>
      </c>
      <c r="J244" s="2">
        <v>9.7200000000000006</v>
      </c>
      <c r="K244" s="2">
        <v>9.73</v>
      </c>
      <c r="L244" s="2"/>
      <c r="M244" s="2">
        <v>0.01</v>
      </c>
      <c r="O244" s="1">
        <v>92100</v>
      </c>
      <c r="P244" s="1">
        <v>1798882</v>
      </c>
      <c r="R244" s="1">
        <v>7053</v>
      </c>
      <c r="S244" s="1">
        <v>3672</v>
      </c>
      <c r="T244" s="1">
        <f>O244/R244</f>
        <v>13.058273075287111</v>
      </c>
      <c r="U244" s="1">
        <f>P244/R244</f>
        <v>255.05203459520772</v>
      </c>
      <c r="V244" s="1">
        <f>ROUND(O244/P244*100,2)</f>
        <v>5.12</v>
      </c>
      <c r="W244" s="27">
        <f>V244-E244</f>
        <v>0</v>
      </c>
    </row>
    <row r="245" spans="1:23">
      <c r="A245" s="1">
        <v>2023</v>
      </c>
      <c r="B245" s="1" t="s">
        <v>37</v>
      </c>
      <c r="C245" s="1" t="s">
        <v>38</v>
      </c>
      <c r="D245" s="2">
        <v>5.29</v>
      </c>
      <c r="E245" s="2">
        <v>5.4</v>
      </c>
      <c r="F245" s="2">
        <v>-0.06</v>
      </c>
      <c r="G245" s="2">
        <v>-0.05</v>
      </c>
      <c r="H245" s="2">
        <v>4.6399999999999997</v>
      </c>
      <c r="I245" s="2">
        <v>9.93</v>
      </c>
      <c r="J245" s="2">
        <v>9.9700000000000006</v>
      </c>
      <c r="K245" s="2">
        <v>9.9600000000000009</v>
      </c>
      <c r="L245" s="2"/>
      <c r="M245" s="2">
        <v>-1.2E-2</v>
      </c>
      <c r="O245" s="1">
        <v>71292</v>
      </c>
      <c r="P245" s="1">
        <v>1321217</v>
      </c>
      <c r="R245" s="1">
        <v>5261</v>
      </c>
      <c r="S245" s="1">
        <v>2732</v>
      </c>
      <c r="T245" s="1">
        <f>O245/R245</f>
        <v>13.551035924729138</v>
      </c>
      <c r="U245" s="1">
        <f>P245/R245</f>
        <v>251.13419501995818</v>
      </c>
      <c r="V245" s="1">
        <f>ROUND(O245/P245*100,2)</f>
        <v>5.4</v>
      </c>
      <c r="W245" s="27">
        <f>V245-E245</f>
        <v>0</v>
      </c>
    </row>
    <row r="246" spans="1:23">
      <c r="A246" s="1">
        <v>2023</v>
      </c>
      <c r="B246" s="1" t="s">
        <v>39</v>
      </c>
      <c r="C246" s="1" t="s">
        <v>40</v>
      </c>
      <c r="D246" s="2">
        <v>5.1100000000000003</v>
      </c>
      <c r="E246" s="2">
        <v>5.21</v>
      </c>
      <c r="F246" s="2">
        <v>-0.02</v>
      </c>
      <c r="G246" s="2">
        <v>-0.08</v>
      </c>
      <c r="H246" s="2">
        <v>4.6399999999999997</v>
      </c>
      <c r="I246" s="2">
        <v>9.75</v>
      </c>
      <c r="J246" s="2">
        <v>9.75</v>
      </c>
      <c r="K246" s="2">
        <v>9.76</v>
      </c>
      <c r="L246" s="2"/>
      <c r="M246" s="2">
        <v>0.01</v>
      </c>
      <c r="O246" s="1">
        <v>80070</v>
      </c>
      <c r="P246" s="1">
        <v>1536144</v>
      </c>
      <c r="R246" s="1">
        <v>6149</v>
      </c>
      <c r="S246" s="1">
        <v>3179</v>
      </c>
      <c r="T246" s="1">
        <f>O246/R246</f>
        <v>13.021629533257441</v>
      </c>
      <c r="U246" s="1">
        <f>P246/R246</f>
        <v>249.82013335501708</v>
      </c>
      <c r="V246" s="1">
        <f>ROUND(O246/P246*100,2)</f>
        <v>5.21</v>
      </c>
      <c r="W246" s="27">
        <f>V246-E246</f>
        <v>0</v>
      </c>
    </row>
    <row r="247" spans="1:23">
      <c r="A247" s="1">
        <v>2023</v>
      </c>
      <c r="B247" s="1" t="s">
        <v>41</v>
      </c>
      <c r="C247" s="1" t="s">
        <v>42</v>
      </c>
      <c r="D247" s="2">
        <v>5.16</v>
      </c>
      <c r="E247" s="2">
        <v>5.03</v>
      </c>
      <c r="F247" s="2">
        <v>-0.01</v>
      </c>
      <c r="G247" s="2">
        <v>0.14000000000000001</v>
      </c>
      <c r="H247" s="2">
        <v>4.6399999999999997</v>
      </c>
      <c r="I247" s="2">
        <v>9.8000000000000007</v>
      </c>
      <c r="J247" s="2">
        <v>9.81</v>
      </c>
      <c r="K247" s="2">
        <v>9.82</v>
      </c>
      <c r="L247" s="2"/>
      <c r="M247" s="2">
        <v>0.01</v>
      </c>
      <c r="O247" s="1">
        <v>182653</v>
      </c>
      <c r="P247" s="1">
        <v>3631268</v>
      </c>
      <c r="R247" s="1">
        <v>13953</v>
      </c>
      <c r="S247" s="1">
        <v>7364</v>
      </c>
      <c r="T247" s="1">
        <f>O247/R247</f>
        <v>13.090589837310972</v>
      </c>
      <c r="U247" s="1">
        <f>P247/R247</f>
        <v>260.24998208270625</v>
      </c>
      <c r="V247" s="1">
        <f>ROUND(O247/P247*100,2)</f>
        <v>5.03</v>
      </c>
      <c r="W247" s="27">
        <f>V247-E247</f>
        <v>0</v>
      </c>
    </row>
    <row r="248" spans="1:23">
      <c r="A248" s="1">
        <v>2023</v>
      </c>
      <c r="B248" s="1" t="s">
        <v>43</v>
      </c>
      <c r="C248" s="1" t="s">
        <v>44</v>
      </c>
      <c r="D248" s="2">
        <v>5.19</v>
      </c>
      <c r="E248" s="2">
        <v>5.16</v>
      </c>
      <c r="F248" s="2">
        <v>-0.1</v>
      </c>
      <c r="G248" s="2">
        <v>0.13</v>
      </c>
      <c r="H248" s="2">
        <v>4.6399999999999997</v>
      </c>
      <c r="I248" s="2">
        <v>9.83</v>
      </c>
      <c r="J248" s="2">
        <v>9.86</v>
      </c>
      <c r="K248" s="2">
        <v>9.8699999999999992</v>
      </c>
      <c r="L248" s="2"/>
      <c r="M248" s="2">
        <v>0.01</v>
      </c>
      <c r="O248" s="1">
        <v>132621</v>
      </c>
      <c r="P248" s="1">
        <v>2570580</v>
      </c>
      <c r="R248" s="1">
        <v>9885</v>
      </c>
      <c r="S248" s="1">
        <v>5212</v>
      </c>
      <c r="T248" s="1">
        <f>O248/R248</f>
        <v>13.41638846737481</v>
      </c>
      <c r="U248" s="1">
        <f>P248/R248</f>
        <v>260.04855842185128</v>
      </c>
      <c r="V248" s="1">
        <f>ROUND(O248/P248*100,2)</f>
        <v>5.16</v>
      </c>
      <c r="W248" s="27">
        <f>V248-E248</f>
        <v>0</v>
      </c>
    </row>
    <row r="249" spans="1:23">
      <c r="A249" s="1">
        <v>2023</v>
      </c>
      <c r="B249" s="1" t="s">
        <v>45</v>
      </c>
      <c r="C249" s="1" t="s">
        <v>46</v>
      </c>
      <c r="D249" s="2">
        <v>5.28</v>
      </c>
      <c r="E249" s="2">
        <v>4.47</v>
      </c>
      <c r="F249" s="2">
        <v>0.14000000000000001</v>
      </c>
      <c r="G249" s="2">
        <v>0.67</v>
      </c>
      <c r="H249" s="2">
        <v>4.6399999999999997</v>
      </c>
      <c r="I249" s="2">
        <v>9.92</v>
      </c>
      <c r="J249" s="2">
        <v>9.99</v>
      </c>
      <c r="K249" s="2">
        <v>10</v>
      </c>
      <c r="L249" s="2"/>
      <c r="M249" s="2">
        <v>0.01</v>
      </c>
      <c r="O249" s="1">
        <v>712807</v>
      </c>
      <c r="P249" s="1">
        <v>15949086</v>
      </c>
      <c r="R249" s="1">
        <v>55034</v>
      </c>
      <c r="S249" s="1">
        <v>27416</v>
      </c>
      <c r="T249" s="1">
        <f>O249/R249</f>
        <v>12.952120507322746</v>
      </c>
      <c r="U249" s="1">
        <f>P249/R249</f>
        <v>289.80423011229419</v>
      </c>
      <c r="V249" s="1">
        <f>ROUND(O249/P249*100,2)</f>
        <v>4.47</v>
      </c>
      <c r="W249" s="27">
        <f>V249-E249</f>
        <v>0</v>
      </c>
    </row>
    <row r="250" spans="1:23">
      <c r="A250" s="1">
        <v>2023</v>
      </c>
      <c r="B250" s="1" t="s">
        <v>47</v>
      </c>
      <c r="C250" s="1" t="s">
        <v>48</v>
      </c>
      <c r="D250" s="2">
        <v>5.34</v>
      </c>
      <c r="E250" s="2">
        <v>5</v>
      </c>
      <c r="F250" s="2">
        <v>-0.06</v>
      </c>
      <c r="G250" s="2">
        <v>0.39</v>
      </c>
      <c r="H250" s="2">
        <v>4.6399999999999997</v>
      </c>
      <c r="I250" s="2">
        <v>9.98</v>
      </c>
      <c r="J250" s="2">
        <v>10.01</v>
      </c>
      <c r="K250" s="2">
        <v>10.02</v>
      </c>
      <c r="L250" s="2"/>
      <c r="M250" s="2">
        <v>0.01</v>
      </c>
      <c r="O250" s="1">
        <v>222884</v>
      </c>
      <c r="P250" s="1">
        <v>4453937</v>
      </c>
      <c r="R250" s="1">
        <v>16266</v>
      </c>
      <c r="S250" s="1">
        <v>8672</v>
      </c>
      <c r="T250" s="1">
        <f>O250/R250</f>
        <v>13.70244682159105</v>
      </c>
      <c r="U250" s="1">
        <f>P250/R250</f>
        <v>273.81882454198944</v>
      </c>
      <c r="V250" s="1">
        <f>ROUND(O250/P250*100,2)</f>
        <v>5</v>
      </c>
      <c r="W250" s="27">
        <f>V250-E250</f>
        <v>0</v>
      </c>
    </row>
    <row r="251" spans="1:23">
      <c r="A251" s="1">
        <v>2023</v>
      </c>
      <c r="B251" s="1" t="s">
        <v>49</v>
      </c>
      <c r="C251" s="1" t="s">
        <v>50</v>
      </c>
      <c r="D251" s="2">
        <v>4.8</v>
      </c>
      <c r="E251" s="2">
        <v>5.24</v>
      </c>
      <c r="F251" s="2">
        <v>-0.14000000000000001</v>
      </c>
      <c r="G251" s="2">
        <v>-0.3</v>
      </c>
      <c r="H251" s="2">
        <v>4.6399999999999997</v>
      </c>
      <c r="I251" s="2">
        <v>9.44</v>
      </c>
      <c r="J251" s="2">
        <v>9.34</v>
      </c>
      <c r="K251" s="2">
        <v>9.33</v>
      </c>
      <c r="L251" s="2"/>
      <c r="M251" s="2">
        <v>-8.9999999999999993E-3</v>
      </c>
      <c r="O251" s="1">
        <v>98369</v>
      </c>
      <c r="P251" s="1">
        <v>1876984</v>
      </c>
      <c r="R251" s="1">
        <v>7817</v>
      </c>
      <c r="S251" s="1">
        <v>4130</v>
      </c>
      <c r="T251" s="1">
        <f>O251/R251</f>
        <v>12.583983625431751</v>
      </c>
      <c r="U251" s="1">
        <f>P251/R251</f>
        <v>240.11564538825635</v>
      </c>
      <c r="V251" s="1">
        <f>ROUND(O251/P251*100,2)</f>
        <v>5.24</v>
      </c>
      <c r="W251" s="27">
        <f>V251-E251</f>
        <v>0</v>
      </c>
    </row>
    <row r="252" spans="1:23">
      <c r="A252" s="1">
        <v>2023</v>
      </c>
      <c r="B252" s="1" t="s">
        <v>51</v>
      </c>
      <c r="C252" s="1" t="s">
        <v>52</v>
      </c>
      <c r="D252" s="2">
        <v>4.97</v>
      </c>
      <c r="E252" s="2">
        <v>4.9400000000000004</v>
      </c>
      <c r="F252" s="2">
        <v>-0.09</v>
      </c>
      <c r="G252" s="2">
        <v>0.11</v>
      </c>
      <c r="H252" s="2">
        <v>4.6399999999999997</v>
      </c>
      <c r="I252" s="2">
        <v>9.61</v>
      </c>
      <c r="J252" s="2">
        <v>9.56</v>
      </c>
      <c r="K252" s="2">
        <v>9.57</v>
      </c>
      <c r="L252" s="2"/>
      <c r="M252" s="2">
        <v>0.01</v>
      </c>
      <c r="O252" s="1">
        <v>50531</v>
      </c>
      <c r="P252" s="1">
        <v>1021990</v>
      </c>
      <c r="R252" s="1">
        <v>3945</v>
      </c>
      <c r="S252" s="1">
        <v>2095</v>
      </c>
      <c r="T252" s="1">
        <f>O252/R252</f>
        <v>12.808871989860583</v>
      </c>
      <c r="U252" s="1">
        <f>P252/R252</f>
        <v>259.05956907477821</v>
      </c>
      <c r="V252" s="1">
        <f>ROUND(O252/P252*100,2)</f>
        <v>4.9400000000000004</v>
      </c>
      <c r="W252" s="27">
        <f>V252-E252</f>
        <v>0</v>
      </c>
    </row>
    <row r="253" spans="1:23">
      <c r="A253" s="1">
        <v>2023</v>
      </c>
      <c r="B253" s="1" t="s">
        <v>53</v>
      </c>
      <c r="C253" s="1" t="s">
        <v>54</v>
      </c>
      <c r="D253" s="2">
        <v>5.23</v>
      </c>
      <c r="E253" s="2">
        <v>5.26</v>
      </c>
      <c r="F253" s="2">
        <v>-0.03</v>
      </c>
      <c r="G253" s="2">
        <v>0</v>
      </c>
      <c r="H253" s="2">
        <v>4.6399999999999997</v>
      </c>
      <c r="I253" s="2">
        <v>9.8699999999999992</v>
      </c>
      <c r="J253" s="2">
        <v>9.68</v>
      </c>
      <c r="K253" s="2">
        <v>9.66</v>
      </c>
      <c r="L253" s="2"/>
      <c r="M253" s="2">
        <v>-2.1999999999999999E-2</v>
      </c>
      <c r="O253" s="1">
        <v>57253</v>
      </c>
      <c r="P253" s="1">
        <v>1087908</v>
      </c>
      <c r="R253" s="1">
        <v>4288</v>
      </c>
      <c r="S253" s="1">
        <v>2211</v>
      </c>
      <c r="T253" s="1">
        <f>O253/R253</f>
        <v>13.351912313432836</v>
      </c>
      <c r="U253" s="1">
        <f>P253/R253</f>
        <v>253.70988805970148</v>
      </c>
      <c r="V253" s="1">
        <f>ROUND(O253/P253*100,2)</f>
        <v>5.26</v>
      </c>
      <c r="W253" s="27">
        <f>V253-E253</f>
        <v>0</v>
      </c>
    </row>
    <row r="254" spans="1:23">
      <c r="A254" s="1">
        <v>2023</v>
      </c>
      <c r="B254" s="1" t="s">
        <v>55</v>
      </c>
      <c r="C254" s="1" t="s">
        <v>56</v>
      </c>
      <c r="D254" s="2">
        <v>5.31</v>
      </c>
      <c r="E254" s="2">
        <v>5.47</v>
      </c>
      <c r="F254" s="2">
        <v>-0.13</v>
      </c>
      <c r="G254" s="2">
        <v>-0.03</v>
      </c>
      <c r="H254" s="2">
        <v>4.6399999999999997</v>
      </c>
      <c r="I254" s="2">
        <v>9.9499999999999993</v>
      </c>
      <c r="J254" s="2">
        <v>9.92</v>
      </c>
      <c r="K254" s="2">
        <v>9.91</v>
      </c>
      <c r="L254" s="2"/>
      <c r="M254" s="2">
        <v>-1.4999999999999999E-2</v>
      </c>
      <c r="O254" s="1">
        <v>39053</v>
      </c>
      <c r="P254" s="1">
        <v>714549</v>
      </c>
      <c r="R254" s="1">
        <v>2830</v>
      </c>
      <c r="S254" s="1">
        <v>1463</v>
      </c>
      <c r="T254" s="1">
        <f>O254/R254</f>
        <v>13.79964664310954</v>
      </c>
      <c r="U254" s="1">
        <f>P254/R254</f>
        <v>252.49081272084806</v>
      </c>
      <c r="V254" s="1">
        <f>ROUND(O254/P254*100,2)</f>
        <v>5.47</v>
      </c>
      <c r="W254" s="27">
        <f>V254-E254</f>
        <v>0</v>
      </c>
    </row>
    <row r="255" spans="1:23">
      <c r="A255" s="1">
        <v>2023</v>
      </c>
      <c r="B255" s="1" t="s">
        <v>57</v>
      </c>
      <c r="C255" s="1" t="s">
        <v>58</v>
      </c>
      <c r="D255" s="2">
        <v>5.12</v>
      </c>
      <c r="E255" s="2">
        <v>5.43</v>
      </c>
      <c r="F255" s="2">
        <v>-0.15</v>
      </c>
      <c r="G255" s="2">
        <v>-0.16</v>
      </c>
      <c r="H255" s="2">
        <v>4.6399999999999997</v>
      </c>
      <c r="I255" s="2">
        <v>9.76</v>
      </c>
      <c r="J255" s="2">
        <v>9.66</v>
      </c>
      <c r="K255" s="2">
        <v>9.67</v>
      </c>
      <c r="L255" s="2"/>
      <c r="M255" s="2">
        <v>0.01</v>
      </c>
      <c r="O255" s="1">
        <v>32852</v>
      </c>
      <c r="P255" s="1">
        <v>604696</v>
      </c>
      <c r="R255" s="1">
        <v>2455</v>
      </c>
      <c r="S255" s="1">
        <v>1287</v>
      </c>
      <c r="T255" s="1">
        <f>O255/R255</f>
        <v>13.381670061099797</v>
      </c>
      <c r="U255" s="1">
        <f>P255/R255</f>
        <v>246.31201629327902</v>
      </c>
      <c r="V255" s="1">
        <f>ROUND(O255/P255*100,2)</f>
        <v>5.43</v>
      </c>
      <c r="W255" s="27">
        <f>V255-E255</f>
        <v>0</v>
      </c>
    </row>
    <row r="256" spans="1:23">
      <c r="A256" s="1">
        <v>2023</v>
      </c>
      <c r="B256" s="1" t="s">
        <v>59</v>
      </c>
      <c r="C256" s="1" t="s">
        <v>60</v>
      </c>
      <c r="D256" s="2">
        <v>4.96</v>
      </c>
      <c r="E256" s="2">
        <v>5.24</v>
      </c>
      <c r="F256" s="2">
        <v>-0.08</v>
      </c>
      <c r="G256" s="2">
        <v>-0.2</v>
      </c>
      <c r="H256" s="2">
        <v>4.6399999999999997</v>
      </c>
      <c r="I256" s="2">
        <v>9.6</v>
      </c>
      <c r="J256" s="2">
        <v>9.5299999999999994</v>
      </c>
      <c r="K256" s="2">
        <v>9.49</v>
      </c>
      <c r="L256" s="2"/>
      <c r="M256" s="2">
        <v>-3.6999999999999998E-2</v>
      </c>
      <c r="O256" s="1">
        <v>81616</v>
      </c>
      <c r="P256" s="1">
        <v>1557894</v>
      </c>
      <c r="R256" s="1">
        <v>6372</v>
      </c>
      <c r="S256" s="1">
        <v>3340</v>
      </c>
      <c r="T256" s="1">
        <f>O256/R256</f>
        <v>12.808537350910232</v>
      </c>
      <c r="U256" s="1">
        <f>P256/R256</f>
        <v>244.49058380414311</v>
      </c>
      <c r="V256" s="1">
        <f>ROUND(O256/P256*100,2)</f>
        <v>5.24</v>
      </c>
      <c r="W256" s="27">
        <f>V256-E256</f>
        <v>0</v>
      </c>
    </row>
    <row r="257" spans="1:23">
      <c r="A257" s="1">
        <v>2023</v>
      </c>
      <c r="B257" s="1" t="s">
        <v>61</v>
      </c>
      <c r="C257" s="1" t="s">
        <v>62</v>
      </c>
      <c r="D257" s="2">
        <v>5.23</v>
      </c>
      <c r="E257" s="2">
        <v>5.31</v>
      </c>
      <c r="F257" s="2">
        <v>0.01</v>
      </c>
      <c r="G257" s="2">
        <v>-0.09</v>
      </c>
      <c r="H257" s="2">
        <v>4.6399999999999997</v>
      </c>
      <c r="I257" s="2">
        <v>9.8699999999999992</v>
      </c>
      <c r="J257" s="2">
        <v>9.89</v>
      </c>
      <c r="K257" s="2">
        <v>9.8000000000000007</v>
      </c>
      <c r="L257" s="2"/>
      <c r="M257" s="2">
        <v>-8.4000000000000005E-2</v>
      </c>
      <c r="O257" s="1">
        <v>97411</v>
      </c>
      <c r="P257" s="1">
        <v>1834181</v>
      </c>
      <c r="R257" s="1">
        <v>7348</v>
      </c>
      <c r="S257" s="1">
        <v>3776</v>
      </c>
      <c r="T257" s="1">
        <f>O257/R257</f>
        <v>13.256804572672836</v>
      </c>
      <c r="U257" s="1">
        <f>P257/R257</f>
        <v>249.61635819270549</v>
      </c>
      <c r="V257" s="1">
        <f>ROUND(O257/P257*100,2)</f>
        <v>5.31</v>
      </c>
      <c r="W257" s="27">
        <f>V257-E257</f>
        <v>0</v>
      </c>
    </row>
    <row r="258" spans="1:23">
      <c r="A258" s="1">
        <v>2023</v>
      </c>
      <c r="B258" s="1" t="s">
        <v>63</v>
      </c>
      <c r="C258" s="1" t="s">
        <v>64</v>
      </c>
      <c r="D258" s="2">
        <v>5.0999999999999996</v>
      </c>
      <c r="E258" s="2">
        <v>5.03</v>
      </c>
      <c r="F258" s="2">
        <v>-0.04</v>
      </c>
      <c r="G258" s="2">
        <v>0.11</v>
      </c>
      <c r="H258" s="2">
        <v>4.6399999999999997</v>
      </c>
      <c r="I258" s="2">
        <v>9.74</v>
      </c>
      <c r="J258" s="2">
        <v>9.77</v>
      </c>
      <c r="K258" s="2">
        <v>9.75</v>
      </c>
      <c r="L258" s="2"/>
      <c r="M258" s="2">
        <v>-1.2999999999999999E-2</v>
      </c>
      <c r="O258" s="1">
        <v>130669</v>
      </c>
      <c r="P258" s="1">
        <v>2597581</v>
      </c>
      <c r="R258" s="1">
        <v>10035</v>
      </c>
      <c r="S258" s="1">
        <v>5209</v>
      </c>
      <c r="T258" s="1">
        <f>O258/R258</f>
        <v>13.021325361235675</v>
      </c>
      <c r="U258" s="1">
        <f>P258/R258</f>
        <v>258.85211758844048</v>
      </c>
      <c r="V258" s="1">
        <f>ROUND(O258/P258*100,2)</f>
        <v>5.03</v>
      </c>
      <c r="W258" s="27">
        <f>V258-E258</f>
        <v>0</v>
      </c>
    </row>
    <row r="259" spans="1:23">
      <c r="A259" s="1">
        <v>2023</v>
      </c>
      <c r="B259" s="1" t="s">
        <v>65</v>
      </c>
      <c r="C259" s="1" t="s">
        <v>66</v>
      </c>
      <c r="D259" s="2">
        <v>5.31</v>
      </c>
      <c r="E259" s="2">
        <v>4.84</v>
      </c>
      <c r="F259" s="2">
        <v>0.2</v>
      </c>
      <c r="G259" s="2">
        <v>0.27</v>
      </c>
      <c r="H259" s="2">
        <v>4.6399999999999997</v>
      </c>
      <c r="I259" s="2">
        <v>9.9499999999999993</v>
      </c>
      <c r="J259" s="2">
        <v>10</v>
      </c>
      <c r="K259" s="2">
        <v>10.01</v>
      </c>
      <c r="L259" s="2"/>
      <c r="M259" s="2">
        <v>0.01</v>
      </c>
      <c r="O259" s="1">
        <v>315544</v>
      </c>
      <c r="P259" s="1">
        <v>6515840</v>
      </c>
      <c r="R259" s="1">
        <v>24406</v>
      </c>
      <c r="S259" s="1">
        <v>11980</v>
      </c>
      <c r="T259" s="1">
        <f>O259/R259</f>
        <v>12.928951897074489</v>
      </c>
      <c r="U259" s="1">
        <f>P259/R259</f>
        <v>266.97697287552239</v>
      </c>
      <c r="V259" s="1">
        <f>ROUND(O259/P259*100,2)</f>
        <v>4.84</v>
      </c>
      <c r="W259" s="27">
        <f>V259-E259</f>
        <v>0</v>
      </c>
    </row>
    <row r="260" spans="1:23">
      <c r="A260" s="1">
        <v>2023</v>
      </c>
      <c r="B260" s="1" t="s">
        <v>67</v>
      </c>
      <c r="C260" s="1" t="s">
        <v>68</v>
      </c>
      <c r="D260" s="2">
        <v>5.18</v>
      </c>
      <c r="E260" s="2">
        <v>5.15</v>
      </c>
      <c r="F260" s="2">
        <v>0.01</v>
      </c>
      <c r="G260" s="2">
        <v>0.01</v>
      </c>
      <c r="H260" s="2">
        <v>4.6399999999999997</v>
      </c>
      <c r="I260" s="2">
        <v>9.82</v>
      </c>
      <c r="J260" s="2">
        <v>9.8000000000000007</v>
      </c>
      <c r="K260" s="2">
        <v>9.81</v>
      </c>
      <c r="L260" s="2"/>
      <c r="M260" s="2">
        <v>0.01</v>
      </c>
      <c r="O260" s="1">
        <v>65231</v>
      </c>
      <c r="P260" s="1">
        <v>1266416</v>
      </c>
      <c r="R260" s="1">
        <v>4981</v>
      </c>
      <c r="S260" s="1">
        <v>2550</v>
      </c>
      <c r="T260" s="1">
        <f>O260/R260</f>
        <v>13.095964665729774</v>
      </c>
      <c r="U260" s="1">
        <f>P260/R260</f>
        <v>254.2493475205782</v>
      </c>
      <c r="V260" s="1">
        <f>ROUND(O260/P260*100,2)</f>
        <v>5.15</v>
      </c>
      <c r="W260" s="27">
        <f>V260-E260</f>
        <v>0</v>
      </c>
    </row>
    <row r="261" spans="1:23">
      <c r="A261" s="1">
        <v>2023</v>
      </c>
      <c r="B261" s="1" t="s">
        <v>69</v>
      </c>
      <c r="C261" s="1" t="s">
        <v>70</v>
      </c>
      <c r="D261" s="2">
        <v>5.14</v>
      </c>
      <c r="E261" s="2">
        <v>5.22</v>
      </c>
      <c r="F261" s="2">
        <v>7.0000000000000007E-2</v>
      </c>
      <c r="G261" s="2">
        <v>-0.15</v>
      </c>
      <c r="H261" s="2">
        <v>4.6399999999999997</v>
      </c>
      <c r="I261" s="2">
        <v>9.7799999999999994</v>
      </c>
      <c r="J261" s="2">
        <v>9.7200000000000006</v>
      </c>
      <c r="K261" s="2">
        <v>9.73</v>
      </c>
      <c r="L261" s="2"/>
      <c r="M261" s="2">
        <v>0.01</v>
      </c>
      <c r="O261" s="1">
        <v>44716</v>
      </c>
      <c r="P261" s="1">
        <v>856501</v>
      </c>
      <c r="R261" s="1">
        <v>3470</v>
      </c>
      <c r="S261" s="1">
        <v>1723</v>
      </c>
      <c r="T261" s="1">
        <f>O261/R261</f>
        <v>12.886455331412103</v>
      </c>
      <c r="U261" s="1">
        <f>P261/R261</f>
        <v>246.83025936599424</v>
      </c>
      <c r="V261" s="1">
        <f>ROUND(O261/P261*100,2)</f>
        <v>5.22</v>
      </c>
      <c r="W261" s="27">
        <f>V261-E261</f>
        <v>0</v>
      </c>
    </row>
    <row r="262" spans="1:23">
      <c r="A262" s="1">
        <v>2023</v>
      </c>
      <c r="B262" s="1" t="s">
        <v>71</v>
      </c>
      <c r="C262" s="1" t="s">
        <v>72</v>
      </c>
      <c r="D262" s="2">
        <v>5.43</v>
      </c>
      <c r="E262" s="2">
        <v>5.36</v>
      </c>
      <c r="F262" s="2">
        <v>0.06</v>
      </c>
      <c r="G262" s="2">
        <v>0.01</v>
      </c>
      <c r="H262" s="2">
        <v>4.6399999999999997</v>
      </c>
      <c r="I262" s="2">
        <v>10.07</v>
      </c>
      <c r="J262" s="2">
        <v>10.09</v>
      </c>
      <c r="K262" s="2">
        <v>10.09</v>
      </c>
      <c r="L262" s="2"/>
      <c r="M262" s="2">
        <v>-7.0000000000000001E-3</v>
      </c>
      <c r="O262" s="1">
        <v>117224</v>
      </c>
      <c r="P262" s="1">
        <v>2187310</v>
      </c>
      <c r="R262" s="1">
        <v>8608</v>
      </c>
      <c r="S262" s="1">
        <v>4348</v>
      </c>
      <c r="T262" s="1">
        <f>O262/R262</f>
        <v>13.618029739776953</v>
      </c>
      <c r="U262" s="1">
        <f>P262/R262</f>
        <v>254.10199814126395</v>
      </c>
      <c r="V262" s="1">
        <f>ROUND(O262/P262*100,2)</f>
        <v>5.36</v>
      </c>
      <c r="W262" s="27">
        <f>V262-E262</f>
        <v>0</v>
      </c>
    </row>
    <row r="263" spans="1:23">
      <c r="A263" s="1">
        <v>2023</v>
      </c>
      <c r="B263" s="1" t="s">
        <v>73</v>
      </c>
      <c r="C263" s="1" t="s">
        <v>74</v>
      </c>
      <c r="D263" s="2">
        <v>5.63</v>
      </c>
      <c r="E263" s="2">
        <v>5.33</v>
      </c>
      <c r="F263" s="2">
        <v>0.17</v>
      </c>
      <c r="G263" s="2">
        <v>0.13</v>
      </c>
      <c r="H263" s="2">
        <v>4.6399999999999997</v>
      </c>
      <c r="I263" s="2">
        <v>10.27</v>
      </c>
      <c r="J263" s="2">
        <v>10.28</v>
      </c>
      <c r="K263" s="2">
        <v>10.29</v>
      </c>
      <c r="L263" s="2"/>
      <c r="M263" s="2">
        <v>0.01</v>
      </c>
      <c r="O263" s="1">
        <v>471510</v>
      </c>
      <c r="P263" s="1">
        <v>8851712</v>
      </c>
      <c r="R263" s="1">
        <v>34056</v>
      </c>
      <c r="S263" s="1">
        <v>16738</v>
      </c>
      <c r="T263" s="1">
        <f>O263/R263</f>
        <v>13.845137420718816</v>
      </c>
      <c r="U263" s="1">
        <f>P263/R263</f>
        <v>259.91637303265207</v>
      </c>
      <c r="V263" s="1">
        <f>ROUND(O263/P263*100,2)</f>
        <v>5.33</v>
      </c>
      <c r="W263" s="27">
        <f>V263-E263</f>
        <v>0</v>
      </c>
    </row>
    <row r="264" spans="1:23">
      <c r="A264" s="1">
        <v>2023</v>
      </c>
      <c r="B264" s="1" t="s">
        <v>75</v>
      </c>
      <c r="C264" s="1" t="s">
        <v>76</v>
      </c>
      <c r="D264" s="2">
        <v>5.54</v>
      </c>
      <c r="E264" s="2">
        <v>5.53</v>
      </c>
      <c r="F264" s="2">
        <v>0.03</v>
      </c>
      <c r="G264" s="2">
        <v>-0.02</v>
      </c>
      <c r="H264" s="2">
        <v>4.6399999999999997</v>
      </c>
      <c r="I264" s="2">
        <v>10.18</v>
      </c>
      <c r="J264" s="2">
        <v>10.16</v>
      </c>
      <c r="K264" s="2">
        <v>10.17</v>
      </c>
      <c r="L264" s="2"/>
      <c r="M264" s="2">
        <v>0.01</v>
      </c>
      <c r="O264" s="1">
        <v>205581</v>
      </c>
      <c r="P264" s="1">
        <v>3716657</v>
      </c>
      <c r="R264" s="1">
        <v>14711</v>
      </c>
      <c r="S264" s="1">
        <v>7525</v>
      </c>
      <c r="T264" s="1">
        <f>O264/R264</f>
        <v>13.974644823601388</v>
      </c>
      <c r="U264" s="1">
        <f>P264/R264</f>
        <v>252.64475562504248</v>
      </c>
      <c r="V264" s="1">
        <f>ROUND(O264/P264*100,2)</f>
        <v>5.53</v>
      </c>
      <c r="W264" s="27">
        <f>V264-E264</f>
        <v>0</v>
      </c>
    </row>
    <row r="265" spans="1:23">
      <c r="A265" s="1">
        <v>2023</v>
      </c>
      <c r="B265" s="1" t="s">
        <v>77</v>
      </c>
      <c r="C265" s="1" t="s">
        <v>78</v>
      </c>
      <c r="D265" s="2">
        <v>5.49</v>
      </c>
      <c r="E265" s="2">
        <v>5.96</v>
      </c>
      <c r="F265" s="2">
        <v>-0.03</v>
      </c>
      <c r="G265" s="2">
        <v>-0.44</v>
      </c>
      <c r="H265" s="2">
        <v>4.6399999999999997</v>
      </c>
      <c r="I265" s="2">
        <v>10.130000000000001</v>
      </c>
      <c r="J265" s="2">
        <v>10.220000000000001</v>
      </c>
      <c r="K265" s="2">
        <v>10.14</v>
      </c>
      <c r="L265" s="2"/>
      <c r="M265" s="2">
        <v>-7.6999999999999999E-2</v>
      </c>
      <c r="O265" s="1">
        <v>43908</v>
      </c>
      <c r="P265" s="1">
        <v>737226</v>
      </c>
      <c r="R265" s="1">
        <v>3142</v>
      </c>
      <c r="S265" s="1">
        <v>1611</v>
      </c>
      <c r="T265" s="1">
        <f>O265/R265</f>
        <v>13.974538510502864</v>
      </c>
      <c r="U265" s="1">
        <f>P265/R265</f>
        <v>234.63590070019097</v>
      </c>
      <c r="V265" s="1">
        <f>ROUND(O265/P265*100,2)</f>
        <v>5.96</v>
      </c>
      <c r="W265" s="27">
        <f>V265-E265</f>
        <v>0</v>
      </c>
    </row>
    <row r="266" spans="1:23">
      <c r="A266" s="1">
        <v>2023</v>
      </c>
      <c r="B266" s="1" t="s">
        <v>79</v>
      </c>
      <c r="C266" s="1" t="s">
        <v>80</v>
      </c>
      <c r="D266" s="2">
        <v>5.4</v>
      </c>
      <c r="E266" s="2">
        <v>5.95</v>
      </c>
      <c r="F266" s="2">
        <v>-0.05</v>
      </c>
      <c r="G266" s="2">
        <v>-0.5</v>
      </c>
      <c r="H266" s="2">
        <v>4.6399999999999997</v>
      </c>
      <c r="I266" s="2">
        <v>10.039999999999999</v>
      </c>
      <c r="J266" s="2">
        <v>9.9499999999999993</v>
      </c>
      <c r="K266" s="2">
        <v>9.94</v>
      </c>
      <c r="L266" s="2"/>
      <c r="M266" s="2">
        <v>-2E-3</v>
      </c>
      <c r="O266" s="1">
        <v>39728</v>
      </c>
      <c r="P266" s="1">
        <v>667772</v>
      </c>
      <c r="R266" s="1">
        <v>2879</v>
      </c>
      <c r="S266" s="1">
        <v>1518</v>
      </c>
      <c r="T266" s="1">
        <f>O266/R266</f>
        <v>13.799235845779785</v>
      </c>
      <c r="U266" s="1">
        <f>P266/R266</f>
        <v>231.94581451893018</v>
      </c>
      <c r="V266" s="1">
        <f>ROUND(O266/P266*100,2)</f>
        <v>5.95</v>
      </c>
      <c r="W266" s="27">
        <f>V266-E266</f>
        <v>0</v>
      </c>
    </row>
    <row r="267" spans="1:23">
      <c r="A267" s="1">
        <v>2023</v>
      </c>
      <c r="B267" s="1" t="s">
        <v>81</v>
      </c>
      <c r="C267" s="1" t="s">
        <v>82</v>
      </c>
      <c r="D267" s="2">
        <v>5.26</v>
      </c>
      <c r="E267" s="2">
        <v>6.09</v>
      </c>
      <c r="F267" s="2">
        <v>-0.16</v>
      </c>
      <c r="G267" s="2">
        <v>-0.67</v>
      </c>
      <c r="H267" s="2">
        <v>4.6399999999999997</v>
      </c>
      <c r="I267" s="2">
        <v>9.9</v>
      </c>
      <c r="J267" s="2">
        <v>9.83</v>
      </c>
      <c r="K267" s="2">
        <v>9.82</v>
      </c>
      <c r="L267" s="2"/>
      <c r="M267" s="2">
        <v>-1.7999999999999999E-2</v>
      </c>
      <c r="O267" s="1">
        <v>27148</v>
      </c>
      <c r="P267" s="1">
        <v>445457</v>
      </c>
      <c r="R267" s="1">
        <v>1975</v>
      </c>
      <c r="S267" s="1">
        <v>1021</v>
      </c>
      <c r="T267" s="1">
        <f>O267/R267</f>
        <v>13.745822784810127</v>
      </c>
      <c r="U267" s="1">
        <f>P267/R267</f>
        <v>225.54784810126583</v>
      </c>
      <c r="V267" s="1">
        <f>ROUND(O267/P267*100,2)</f>
        <v>6.09</v>
      </c>
      <c r="W267" s="27">
        <f>V267-E267</f>
        <v>0</v>
      </c>
    </row>
    <row r="268" spans="1:23">
      <c r="A268" s="1">
        <v>2023</v>
      </c>
      <c r="B268" s="1" t="s">
        <v>83</v>
      </c>
      <c r="C268" s="1" t="s">
        <v>84</v>
      </c>
      <c r="D268" s="2">
        <v>5.54</v>
      </c>
      <c r="E268" s="2">
        <v>6.4</v>
      </c>
      <c r="F268" s="2">
        <v>-0.31</v>
      </c>
      <c r="G268" s="2">
        <v>-0.55000000000000004</v>
      </c>
      <c r="H268" s="2">
        <v>4.6399999999999997</v>
      </c>
      <c r="I268" s="2">
        <v>10.18</v>
      </c>
      <c r="J268" s="2">
        <v>10.25</v>
      </c>
      <c r="K268" s="2">
        <v>10.26</v>
      </c>
      <c r="L268" s="2"/>
      <c r="M268" s="2">
        <v>0.01</v>
      </c>
      <c r="O268" s="1">
        <v>34584</v>
      </c>
      <c r="P268" s="1">
        <v>540378</v>
      </c>
      <c r="R268" s="1">
        <v>2350</v>
      </c>
      <c r="S268" s="1">
        <v>1247</v>
      </c>
      <c r="T268" s="1">
        <f>O268/R268</f>
        <v>14.71659574468085</v>
      </c>
      <c r="U268" s="1">
        <f>P268/R268</f>
        <v>229.94808510638299</v>
      </c>
      <c r="V268" s="1">
        <f>ROUND(O268/P268*100,2)</f>
        <v>6.4</v>
      </c>
      <c r="W268" s="27">
        <f>V268-E268</f>
        <v>0</v>
      </c>
    </row>
    <row r="269" spans="1:23">
      <c r="A269" s="1">
        <v>2023</v>
      </c>
      <c r="B269" s="1" t="s">
        <v>85</v>
      </c>
      <c r="C269" s="1" t="s">
        <v>86</v>
      </c>
      <c r="D269" s="2">
        <v>5.5</v>
      </c>
      <c r="E269" s="2">
        <v>5.61</v>
      </c>
      <c r="F269" s="2">
        <v>7.0000000000000007E-2</v>
      </c>
      <c r="G269" s="2">
        <v>-0.18</v>
      </c>
      <c r="H269" s="2">
        <v>4.6399999999999997</v>
      </c>
      <c r="I269" s="2">
        <v>10.14</v>
      </c>
      <c r="J269" s="2">
        <v>10.06</v>
      </c>
      <c r="K269" s="2">
        <v>10.07</v>
      </c>
      <c r="L269" s="2"/>
      <c r="M269" s="2">
        <v>0.01</v>
      </c>
      <c r="O269" s="1">
        <v>95876</v>
      </c>
      <c r="P269" s="1">
        <v>1709115</v>
      </c>
      <c r="R269" s="1">
        <v>6958</v>
      </c>
      <c r="S269" s="1">
        <v>3452</v>
      </c>
      <c r="T269" s="1">
        <f>O269/R269</f>
        <v>13.779246910031619</v>
      </c>
      <c r="U269" s="1">
        <f>P269/R269</f>
        <v>245.63308421960335</v>
      </c>
      <c r="V269" s="1">
        <f>ROUND(O269/P269*100,2)</f>
        <v>5.61</v>
      </c>
      <c r="W269" s="27">
        <f>V269-E269</f>
        <v>0</v>
      </c>
    </row>
    <row r="270" spans="1:23">
      <c r="A270" s="1">
        <v>2023</v>
      </c>
      <c r="B270" s="1" t="s">
        <v>87</v>
      </c>
      <c r="C270" s="1" t="s">
        <v>88</v>
      </c>
      <c r="D270" s="2">
        <v>5.34</v>
      </c>
      <c r="E270" s="2">
        <v>5.43</v>
      </c>
      <c r="F270" s="2">
        <v>0.04</v>
      </c>
      <c r="G270" s="2">
        <v>-0.14000000000000001</v>
      </c>
      <c r="H270" s="2">
        <v>4.6399999999999997</v>
      </c>
      <c r="I270" s="2">
        <v>9.98</v>
      </c>
      <c r="J270" s="2">
        <v>9.92</v>
      </c>
      <c r="K270" s="2">
        <v>9.92</v>
      </c>
      <c r="L270" s="2"/>
      <c r="M270" s="2">
        <v>0.01</v>
      </c>
      <c r="O270" s="1">
        <v>142058</v>
      </c>
      <c r="P270" s="1">
        <v>2614701</v>
      </c>
      <c r="R270" s="1">
        <v>10575</v>
      </c>
      <c r="S270" s="1">
        <v>5374</v>
      </c>
      <c r="T270" s="1">
        <f>O270/R270</f>
        <v>13.43338061465721</v>
      </c>
      <c r="U270" s="1">
        <f>P270/R270</f>
        <v>247.25304964539006</v>
      </c>
      <c r="V270" s="1">
        <f>ROUND(O270/P270*100,2)</f>
        <v>5.43</v>
      </c>
      <c r="W270" s="27">
        <f>V270-E270</f>
        <v>0</v>
      </c>
    </row>
    <row r="271" spans="1:23">
      <c r="A271" s="1">
        <v>2023</v>
      </c>
      <c r="B271" s="1" t="s">
        <v>89</v>
      </c>
      <c r="C271" s="1" t="s">
        <v>90</v>
      </c>
      <c r="D271" s="2">
        <v>5.44</v>
      </c>
      <c r="E271" s="2">
        <v>5.73</v>
      </c>
      <c r="F271" s="2">
        <v>-0.19</v>
      </c>
      <c r="G271" s="2">
        <v>-0.1</v>
      </c>
      <c r="H271" s="2">
        <v>4.6399999999999997</v>
      </c>
      <c r="I271" s="2">
        <v>10.08</v>
      </c>
      <c r="J271" s="2">
        <v>9.9499999999999993</v>
      </c>
      <c r="K271" s="2">
        <v>9.9600000000000009</v>
      </c>
      <c r="L271" s="2"/>
      <c r="M271" s="2">
        <v>0.01</v>
      </c>
      <c r="O271" s="1">
        <v>58250</v>
      </c>
      <c r="P271" s="1">
        <v>1016043</v>
      </c>
      <c r="R271" s="1">
        <v>4080</v>
      </c>
      <c r="S271" s="1">
        <v>2190</v>
      </c>
      <c r="T271" s="1">
        <f>O271/R271</f>
        <v>14.276960784313726</v>
      </c>
      <c r="U271" s="1">
        <f>P271/R271</f>
        <v>249.03014705882353</v>
      </c>
      <c r="V271" s="1">
        <f>ROUND(O271/P271*100,2)</f>
        <v>5.73</v>
      </c>
      <c r="W271" s="27">
        <f>V271-E271</f>
        <v>0</v>
      </c>
    </row>
    <row r="272" spans="1:23">
      <c r="A272" s="1">
        <v>2023</v>
      </c>
      <c r="B272" s="1" t="s">
        <v>91</v>
      </c>
      <c r="C272" s="1" t="s">
        <v>92</v>
      </c>
      <c r="D272" s="2">
        <v>5.64</v>
      </c>
      <c r="E272" s="2">
        <v>6.11</v>
      </c>
      <c r="F272" s="2">
        <v>-0.12</v>
      </c>
      <c r="G272" s="2">
        <v>-0.35</v>
      </c>
      <c r="H272" s="2">
        <v>4.6399999999999997</v>
      </c>
      <c r="I272" s="2">
        <v>10.28</v>
      </c>
      <c r="J272" s="2">
        <v>10.24</v>
      </c>
      <c r="K272" s="2">
        <v>10.25</v>
      </c>
      <c r="L272" s="2"/>
      <c r="M272" s="2">
        <v>0.01</v>
      </c>
      <c r="O272" s="1">
        <v>37456</v>
      </c>
      <c r="P272" s="1">
        <v>613518</v>
      </c>
      <c r="R272" s="1">
        <v>2576</v>
      </c>
      <c r="S272" s="1">
        <v>1328</v>
      </c>
      <c r="T272" s="1">
        <f>O272/R272</f>
        <v>14.540372670807454</v>
      </c>
      <c r="U272" s="1">
        <f>P272/R272</f>
        <v>238.16692546583852</v>
      </c>
      <c r="V272" s="1">
        <f>ROUND(O272/P272*100,2)</f>
        <v>6.11</v>
      </c>
      <c r="W272" s="27">
        <f>V272-E272</f>
        <v>0</v>
      </c>
    </row>
    <row r="273" spans="1:23">
      <c r="A273" s="1">
        <v>2023</v>
      </c>
      <c r="B273" s="1" t="s">
        <v>93</v>
      </c>
      <c r="C273" s="1" t="s">
        <v>94</v>
      </c>
      <c r="D273" s="2">
        <v>5.65</v>
      </c>
      <c r="E273" s="2">
        <v>6.05</v>
      </c>
      <c r="F273" s="2">
        <v>-7.0000000000000007E-2</v>
      </c>
      <c r="G273" s="2">
        <v>-0.33</v>
      </c>
      <c r="H273" s="2">
        <v>4.6399999999999997</v>
      </c>
      <c r="I273" s="2">
        <v>10.3</v>
      </c>
      <c r="J273" s="2">
        <v>10.26</v>
      </c>
      <c r="K273" s="2">
        <v>10.23</v>
      </c>
      <c r="L273" s="2"/>
      <c r="M273" s="2">
        <v>-2.1000000000000001E-2</v>
      </c>
      <c r="O273" s="1">
        <v>53089</v>
      </c>
      <c r="P273" s="1">
        <v>877446</v>
      </c>
      <c r="R273" s="1">
        <v>3672</v>
      </c>
      <c r="S273" s="1">
        <v>1881</v>
      </c>
      <c r="T273" s="1">
        <f>O273/R273</f>
        <v>14.457788671023964</v>
      </c>
      <c r="U273" s="1">
        <f>P273/R273</f>
        <v>238.95588235294119</v>
      </c>
      <c r="V273" s="1">
        <f>ROUND(O273/P273*100,2)</f>
        <v>6.05</v>
      </c>
      <c r="W273" s="27">
        <f>V273-E273</f>
        <v>0</v>
      </c>
    </row>
    <row r="274" spans="1:23">
      <c r="A274" s="1">
        <v>2023</v>
      </c>
      <c r="B274" s="1" t="s">
        <v>95</v>
      </c>
      <c r="C274" s="1" t="s">
        <v>96</v>
      </c>
      <c r="D274" s="2">
        <v>5.44</v>
      </c>
      <c r="E274" s="2">
        <v>5.87</v>
      </c>
      <c r="F274" s="2">
        <v>0.02</v>
      </c>
      <c r="G274" s="2">
        <v>-0.45</v>
      </c>
      <c r="H274" s="2">
        <v>4.6399999999999997</v>
      </c>
      <c r="I274" s="2">
        <v>10.08</v>
      </c>
      <c r="J274" s="2">
        <v>10</v>
      </c>
      <c r="K274" s="2">
        <v>10.01</v>
      </c>
      <c r="L274" s="2"/>
      <c r="M274" s="2">
        <v>0.01</v>
      </c>
      <c r="O274" s="1">
        <v>69455</v>
      </c>
      <c r="P274" s="1">
        <v>1183313</v>
      </c>
      <c r="R274" s="1">
        <v>5058</v>
      </c>
      <c r="S274" s="1">
        <v>2568</v>
      </c>
      <c r="T274" s="1">
        <f>O274/R274</f>
        <v>13.731712139185449</v>
      </c>
      <c r="U274" s="1">
        <f>P274/R274</f>
        <v>233.94879398971926</v>
      </c>
      <c r="V274" s="1">
        <f>ROUND(O274/P274*100,2)</f>
        <v>5.87</v>
      </c>
      <c r="W274" s="27">
        <f>V274-E274</f>
        <v>0</v>
      </c>
    </row>
    <row r="275" spans="1:23">
      <c r="A275" s="1">
        <v>2023</v>
      </c>
      <c r="B275" s="1" t="s">
        <v>97</v>
      </c>
      <c r="C275" s="1" t="s">
        <v>98</v>
      </c>
      <c r="D275" s="2">
        <v>5.51</v>
      </c>
      <c r="E275" s="2">
        <v>6.05</v>
      </c>
      <c r="F275" s="2">
        <v>-0.16</v>
      </c>
      <c r="G275" s="2">
        <v>-0.38</v>
      </c>
      <c r="H275" s="2">
        <v>4.6399999999999997</v>
      </c>
      <c r="I275" s="2">
        <v>10.15</v>
      </c>
      <c r="J275" s="2">
        <v>10.09</v>
      </c>
      <c r="K275" s="2">
        <v>10.1</v>
      </c>
      <c r="L275" s="2"/>
      <c r="M275" s="2">
        <v>0.01</v>
      </c>
      <c r="O275" s="1">
        <v>34481</v>
      </c>
      <c r="P275" s="1">
        <v>569874</v>
      </c>
      <c r="R275" s="1">
        <v>2406</v>
      </c>
      <c r="S275" s="1">
        <v>1282</v>
      </c>
      <c r="T275" s="1">
        <f>O275/R275</f>
        <v>14.331255195344971</v>
      </c>
      <c r="U275" s="1">
        <f>P275/R275</f>
        <v>236.85536159600997</v>
      </c>
      <c r="V275" s="1">
        <f>ROUND(O275/P275*100,2)</f>
        <v>6.05</v>
      </c>
      <c r="W275" s="27">
        <f>V275-E275</f>
        <v>0</v>
      </c>
    </row>
    <row r="276" spans="1:23">
      <c r="A276" s="1">
        <v>2023</v>
      </c>
      <c r="B276" s="1" t="s">
        <v>99</v>
      </c>
      <c r="C276" s="1" t="s">
        <v>100</v>
      </c>
      <c r="D276" s="2">
        <v>5.67</v>
      </c>
      <c r="E276" s="2">
        <v>5.91</v>
      </c>
      <c r="F276" s="2">
        <v>0.05</v>
      </c>
      <c r="G276" s="2">
        <v>-0.28999999999999998</v>
      </c>
      <c r="H276" s="2">
        <v>4.6399999999999997</v>
      </c>
      <c r="I276" s="2">
        <v>10.31</v>
      </c>
      <c r="J276" s="2">
        <v>10.35</v>
      </c>
      <c r="K276" s="2">
        <v>10.36</v>
      </c>
      <c r="L276" s="2"/>
      <c r="M276" s="2">
        <v>0.01</v>
      </c>
      <c r="O276" s="1">
        <v>263949</v>
      </c>
      <c r="P276" s="1">
        <v>4466561</v>
      </c>
      <c r="R276" s="1">
        <v>18557</v>
      </c>
      <c r="S276" s="1">
        <v>9140</v>
      </c>
      <c r="T276" s="1">
        <f>O276/R276</f>
        <v>14.223689173896643</v>
      </c>
      <c r="U276" s="1">
        <f>P276/R276</f>
        <v>240.69413159454652</v>
      </c>
      <c r="V276" s="1">
        <f>ROUND(O276/P276*100,2)</f>
        <v>5.91</v>
      </c>
      <c r="W276" s="27">
        <f>V276-E276</f>
        <v>0</v>
      </c>
    </row>
    <row r="277" spans="1:23">
      <c r="A277" s="1">
        <v>2023</v>
      </c>
      <c r="B277" s="1" t="s">
        <v>101</v>
      </c>
      <c r="C277" s="1" t="s">
        <v>102</v>
      </c>
      <c r="D277" s="2">
        <v>6.01</v>
      </c>
      <c r="E277" s="2">
        <v>6.92</v>
      </c>
      <c r="F277" s="2">
        <v>-0.2</v>
      </c>
      <c r="G277" s="2">
        <v>-0.71</v>
      </c>
      <c r="H277" s="2">
        <v>4.6399999999999997</v>
      </c>
      <c r="I277" s="2">
        <v>10.65</v>
      </c>
      <c r="J277" s="2">
        <v>10.54</v>
      </c>
      <c r="K277" s="2">
        <v>10.51</v>
      </c>
      <c r="L277" s="2"/>
      <c r="M277" s="2">
        <v>-2.3E-2</v>
      </c>
      <c r="O277" s="1">
        <v>44123</v>
      </c>
      <c r="P277" s="1">
        <v>637723</v>
      </c>
      <c r="R277" s="1">
        <v>2846</v>
      </c>
      <c r="S277" s="1">
        <v>1440</v>
      </c>
      <c r="T277" s="1">
        <f>O277/R277</f>
        <v>15.50351370344343</v>
      </c>
      <c r="U277" s="1">
        <f>P277/R277</f>
        <v>224.0769501054111</v>
      </c>
      <c r="V277" s="1">
        <f>ROUND(O277/P277*100,2)</f>
        <v>6.92</v>
      </c>
      <c r="W277" s="27">
        <f>V277-E277</f>
        <v>0</v>
      </c>
    </row>
    <row r="278" spans="1:23">
      <c r="A278" s="1">
        <v>2023</v>
      </c>
      <c r="B278" s="1" t="s">
        <v>103</v>
      </c>
      <c r="C278" s="1" t="s">
        <v>104</v>
      </c>
      <c r="D278" s="2">
        <v>5.61</v>
      </c>
      <c r="E278" s="2">
        <v>6.6</v>
      </c>
      <c r="F278" s="2">
        <v>-0.23</v>
      </c>
      <c r="G278" s="2">
        <v>-0.77</v>
      </c>
      <c r="H278" s="2">
        <v>4.6399999999999997</v>
      </c>
      <c r="I278" s="2">
        <v>10.25</v>
      </c>
      <c r="J278" s="2">
        <v>10.210000000000001</v>
      </c>
      <c r="K278" s="2">
        <v>10.210000000000001</v>
      </c>
      <c r="L278" s="2"/>
      <c r="M278" s="2">
        <v>2E-3</v>
      </c>
      <c r="O278" s="1">
        <v>64479</v>
      </c>
      <c r="P278" s="1">
        <v>976676</v>
      </c>
      <c r="R278" s="1">
        <v>4401</v>
      </c>
      <c r="S278" s="1">
        <v>2296</v>
      </c>
      <c r="T278" s="1">
        <f>O278/R278</f>
        <v>14.650988411724608</v>
      </c>
      <c r="U278" s="1">
        <f>P278/R278</f>
        <v>221.92138150420359</v>
      </c>
      <c r="V278" s="1">
        <f>ROUND(O278/P278*100,2)</f>
        <v>6.6</v>
      </c>
      <c r="W278" s="27">
        <f>V278-E278</f>
        <v>0</v>
      </c>
    </row>
    <row r="279" spans="1:23">
      <c r="A279" s="1">
        <v>2023</v>
      </c>
      <c r="B279" s="1" t="s">
        <v>105</v>
      </c>
      <c r="C279" s="1" t="s">
        <v>106</v>
      </c>
      <c r="D279" s="2">
        <v>5.69</v>
      </c>
      <c r="E279" s="2">
        <v>6.4</v>
      </c>
      <c r="F279" s="2">
        <v>-0.08</v>
      </c>
      <c r="G279" s="2">
        <v>-0.62</v>
      </c>
      <c r="H279" s="2">
        <v>4.6399999999999997</v>
      </c>
      <c r="I279" s="2">
        <v>10.33</v>
      </c>
      <c r="J279" s="2">
        <v>10.36</v>
      </c>
      <c r="K279" s="2">
        <v>10.32</v>
      </c>
      <c r="L279" s="2"/>
      <c r="M279" s="2">
        <v>-4.7E-2</v>
      </c>
      <c r="O279" s="1">
        <v>90700</v>
      </c>
      <c r="P279" s="1">
        <v>1418173</v>
      </c>
      <c r="R279" s="1">
        <v>6240</v>
      </c>
      <c r="S279" s="1">
        <v>3122</v>
      </c>
      <c r="T279" s="1">
        <f>O279/R279</f>
        <v>14.535256410256411</v>
      </c>
      <c r="U279" s="1">
        <f>P279/R279</f>
        <v>227.27131410256411</v>
      </c>
      <c r="V279" s="1">
        <f>ROUND(O279/P279*100,2)</f>
        <v>6.4</v>
      </c>
      <c r="W279" s="27">
        <f>V279-E279</f>
        <v>0</v>
      </c>
    </row>
    <row r="280" spans="1:23">
      <c r="A280" s="1">
        <v>2023</v>
      </c>
      <c r="B280" s="1" t="s">
        <v>107</v>
      </c>
      <c r="C280" s="1" t="s">
        <v>108</v>
      </c>
      <c r="D280" s="2">
        <v>5.61</v>
      </c>
      <c r="E280" s="2">
        <v>6.43</v>
      </c>
      <c r="F280" s="2">
        <v>-0.22</v>
      </c>
      <c r="G280" s="2">
        <v>-0.6</v>
      </c>
      <c r="H280" s="2">
        <v>4.6399999999999997</v>
      </c>
      <c r="I280" s="2">
        <v>10.25</v>
      </c>
      <c r="J280" s="2">
        <v>10.220000000000001</v>
      </c>
      <c r="K280" s="2">
        <v>10.199999999999999</v>
      </c>
      <c r="L280" s="2"/>
      <c r="M280" s="2">
        <v>-1.9E-2</v>
      </c>
      <c r="O280" s="1">
        <v>58609</v>
      </c>
      <c r="P280" s="1">
        <v>911397</v>
      </c>
      <c r="R280" s="1">
        <v>3993</v>
      </c>
      <c r="S280" s="1">
        <v>2089</v>
      </c>
      <c r="T280" s="1">
        <f>O280/R280</f>
        <v>14.677936388680191</v>
      </c>
      <c r="U280" s="1">
        <f>P280/R280</f>
        <v>228.24868519909842</v>
      </c>
      <c r="V280" s="1">
        <f>ROUND(O280/P280*100,2)</f>
        <v>6.43</v>
      </c>
      <c r="W280" s="27">
        <f>V280-E280</f>
        <v>0</v>
      </c>
    </row>
    <row r="281" spans="1:23">
      <c r="A281" s="1">
        <v>2023</v>
      </c>
      <c r="B281" s="1" t="s">
        <v>109</v>
      </c>
      <c r="C281" s="1" t="s">
        <v>110</v>
      </c>
      <c r="D281" s="2">
        <v>5.2</v>
      </c>
      <c r="E281" s="2">
        <v>6.05</v>
      </c>
      <c r="F281" s="2">
        <v>-0.1</v>
      </c>
      <c r="G281" s="2">
        <v>-0.75</v>
      </c>
      <c r="H281" s="2">
        <v>4.6399999999999997</v>
      </c>
      <c r="I281" s="2">
        <v>9.84</v>
      </c>
      <c r="J281" s="2">
        <v>9.76</v>
      </c>
      <c r="K281" s="2">
        <v>9.76</v>
      </c>
      <c r="L281" s="2"/>
      <c r="M281" s="2">
        <v>-3.0000000000000001E-3</v>
      </c>
      <c r="O281" s="1">
        <v>53047</v>
      </c>
      <c r="P281" s="1">
        <v>876540</v>
      </c>
      <c r="R281" s="1">
        <v>3939</v>
      </c>
      <c r="S281" s="1">
        <v>1991</v>
      </c>
      <c r="T281" s="1">
        <f>O281/R281</f>
        <v>13.467123635440467</v>
      </c>
      <c r="U281" s="1">
        <f>P281/R281</f>
        <v>222.52856054836252</v>
      </c>
      <c r="V281" s="1">
        <f>ROUND(O281/P281*100,2)</f>
        <v>6.05</v>
      </c>
      <c r="W281" s="27">
        <f>V281-E281</f>
        <v>0</v>
      </c>
    </row>
    <row r="282" spans="1:23">
      <c r="A282" s="1">
        <v>2023</v>
      </c>
      <c r="B282" s="1" t="s">
        <v>111</v>
      </c>
      <c r="C282" s="1" t="s">
        <v>112</v>
      </c>
      <c r="D282" s="2">
        <v>5.66</v>
      </c>
      <c r="E282" s="2">
        <v>6.59</v>
      </c>
      <c r="F282" s="2">
        <v>-0.06</v>
      </c>
      <c r="G282" s="2">
        <v>-0.88</v>
      </c>
      <c r="H282" s="2">
        <v>4.6399999999999997</v>
      </c>
      <c r="I282" s="2">
        <v>10.3</v>
      </c>
      <c r="J282" s="2">
        <v>10.32</v>
      </c>
      <c r="K282" s="2">
        <v>10.26</v>
      </c>
      <c r="L282" s="2"/>
      <c r="M282" s="2">
        <v>-5.6000000000000001E-2</v>
      </c>
      <c r="O282" s="1">
        <v>86609</v>
      </c>
      <c r="P282" s="1">
        <v>1313787</v>
      </c>
      <c r="R282" s="1">
        <v>6025</v>
      </c>
      <c r="S282" s="1">
        <v>2967</v>
      </c>
      <c r="T282" s="1">
        <f>O282/R282</f>
        <v>14.374937759336099</v>
      </c>
      <c r="U282" s="1">
        <f>P282/R282</f>
        <v>218.05593360995852</v>
      </c>
      <c r="V282" s="1">
        <f>ROUND(O282/P282*100,2)</f>
        <v>6.59</v>
      </c>
      <c r="W282" s="27">
        <f>V282-E282</f>
        <v>0</v>
      </c>
    </row>
    <row r="283" spans="1:23">
      <c r="A283" s="1">
        <v>2023</v>
      </c>
      <c r="B283" s="1" t="s">
        <v>113</v>
      </c>
      <c r="C283" s="1" t="s">
        <v>114</v>
      </c>
      <c r="D283" s="2">
        <v>5.3</v>
      </c>
      <c r="E283" s="2">
        <v>6.64</v>
      </c>
      <c r="F283" s="2">
        <v>0.25</v>
      </c>
      <c r="G283" s="2">
        <v>-1.59</v>
      </c>
      <c r="H283" s="2">
        <v>4.6399999999999997</v>
      </c>
      <c r="I283" s="2">
        <v>9.94</v>
      </c>
      <c r="J283" s="2">
        <v>9.9</v>
      </c>
      <c r="K283" s="2">
        <v>9.89</v>
      </c>
      <c r="L283" s="2"/>
      <c r="M283" s="2">
        <v>-1.0999999999999999E-2</v>
      </c>
      <c r="O283" s="1">
        <v>75141</v>
      </c>
      <c r="P283" s="1">
        <v>1132470</v>
      </c>
      <c r="R283" s="1">
        <v>5784</v>
      </c>
      <c r="S283" s="1">
        <v>2602</v>
      </c>
      <c r="T283" s="1">
        <f>O283/R283</f>
        <v>12.991182572614107</v>
      </c>
      <c r="U283" s="1">
        <f>P283/R283</f>
        <v>195.7935684647303</v>
      </c>
      <c r="V283" s="1">
        <f>ROUND(O283/P283*100,2)</f>
        <v>6.64</v>
      </c>
      <c r="W283" s="27">
        <f>V283-E283</f>
        <v>0</v>
      </c>
    </row>
    <row r="284" spans="1:23">
      <c r="A284" s="1">
        <v>2024</v>
      </c>
      <c r="B284" s="1" t="s">
        <v>21</v>
      </c>
      <c r="C284" s="1" t="s">
        <v>22</v>
      </c>
      <c r="D284" s="2">
        <v>5.7</v>
      </c>
      <c r="E284" s="2">
        <v>6.26</v>
      </c>
      <c r="F284" s="2">
        <v>-0.31</v>
      </c>
      <c r="G284" s="2">
        <v>-0.25</v>
      </c>
      <c r="H284" s="2">
        <v>4.5999999999999996</v>
      </c>
      <c r="I284" s="2">
        <v>10.3</v>
      </c>
      <c r="J284" s="2">
        <v>10.199999999999999</v>
      </c>
      <c r="K284" s="2">
        <v>10.210000000000001</v>
      </c>
      <c r="L284" s="2"/>
      <c r="M284" s="2">
        <v>0.01</v>
      </c>
      <c r="O284" s="1">
        <v>264810</v>
      </c>
      <c r="P284" s="1">
        <v>4227914</v>
      </c>
      <c r="R284" s="1">
        <v>16986</v>
      </c>
      <c r="S284" s="1">
        <v>9526</v>
      </c>
      <c r="T284" s="1">
        <f>O284/R284</f>
        <v>15.589897562698694</v>
      </c>
      <c r="U284" s="1">
        <f>P284/R284</f>
        <v>248.90580478040741</v>
      </c>
      <c r="V284" s="1">
        <f>ROUND(O284/P284*100,2)</f>
        <v>6.26</v>
      </c>
      <c r="W284" s="27">
        <f>V284-E284</f>
        <v>0</v>
      </c>
    </row>
    <row r="285" spans="1:23">
      <c r="A285" s="1">
        <v>2024</v>
      </c>
      <c r="B285" s="1" t="s">
        <v>23</v>
      </c>
      <c r="C285" s="1" t="s">
        <v>119</v>
      </c>
      <c r="D285" s="2">
        <v>5.13</v>
      </c>
      <c r="E285" s="2">
        <v>6.26</v>
      </c>
      <c r="F285" s="2">
        <v>-0.32</v>
      </c>
      <c r="G285" s="2">
        <v>-0.81</v>
      </c>
      <c r="H285" s="2">
        <v>4.5999999999999996</v>
      </c>
      <c r="I285" s="2">
        <v>9.73</v>
      </c>
      <c r="J285" s="2">
        <v>9.48</v>
      </c>
      <c r="K285" s="2">
        <v>9.49</v>
      </c>
      <c r="L285" s="2"/>
      <c r="M285" s="2">
        <v>0.01</v>
      </c>
      <c r="O285" s="1">
        <v>59661</v>
      </c>
      <c r="P285" s="1">
        <v>952661</v>
      </c>
      <c r="R285" s="1">
        <v>4210</v>
      </c>
      <c r="S285" s="1">
        <v>2369</v>
      </c>
      <c r="T285" s="1">
        <f>O285/R285</f>
        <v>14.17125890736342</v>
      </c>
      <c r="U285" s="1">
        <f>P285/R285</f>
        <v>226.28527315914491</v>
      </c>
      <c r="V285" s="1">
        <f>ROUND(O285/P285*100,2)</f>
        <v>6.26</v>
      </c>
      <c r="W285" s="27">
        <f>V285-E285</f>
        <v>0</v>
      </c>
    </row>
    <row r="286" spans="1:23">
      <c r="A286" s="1">
        <v>2024</v>
      </c>
      <c r="B286" s="1" t="s">
        <v>25</v>
      </c>
      <c r="C286" s="1" t="s">
        <v>26</v>
      </c>
      <c r="D286" s="2">
        <v>5.12</v>
      </c>
      <c r="E286" s="2">
        <v>6.04</v>
      </c>
      <c r="F286" s="2">
        <v>-0.32</v>
      </c>
      <c r="G286" s="2">
        <v>-0.6</v>
      </c>
      <c r="H286" s="2">
        <v>4.5999999999999996</v>
      </c>
      <c r="I286" s="2">
        <v>9.7200000000000006</v>
      </c>
      <c r="J286" s="2">
        <v>9.6199999999999992</v>
      </c>
      <c r="K286" s="2">
        <v>9.6300000000000008</v>
      </c>
      <c r="L286" s="2"/>
      <c r="M286" s="2">
        <v>0.01</v>
      </c>
      <c r="O286" s="1">
        <v>54389</v>
      </c>
      <c r="P286" s="1">
        <v>899989</v>
      </c>
      <c r="R286" s="1">
        <v>3841</v>
      </c>
      <c r="S286" s="1">
        <v>2128</v>
      </c>
      <c r="T286" s="1">
        <f>O286/R286</f>
        <v>14.160114553501693</v>
      </c>
      <c r="U286" s="1">
        <f>P286/R286</f>
        <v>234.31111689664149</v>
      </c>
      <c r="V286" s="1">
        <f>ROUND(O286/P286*100,2)</f>
        <v>6.04</v>
      </c>
      <c r="W286" s="27">
        <f>V286-E286</f>
        <v>0</v>
      </c>
    </row>
    <row r="287" spans="1:23">
      <c r="A287" s="1">
        <v>2024</v>
      </c>
      <c r="B287" s="1" t="s">
        <v>27</v>
      </c>
      <c r="C287" s="1" t="s">
        <v>28</v>
      </c>
      <c r="D287" s="2">
        <v>5.46</v>
      </c>
      <c r="E287" s="2">
        <v>5.98</v>
      </c>
      <c r="F287" s="2">
        <v>-0.17</v>
      </c>
      <c r="G287" s="2">
        <v>-0.34</v>
      </c>
      <c r="H287" s="2">
        <v>4.5999999999999996</v>
      </c>
      <c r="I287" s="2">
        <v>10.07</v>
      </c>
      <c r="J287" s="2">
        <v>10</v>
      </c>
      <c r="K287" s="2">
        <v>10.01</v>
      </c>
      <c r="L287" s="2"/>
      <c r="M287" s="2">
        <v>0.01</v>
      </c>
      <c r="O287" s="1">
        <v>103900</v>
      </c>
      <c r="P287" s="1">
        <v>1737952</v>
      </c>
      <c r="R287" s="1">
        <v>7097</v>
      </c>
      <c r="S287" s="1">
        <v>3792</v>
      </c>
      <c r="T287" s="1">
        <f>O287/R287</f>
        <v>14.639988727631394</v>
      </c>
      <c r="U287" s="1">
        <f>P287/R287</f>
        <v>244.88544455403692</v>
      </c>
      <c r="V287" s="1">
        <f>ROUND(O287/P287*100,2)</f>
        <v>5.98</v>
      </c>
      <c r="W287" s="27">
        <f>V287-E287</f>
        <v>0</v>
      </c>
    </row>
    <row r="288" spans="1:23">
      <c r="A288" s="1">
        <v>2024</v>
      </c>
      <c r="B288" s="1" t="s">
        <v>29</v>
      </c>
      <c r="C288" s="1" t="s">
        <v>30</v>
      </c>
      <c r="D288" s="2">
        <v>5.46</v>
      </c>
      <c r="E288" s="2">
        <v>6.83</v>
      </c>
      <c r="F288" s="2">
        <v>-0.62</v>
      </c>
      <c r="G288" s="2">
        <v>-0.75</v>
      </c>
      <c r="H288" s="2">
        <v>4.5999999999999996</v>
      </c>
      <c r="I288" s="2">
        <v>10.06</v>
      </c>
      <c r="J288" s="2">
        <v>9.85</v>
      </c>
      <c r="K288" s="2">
        <v>9.85</v>
      </c>
      <c r="L288" s="2"/>
      <c r="M288" s="2">
        <v>-5.0000000000000001E-3</v>
      </c>
      <c r="O288" s="1">
        <v>47407</v>
      </c>
      <c r="P288" s="1">
        <v>694027</v>
      </c>
      <c r="R288" s="1">
        <v>3035</v>
      </c>
      <c r="S288" s="1">
        <v>1783</v>
      </c>
      <c r="T288" s="1">
        <f>O288/R288</f>
        <v>15.62009884678748</v>
      </c>
      <c r="U288" s="1">
        <f>P288/R288</f>
        <v>228.67446457990116</v>
      </c>
      <c r="V288" s="1">
        <f>ROUND(O288/P288*100,2)</f>
        <v>6.83</v>
      </c>
      <c r="W288" s="27">
        <f>V288-E288</f>
        <v>0</v>
      </c>
    </row>
    <row r="289" spans="1:23">
      <c r="A289" s="1">
        <v>2024</v>
      </c>
      <c r="B289" s="1" t="s">
        <v>31</v>
      </c>
      <c r="C289" s="1" t="s">
        <v>32</v>
      </c>
      <c r="D289" s="2">
        <v>5.41</v>
      </c>
      <c r="E289" s="2">
        <v>6.2</v>
      </c>
      <c r="F289" s="2">
        <v>-0.28999999999999998</v>
      </c>
      <c r="G289" s="2">
        <v>-0.49</v>
      </c>
      <c r="H289" s="2">
        <v>4.5999999999999996</v>
      </c>
      <c r="I289" s="2">
        <v>10.01</v>
      </c>
      <c r="J289" s="2">
        <v>9.99</v>
      </c>
      <c r="K289" s="2">
        <v>9.84</v>
      </c>
      <c r="L289" s="2"/>
      <c r="M289" s="2">
        <v>-0.152</v>
      </c>
      <c r="O289" s="1">
        <v>55000</v>
      </c>
      <c r="P289" s="1">
        <v>887512</v>
      </c>
      <c r="R289" s="1">
        <v>3719</v>
      </c>
      <c r="S289" s="1">
        <v>2027</v>
      </c>
      <c r="T289" s="1">
        <f>O289/R289</f>
        <v>14.788921753159451</v>
      </c>
      <c r="U289" s="1">
        <f>P289/R289</f>
        <v>238.64264587254638</v>
      </c>
      <c r="V289" s="1">
        <f>ROUND(O289/P289*100,2)</f>
        <v>6.2</v>
      </c>
      <c r="W289" s="27">
        <f>V289-E289</f>
        <v>0</v>
      </c>
    </row>
    <row r="290" spans="1:23">
      <c r="A290" s="1">
        <v>2024</v>
      </c>
      <c r="B290" s="1" t="s">
        <v>33</v>
      </c>
      <c r="C290" s="1" t="s">
        <v>34</v>
      </c>
      <c r="D290" s="2">
        <v>5.0199999999999996</v>
      </c>
      <c r="E290" s="2">
        <v>5.49</v>
      </c>
      <c r="F290" s="2">
        <v>-0.19</v>
      </c>
      <c r="G290" s="2">
        <v>-0.28000000000000003</v>
      </c>
      <c r="H290" s="2">
        <v>4.5999999999999996</v>
      </c>
      <c r="I290" s="2">
        <v>9.6199999999999992</v>
      </c>
      <c r="J290" s="2">
        <v>9.58</v>
      </c>
      <c r="K290" s="2">
        <v>9.59</v>
      </c>
      <c r="L290" s="2"/>
      <c r="M290" s="2">
        <v>0.01</v>
      </c>
      <c r="O290" s="1">
        <v>86140</v>
      </c>
      <c r="P290" s="1">
        <v>1567957</v>
      </c>
      <c r="R290" s="1">
        <v>6340</v>
      </c>
      <c r="S290" s="1">
        <v>3367</v>
      </c>
      <c r="T290" s="1">
        <f>O290/R290</f>
        <v>13.586750788643533</v>
      </c>
      <c r="U290" s="1">
        <f>P290/R290</f>
        <v>247.31182965299683</v>
      </c>
      <c r="V290" s="1">
        <f>ROUND(O290/P290*100,2)</f>
        <v>5.49</v>
      </c>
      <c r="W290" s="27">
        <f>V290-E290</f>
        <v>0</v>
      </c>
    </row>
    <row r="291" spans="1:23">
      <c r="A291" s="1">
        <v>2024</v>
      </c>
      <c r="B291" s="1" t="s">
        <v>35</v>
      </c>
      <c r="C291" s="1" t="s">
        <v>36</v>
      </c>
      <c r="D291" s="2">
        <v>5.1100000000000003</v>
      </c>
      <c r="E291" s="2">
        <v>5.13</v>
      </c>
      <c r="F291" s="2">
        <v>-0.04</v>
      </c>
      <c r="G291" s="2">
        <v>0.03</v>
      </c>
      <c r="H291" s="2">
        <v>4.5999999999999996</v>
      </c>
      <c r="I291" s="2">
        <v>9.7100000000000009</v>
      </c>
      <c r="J291" s="2">
        <v>9.65</v>
      </c>
      <c r="K291" s="2">
        <v>9.66</v>
      </c>
      <c r="L291" s="2"/>
      <c r="M291" s="2">
        <v>0.01</v>
      </c>
      <c r="O291" s="1">
        <v>94602</v>
      </c>
      <c r="P291" s="1">
        <v>1843584</v>
      </c>
      <c r="R291" s="1">
        <v>7048</v>
      </c>
      <c r="S291" s="1">
        <v>3706</v>
      </c>
      <c r="T291" s="1">
        <f>O291/R291</f>
        <v>13.422531214528945</v>
      </c>
      <c r="U291" s="1">
        <f>P291/R291</f>
        <v>261.5754824063564</v>
      </c>
      <c r="V291" s="1">
        <f>ROUND(O291/P291*100,2)</f>
        <v>5.13</v>
      </c>
      <c r="W291" s="27">
        <f>V291-E291</f>
        <v>0</v>
      </c>
    </row>
    <row r="292" spans="1:23">
      <c r="A292" s="1">
        <v>2024</v>
      </c>
      <c r="B292" s="1" t="s">
        <v>37</v>
      </c>
      <c r="C292" s="1" t="s">
        <v>38</v>
      </c>
      <c r="D292" s="2">
        <v>5.27</v>
      </c>
      <c r="E292" s="2">
        <v>5.4</v>
      </c>
      <c r="F292" s="2">
        <v>-7.0000000000000007E-2</v>
      </c>
      <c r="G292" s="2">
        <v>-0.06</v>
      </c>
      <c r="H292" s="2">
        <v>4.5999999999999996</v>
      </c>
      <c r="I292" s="2">
        <v>9.8699999999999992</v>
      </c>
      <c r="J292" s="2">
        <v>9.84</v>
      </c>
      <c r="K292" s="2">
        <v>9.7899999999999991</v>
      </c>
      <c r="L292" s="2"/>
      <c r="M292" s="2">
        <v>-4.8000000000000001E-2</v>
      </c>
      <c r="O292" s="1">
        <v>72874</v>
      </c>
      <c r="P292" s="1">
        <v>1349925</v>
      </c>
      <c r="R292" s="1">
        <v>5246</v>
      </c>
      <c r="S292" s="1">
        <v>2770</v>
      </c>
      <c r="T292" s="1">
        <f>O292/R292</f>
        <v>13.89134578726649</v>
      </c>
      <c r="U292" s="1">
        <f>P292/R292</f>
        <v>257.32462828821957</v>
      </c>
      <c r="V292" s="1">
        <f>ROUND(O292/P292*100,2)</f>
        <v>5.4</v>
      </c>
      <c r="W292" s="27">
        <f>V292-E292</f>
        <v>0</v>
      </c>
    </row>
    <row r="293" spans="1:23">
      <c r="A293" s="1">
        <v>2024</v>
      </c>
      <c r="B293" s="1" t="s">
        <v>39</v>
      </c>
      <c r="C293" s="1" t="s">
        <v>40</v>
      </c>
      <c r="D293" s="2">
        <v>5.18</v>
      </c>
      <c r="E293" s="2">
        <v>5.28</v>
      </c>
      <c r="F293" s="2">
        <v>-0.02</v>
      </c>
      <c r="G293" s="2">
        <v>-0.08</v>
      </c>
      <c r="H293" s="2">
        <v>4.5999999999999996</v>
      </c>
      <c r="I293" s="2">
        <v>9.7799999999999994</v>
      </c>
      <c r="J293" s="2">
        <v>9.8000000000000007</v>
      </c>
      <c r="K293" s="2">
        <v>9.81</v>
      </c>
      <c r="L293" s="2"/>
      <c r="M293" s="2">
        <v>0.01</v>
      </c>
      <c r="O293" s="1">
        <v>83505</v>
      </c>
      <c r="P293" s="1">
        <v>1581951</v>
      </c>
      <c r="R293" s="1">
        <v>6164</v>
      </c>
      <c r="S293" s="1">
        <v>3227</v>
      </c>
      <c r="T293" s="1">
        <f>O293/R293</f>
        <v>13.547209604153148</v>
      </c>
      <c r="U293" s="1">
        <f>P293/R293</f>
        <v>256.64357560025957</v>
      </c>
      <c r="V293" s="1">
        <f>ROUND(O293/P293*100,2)</f>
        <v>5.28</v>
      </c>
      <c r="W293" s="27">
        <f>V293-E293</f>
        <v>0</v>
      </c>
    </row>
    <row r="294" spans="1:23">
      <c r="A294" s="1">
        <v>2024</v>
      </c>
      <c r="B294" s="1" t="s">
        <v>41</v>
      </c>
      <c r="C294" s="1" t="s">
        <v>42</v>
      </c>
      <c r="D294" s="2">
        <v>5.16</v>
      </c>
      <c r="E294" s="2">
        <v>5.03</v>
      </c>
      <c r="F294" s="2">
        <v>-0.01</v>
      </c>
      <c r="G294" s="2">
        <v>0.13</v>
      </c>
      <c r="H294" s="2">
        <v>4.5999999999999996</v>
      </c>
      <c r="I294" s="2">
        <v>9.76</v>
      </c>
      <c r="J294" s="2">
        <v>9.77</v>
      </c>
      <c r="K294" s="2">
        <v>9.7799999999999994</v>
      </c>
      <c r="L294" s="2"/>
      <c r="M294" s="2">
        <v>0.01</v>
      </c>
      <c r="O294" s="1">
        <v>188060</v>
      </c>
      <c r="P294" s="1">
        <v>3738565</v>
      </c>
      <c r="R294" s="1">
        <v>14009</v>
      </c>
      <c r="S294" s="1">
        <v>7464</v>
      </c>
      <c r="T294" s="1">
        <f>O294/R294</f>
        <v>13.424227282461274</v>
      </c>
      <c r="U294" s="1">
        <f>P294/R294</f>
        <v>266.8687986294525</v>
      </c>
      <c r="V294" s="1">
        <f>ROUND(O294/P294*100,2)</f>
        <v>5.03</v>
      </c>
      <c r="W294" s="27">
        <f>V294-E294</f>
        <v>0</v>
      </c>
    </row>
    <row r="295" spans="1:23">
      <c r="A295" s="1">
        <v>2024</v>
      </c>
      <c r="B295" s="1" t="s">
        <v>43</v>
      </c>
      <c r="C295" s="1" t="s">
        <v>44</v>
      </c>
      <c r="D295" s="2">
        <v>5.16</v>
      </c>
      <c r="E295" s="2">
        <v>5.12</v>
      </c>
      <c r="F295" s="2">
        <v>-0.08</v>
      </c>
      <c r="G295" s="2">
        <v>0.12</v>
      </c>
      <c r="H295" s="2">
        <v>4.5999999999999996</v>
      </c>
      <c r="I295" s="2">
        <v>9.76</v>
      </c>
      <c r="J295" s="2">
        <v>9.76</v>
      </c>
      <c r="K295" s="2">
        <v>9.77</v>
      </c>
      <c r="L295" s="2"/>
      <c r="M295" s="2">
        <v>0.01</v>
      </c>
      <c r="O295" s="1">
        <v>136480</v>
      </c>
      <c r="P295" s="1">
        <v>2664244</v>
      </c>
      <c r="R295" s="1">
        <v>10001</v>
      </c>
      <c r="S295" s="1">
        <v>5316</v>
      </c>
      <c r="T295" s="1">
        <f>O295/R295</f>
        <v>13.646635336466353</v>
      </c>
      <c r="U295" s="1">
        <f>P295/R295</f>
        <v>266.39776022397763</v>
      </c>
      <c r="V295" s="1">
        <f>ROUND(O295/P295*100,2)</f>
        <v>5.12</v>
      </c>
      <c r="W295" s="27">
        <f>V295-E295</f>
        <v>0</v>
      </c>
    </row>
    <row r="296" spans="1:23">
      <c r="A296" s="1">
        <v>2024</v>
      </c>
      <c r="B296" s="1" t="s">
        <v>45</v>
      </c>
      <c r="C296" s="1" t="s">
        <v>120</v>
      </c>
      <c r="D296" s="2">
        <v>5.3</v>
      </c>
      <c r="E296" s="2">
        <v>4.4800000000000004</v>
      </c>
      <c r="F296" s="2">
        <v>0.16</v>
      </c>
      <c r="G296" s="2">
        <v>0.66</v>
      </c>
      <c r="H296" s="2">
        <v>4.5999999999999996</v>
      </c>
      <c r="I296" s="2">
        <v>9.9</v>
      </c>
      <c r="J296" s="2">
        <v>9.9700000000000006</v>
      </c>
      <c r="K296" s="2">
        <v>9.98</v>
      </c>
      <c r="L296" s="2"/>
      <c r="M296" s="2">
        <v>0.01</v>
      </c>
      <c r="O296" s="1">
        <v>761325</v>
      </c>
      <c r="P296" s="1">
        <v>16979358</v>
      </c>
      <c r="R296" s="1">
        <v>57255</v>
      </c>
      <c r="S296" s="1">
        <v>28732</v>
      </c>
      <c r="T296" s="1">
        <f>O296/R296</f>
        <v>13.29709195703432</v>
      </c>
      <c r="U296" s="1">
        <f>P296/R296</f>
        <v>296.55677233429395</v>
      </c>
      <c r="V296" s="1">
        <f>ROUND(O296/P296*100,2)</f>
        <v>4.4800000000000004</v>
      </c>
      <c r="W296" s="27">
        <f>V296-E296</f>
        <v>0</v>
      </c>
    </row>
    <row r="297" spans="1:23">
      <c r="A297" s="1">
        <v>2024</v>
      </c>
      <c r="B297" s="1" t="s">
        <v>47</v>
      </c>
      <c r="C297" s="1" t="s">
        <v>48</v>
      </c>
      <c r="D297" s="2">
        <v>5.35</v>
      </c>
      <c r="E297" s="2">
        <v>5.0199999999999996</v>
      </c>
      <c r="F297" s="2">
        <v>-0.06</v>
      </c>
      <c r="G297" s="2">
        <v>0.38</v>
      </c>
      <c r="H297" s="2">
        <v>4.5999999999999996</v>
      </c>
      <c r="I297" s="2">
        <v>9.9499999999999993</v>
      </c>
      <c r="J297" s="2">
        <v>10.01</v>
      </c>
      <c r="K297" s="2">
        <v>10.02</v>
      </c>
      <c r="L297" s="2"/>
      <c r="M297" s="2">
        <v>0.01</v>
      </c>
      <c r="O297" s="1">
        <v>230550</v>
      </c>
      <c r="P297" s="1">
        <v>4589964</v>
      </c>
      <c r="R297" s="1">
        <v>16386</v>
      </c>
      <c r="S297" s="1">
        <v>8833</v>
      </c>
      <c r="T297" s="1">
        <f>O297/R297</f>
        <v>14.069937751739289</v>
      </c>
      <c r="U297" s="1">
        <f>P297/R297</f>
        <v>280.11497619919442</v>
      </c>
      <c r="V297" s="1">
        <f>ROUND(O297/P297*100,2)</f>
        <v>5.0199999999999996</v>
      </c>
      <c r="W297" s="27">
        <f>V297-E297</f>
        <v>0</v>
      </c>
    </row>
    <row r="298" spans="1:23">
      <c r="A298" s="1">
        <v>2024</v>
      </c>
      <c r="B298" s="1" t="s">
        <v>49</v>
      </c>
      <c r="C298" s="1" t="s">
        <v>50</v>
      </c>
      <c r="D298" s="2">
        <v>4.8499999999999996</v>
      </c>
      <c r="E298" s="2">
        <v>5.31</v>
      </c>
      <c r="F298" s="2">
        <v>-0.14000000000000001</v>
      </c>
      <c r="G298" s="2">
        <v>-0.31</v>
      </c>
      <c r="H298" s="2">
        <v>4.5999999999999996</v>
      </c>
      <c r="I298" s="2">
        <v>9.4499999999999993</v>
      </c>
      <c r="J298" s="2">
        <v>9.3699999999999992</v>
      </c>
      <c r="K298" s="2">
        <v>9.35</v>
      </c>
      <c r="L298" s="2"/>
      <c r="M298" s="2">
        <v>-0.02</v>
      </c>
      <c r="O298" s="1">
        <v>101185</v>
      </c>
      <c r="P298" s="1">
        <v>1905525</v>
      </c>
      <c r="R298" s="1">
        <v>7743</v>
      </c>
      <c r="S298" s="1">
        <v>4146</v>
      </c>
      <c r="T298" s="1">
        <f>O298/R298</f>
        <v>13.067932325971846</v>
      </c>
      <c r="U298" s="1">
        <f>P298/R298</f>
        <v>246.09647423479271</v>
      </c>
      <c r="V298" s="1">
        <f>ROUND(O298/P298*100,2)</f>
        <v>5.31</v>
      </c>
      <c r="W298" s="27">
        <f>V298-E298</f>
        <v>0</v>
      </c>
    </row>
    <row r="299" spans="1:23">
      <c r="A299" s="1">
        <v>2024</v>
      </c>
      <c r="B299" s="1" t="s">
        <v>51</v>
      </c>
      <c r="C299" s="1" t="s">
        <v>52</v>
      </c>
      <c r="D299" s="2">
        <v>5.03</v>
      </c>
      <c r="E299" s="2">
        <v>4.9800000000000004</v>
      </c>
      <c r="F299" s="2">
        <v>-7.0000000000000007E-2</v>
      </c>
      <c r="G299" s="2">
        <v>0.12</v>
      </c>
      <c r="H299" s="2">
        <v>4.5999999999999996</v>
      </c>
      <c r="I299" s="2">
        <v>9.6300000000000008</v>
      </c>
      <c r="J299" s="2">
        <v>9.6300000000000008</v>
      </c>
      <c r="K299" s="2">
        <v>9.6199999999999992</v>
      </c>
      <c r="L299" s="2"/>
      <c r="M299" s="2">
        <v>-0.01</v>
      </c>
      <c r="O299" s="1">
        <v>52167</v>
      </c>
      <c r="P299" s="1">
        <v>1046674</v>
      </c>
      <c r="R299" s="1">
        <v>3931</v>
      </c>
      <c r="S299" s="1">
        <v>2116</v>
      </c>
      <c r="T299" s="1">
        <f>O299/R299</f>
        <v>13.2706690409565</v>
      </c>
      <c r="U299" s="1">
        <f>P299/R299</f>
        <v>266.26151106588657</v>
      </c>
      <c r="V299" s="1">
        <f>ROUND(O299/P299*100,2)</f>
        <v>4.9800000000000004</v>
      </c>
      <c r="W299" s="27">
        <f>V299-E299</f>
        <v>0</v>
      </c>
    </row>
    <row r="300" spans="1:23">
      <c r="A300" s="1">
        <v>2024</v>
      </c>
      <c r="B300" s="1" t="s">
        <v>53</v>
      </c>
      <c r="C300" s="1" t="s">
        <v>54</v>
      </c>
      <c r="D300" s="2">
        <v>5.34</v>
      </c>
      <c r="E300" s="2">
        <v>5.33</v>
      </c>
      <c r="F300" s="2">
        <v>-0.02</v>
      </c>
      <c r="G300" s="2">
        <v>0.03</v>
      </c>
      <c r="H300" s="2">
        <v>4.5999999999999996</v>
      </c>
      <c r="I300" s="2">
        <v>9.94</v>
      </c>
      <c r="J300" s="2">
        <v>9.93</v>
      </c>
      <c r="K300" s="2">
        <v>9.94</v>
      </c>
      <c r="L300" s="2"/>
      <c r="M300" s="2">
        <v>0.01</v>
      </c>
      <c r="O300" s="1">
        <v>59465</v>
      </c>
      <c r="P300" s="1">
        <v>1115104</v>
      </c>
      <c r="R300" s="1">
        <v>4263</v>
      </c>
      <c r="S300" s="1">
        <v>2221</v>
      </c>
      <c r="T300" s="1">
        <f>O300/R300</f>
        <v>13.949096880131362</v>
      </c>
      <c r="U300" s="1">
        <f>P300/R300</f>
        <v>261.57729298615999</v>
      </c>
      <c r="V300" s="1">
        <f>ROUND(O300/P300*100,2)</f>
        <v>5.33</v>
      </c>
      <c r="W300" s="27">
        <f>V300-E300</f>
        <v>0</v>
      </c>
    </row>
    <row r="301" spans="1:23">
      <c r="A301" s="1">
        <v>2024</v>
      </c>
      <c r="B301" s="1" t="s">
        <v>55</v>
      </c>
      <c r="C301" s="1" t="s">
        <v>56</v>
      </c>
      <c r="D301" s="2">
        <v>5.41</v>
      </c>
      <c r="E301" s="2">
        <v>5.58</v>
      </c>
      <c r="F301" s="2">
        <v>-0.14000000000000001</v>
      </c>
      <c r="G301" s="2">
        <v>-0.03</v>
      </c>
      <c r="H301" s="2">
        <v>4.5999999999999996</v>
      </c>
      <c r="I301" s="2">
        <v>10.01</v>
      </c>
      <c r="J301" s="2">
        <v>10.06</v>
      </c>
      <c r="K301" s="2">
        <v>10.07</v>
      </c>
      <c r="L301" s="2"/>
      <c r="M301" s="2">
        <v>0.01</v>
      </c>
      <c r="O301" s="1">
        <v>40444</v>
      </c>
      <c r="P301" s="1">
        <v>724415</v>
      </c>
      <c r="R301" s="1">
        <v>2800</v>
      </c>
      <c r="S301" s="1">
        <v>1468</v>
      </c>
      <c r="T301" s="1">
        <f>O301/R301</f>
        <v>14.444285714285714</v>
      </c>
      <c r="U301" s="1">
        <f>P301/R301</f>
        <v>258.71964285714284</v>
      </c>
      <c r="V301" s="1">
        <f>ROUND(O301/P301*100,2)</f>
        <v>5.58</v>
      </c>
      <c r="W301" s="27">
        <f>V301-E301</f>
        <v>0</v>
      </c>
    </row>
    <row r="302" spans="1:23">
      <c r="A302" s="1">
        <v>2024</v>
      </c>
      <c r="B302" s="1" t="s">
        <v>57</v>
      </c>
      <c r="C302" s="1" t="s">
        <v>58</v>
      </c>
      <c r="D302" s="2">
        <v>5.25</v>
      </c>
      <c r="E302" s="2">
        <v>5.54</v>
      </c>
      <c r="F302" s="2">
        <v>-0.15</v>
      </c>
      <c r="G302" s="2">
        <v>-0.14000000000000001</v>
      </c>
      <c r="H302" s="2">
        <v>4.5999999999999996</v>
      </c>
      <c r="I302" s="2">
        <v>9.85</v>
      </c>
      <c r="J302" s="2">
        <v>9.93</v>
      </c>
      <c r="K302" s="2">
        <v>9.94</v>
      </c>
      <c r="L302" s="2"/>
      <c r="M302" s="2">
        <v>0.01</v>
      </c>
      <c r="O302" s="1">
        <v>34540</v>
      </c>
      <c r="P302" s="1">
        <v>623933</v>
      </c>
      <c r="R302" s="1">
        <v>2458</v>
      </c>
      <c r="S302" s="1">
        <v>1301</v>
      </c>
      <c r="T302" s="1">
        <f>O302/R302</f>
        <v>14.052074857607812</v>
      </c>
      <c r="U302" s="1">
        <f>P302/R302</f>
        <v>253.83767290480066</v>
      </c>
      <c r="V302" s="1">
        <f>ROUND(O302/P302*100,2)</f>
        <v>5.54</v>
      </c>
      <c r="W302" s="27">
        <f>V302-E302</f>
        <v>0</v>
      </c>
    </row>
    <row r="303" spans="1:23">
      <c r="A303" s="1">
        <v>2024</v>
      </c>
      <c r="B303" s="1" t="s">
        <v>59</v>
      </c>
      <c r="C303" s="1" t="s">
        <v>60</v>
      </c>
      <c r="D303" s="2">
        <v>5.01</v>
      </c>
      <c r="E303" s="2">
        <v>5.27</v>
      </c>
      <c r="F303" s="2">
        <v>-0.08</v>
      </c>
      <c r="G303" s="2">
        <v>-0.17</v>
      </c>
      <c r="H303" s="2">
        <v>4.5999999999999996</v>
      </c>
      <c r="I303" s="2">
        <v>9.61</v>
      </c>
      <c r="J303" s="2">
        <v>9.57</v>
      </c>
      <c r="K303" s="2">
        <v>9.5500000000000007</v>
      </c>
      <c r="L303" s="2"/>
      <c r="M303" s="2">
        <v>-2.8000000000000001E-2</v>
      </c>
      <c r="O303" s="1">
        <v>83868</v>
      </c>
      <c r="P303" s="1">
        <v>1592275</v>
      </c>
      <c r="R303" s="1">
        <v>6313</v>
      </c>
      <c r="S303" s="1">
        <v>3344</v>
      </c>
      <c r="T303" s="1">
        <f>O303/R303</f>
        <v>13.284967527324568</v>
      </c>
      <c r="U303" s="1">
        <f>P303/R303</f>
        <v>252.22160620940915</v>
      </c>
      <c r="V303" s="1">
        <f>ROUND(O303/P303*100,2)</f>
        <v>5.27</v>
      </c>
      <c r="W303" s="27">
        <f>V303-E303</f>
        <v>0</v>
      </c>
    </row>
    <row r="304" spans="1:23">
      <c r="A304" s="1">
        <v>2024</v>
      </c>
      <c r="B304" s="1" t="s">
        <v>61</v>
      </c>
      <c r="C304" s="1" t="s">
        <v>62</v>
      </c>
      <c r="D304" s="2">
        <v>5.3</v>
      </c>
      <c r="E304" s="2">
        <v>5.38</v>
      </c>
      <c r="F304" s="2">
        <v>0</v>
      </c>
      <c r="G304" s="2">
        <v>-0.09</v>
      </c>
      <c r="H304" s="2">
        <v>4.5999999999999996</v>
      </c>
      <c r="I304" s="2">
        <v>9.9</v>
      </c>
      <c r="J304" s="2">
        <v>9.93</v>
      </c>
      <c r="K304" s="2">
        <v>9.91</v>
      </c>
      <c r="L304" s="2"/>
      <c r="M304" s="2">
        <v>-1.6E-2</v>
      </c>
      <c r="O304" s="1">
        <v>101465</v>
      </c>
      <c r="P304" s="1">
        <v>1885222</v>
      </c>
      <c r="R304" s="1">
        <v>7356</v>
      </c>
      <c r="S304" s="1">
        <v>3825</v>
      </c>
      <c r="T304" s="1">
        <f>O304/R304</f>
        <v>13.793501903208265</v>
      </c>
      <c r="U304" s="1">
        <f>P304/R304</f>
        <v>256.28357803153887</v>
      </c>
      <c r="V304" s="1">
        <f>ROUND(O304/P304*100,2)</f>
        <v>5.38</v>
      </c>
      <c r="W304" s="27">
        <f>V304-E304</f>
        <v>0</v>
      </c>
    </row>
    <row r="305" spans="1:23">
      <c r="A305" s="1">
        <v>2024</v>
      </c>
      <c r="B305" s="1" t="s">
        <v>63</v>
      </c>
      <c r="C305" s="1" t="s">
        <v>64</v>
      </c>
      <c r="D305" s="2">
        <v>5.19</v>
      </c>
      <c r="E305" s="2">
        <v>5.13</v>
      </c>
      <c r="F305" s="2">
        <v>-0.04</v>
      </c>
      <c r="G305" s="2">
        <v>0.1</v>
      </c>
      <c r="H305" s="2">
        <v>4.5999999999999996</v>
      </c>
      <c r="I305" s="2">
        <v>9.7899999999999991</v>
      </c>
      <c r="J305" s="2">
        <v>9.84</v>
      </c>
      <c r="K305" s="2">
        <v>9.85</v>
      </c>
      <c r="L305" s="2"/>
      <c r="M305" s="2">
        <v>0.01</v>
      </c>
      <c r="O305" s="1">
        <v>136672</v>
      </c>
      <c r="P305" s="1">
        <v>2662054</v>
      </c>
      <c r="R305" s="1">
        <v>10043</v>
      </c>
      <c r="S305" s="1">
        <v>5275</v>
      </c>
      <c r="T305" s="1">
        <f>O305/R305</f>
        <v>13.608682664542467</v>
      </c>
      <c r="U305" s="1">
        <f>P305/R305</f>
        <v>265.06561784327391</v>
      </c>
      <c r="V305" s="1">
        <f>ROUND(O305/P305*100,2)</f>
        <v>5.13</v>
      </c>
      <c r="W305" s="27">
        <f>V305-E305</f>
        <v>0</v>
      </c>
    </row>
    <row r="306" spans="1:23">
      <c r="A306" s="1">
        <v>2024</v>
      </c>
      <c r="B306" s="1" t="s">
        <v>65</v>
      </c>
      <c r="C306" s="1" t="s">
        <v>66</v>
      </c>
      <c r="D306" s="2">
        <v>5.36</v>
      </c>
      <c r="E306" s="2">
        <v>4.92</v>
      </c>
      <c r="F306" s="2">
        <v>0.19</v>
      </c>
      <c r="G306" s="2">
        <v>0.25</v>
      </c>
      <c r="H306" s="2">
        <v>4.5999999999999996</v>
      </c>
      <c r="I306" s="2">
        <v>9.9600000000000009</v>
      </c>
      <c r="J306" s="2">
        <v>10.01</v>
      </c>
      <c r="K306" s="2">
        <v>10.02</v>
      </c>
      <c r="L306" s="2"/>
      <c r="M306" s="2">
        <v>0.01</v>
      </c>
      <c r="O306" s="1">
        <v>329576</v>
      </c>
      <c r="P306" s="1">
        <v>6698766</v>
      </c>
      <c r="R306" s="1">
        <v>24539</v>
      </c>
      <c r="S306" s="1">
        <v>12179</v>
      </c>
      <c r="T306" s="1">
        <f>O306/R306</f>
        <v>13.430702147601776</v>
      </c>
      <c r="U306" s="1">
        <f>P306/R306</f>
        <v>272.98447369493459</v>
      </c>
      <c r="V306" s="1">
        <f>ROUND(O306/P306*100,2)</f>
        <v>4.92</v>
      </c>
      <c r="W306" s="27">
        <f>V306-E306</f>
        <v>0</v>
      </c>
    </row>
    <row r="307" spans="1:23">
      <c r="A307" s="1">
        <v>2024</v>
      </c>
      <c r="B307" s="1" t="s">
        <v>67</v>
      </c>
      <c r="C307" s="1" t="s">
        <v>68</v>
      </c>
      <c r="D307" s="2">
        <v>5.29</v>
      </c>
      <c r="E307" s="2">
        <v>5.26</v>
      </c>
      <c r="F307" s="2">
        <v>0.02</v>
      </c>
      <c r="G307" s="2">
        <v>0.01</v>
      </c>
      <c r="H307" s="2">
        <v>4.5999999999999996</v>
      </c>
      <c r="I307" s="2">
        <v>9.89</v>
      </c>
      <c r="J307" s="2">
        <v>9.93</v>
      </c>
      <c r="K307" s="2">
        <v>9.94</v>
      </c>
      <c r="L307" s="2"/>
      <c r="M307" s="2">
        <v>0.01</v>
      </c>
      <c r="O307" s="1">
        <v>68133</v>
      </c>
      <c r="P307" s="1">
        <v>1294559</v>
      </c>
      <c r="R307" s="1">
        <v>4960</v>
      </c>
      <c r="S307" s="1">
        <v>2562</v>
      </c>
      <c r="T307" s="1">
        <f>O307/R307</f>
        <v>13.736491935483871</v>
      </c>
      <c r="U307" s="1">
        <f>P307/R307</f>
        <v>260.99979838709675</v>
      </c>
      <c r="V307" s="1">
        <f>ROUND(O307/P307*100,2)</f>
        <v>5.26</v>
      </c>
      <c r="W307" s="27">
        <f>V307-E307</f>
        <v>0</v>
      </c>
    </row>
    <row r="308" spans="1:23">
      <c r="A308" s="1">
        <v>2024</v>
      </c>
      <c r="B308" s="1" t="s">
        <v>69</v>
      </c>
      <c r="C308" s="1" t="s">
        <v>70</v>
      </c>
      <c r="D308" s="2">
        <v>5.26</v>
      </c>
      <c r="E308" s="2">
        <v>5.32</v>
      </c>
      <c r="F308" s="2">
        <v>7.0000000000000007E-2</v>
      </c>
      <c r="G308" s="2">
        <v>-0.14000000000000001</v>
      </c>
      <c r="H308" s="2">
        <v>4.5999999999999996</v>
      </c>
      <c r="I308" s="2">
        <v>9.86</v>
      </c>
      <c r="J308" s="2">
        <v>9.8800000000000008</v>
      </c>
      <c r="K308" s="2">
        <v>9.89</v>
      </c>
      <c r="L308" s="2"/>
      <c r="M308" s="2">
        <v>0.01</v>
      </c>
      <c r="O308" s="1">
        <v>46931</v>
      </c>
      <c r="P308" s="1">
        <v>881793</v>
      </c>
      <c r="R308" s="1">
        <v>3472</v>
      </c>
      <c r="S308" s="1">
        <v>1742</v>
      </c>
      <c r="T308" s="1">
        <f>O308/R308</f>
        <v>13.516993087557603</v>
      </c>
      <c r="U308" s="1">
        <f>P308/R308</f>
        <v>253.97263824884791</v>
      </c>
      <c r="V308" s="1">
        <f>ROUND(O308/P308*100,2)</f>
        <v>5.32</v>
      </c>
      <c r="W308" s="27">
        <f>V308-E308</f>
        <v>0</v>
      </c>
    </row>
    <row r="309" spans="1:23">
      <c r="A309" s="1">
        <v>2024</v>
      </c>
      <c r="B309" s="1" t="s">
        <v>71</v>
      </c>
      <c r="C309" s="1" t="s">
        <v>121</v>
      </c>
      <c r="D309" s="2">
        <v>5.46</v>
      </c>
      <c r="E309" s="2">
        <v>5.36</v>
      </c>
      <c r="F309" s="2">
        <v>0.06</v>
      </c>
      <c r="G309" s="2">
        <v>0.03</v>
      </c>
      <c r="H309" s="2">
        <v>4.5999999999999996</v>
      </c>
      <c r="I309" s="2">
        <v>10.06</v>
      </c>
      <c r="J309" s="2">
        <v>10.119999999999999</v>
      </c>
      <c r="K309" s="2">
        <v>10.130000000000001</v>
      </c>
      <c r="L309" s="2"/>
      <c r="M309" s="2">
        <v>0.01</v>
      </c>
      <c r="O309" s="1">
        <v>120732</v>
      </c>
      <c r="P309" s="1">
        <v>2251207</v>
      </c>
      <c r="R309" s="1">
        <v>8598</v>
      </c>
      <c r="S309" s="1">
        <v>4395</v>
      </c>
      <c r="T309" s="1">
        <f>O309/R309</f>
        <v>14.041870202372644</v>
      </c>
      <c r="U309" s="1">
        <f>P309/R309</f>
        <v>261.82914631309609</v>
      </c>
      <c r="V309" s="1">
        <f>ROUND(O309/P309*100,2)</f>
        <v>5.36</v>
      </c>
      <c r="W309" s="27">
        <f>V309-E309</f>
        <v>0</v>
      </c>
    </row>
    <row r="310" spans="1:23">
      <c r="A310" s="1">
        <v>2024</v>
      </c>
      <c r="B310" s="1" t="s">
        <v>73</v>
      </c>
      <c r="C310" s="1" t="s">
        <v>122</v>
      </c>
      <c r="D310" s="2">
        <v>5.68</v>
      </c>
      <c r="E310" s="2">
        <v>5.39</v>
      </c>
      <c r="F310" s="2">
        <v>0.17</v>
      </c>
      <c r="G310" s="2">
        <v>0.13</v>
      </c>
      <c r="H310" s="2">
        <v>4.5999999999999996</v>
      </c>
      <c r="I310" s="2">
        <v>10.28</v>
      </c>
      <c r="J310" s="2">
        <v>10.33</v>
      </c>
      <c r="K310" s="2">
        <v>10.34</v>
      </c>
      <c r="L310" s="2"/>
      <c r="M310" s="2">
        <v>0.01</v>
      </c>
      <c r="O310" s="1">
        <v>493557</v>
      </c>
      <c r="P310" s="1">
        <v>9163429</v>
      </c>
      <c r="R310" s="1">
        <v>34371</v>
      </c>
      <c r="S310" s="1">
        <v>17063</v>
      </c>
      <c r="T310" s="1">
        <f>O310/R310</f>
        <v>14.359692764248932</v>
      </c>
      <c r="U310" s="1">
        <f>P310/R310</f>
        <v>266.60350295307092</v>
      </c>
      <c r="V310" s="1">
        <f>ROUND(O310/P310*100,2)</f>
        <v>5.39</v>
      </c>
      <c r="W310" s="27">
        <f>V310-E310</f>
        <v>0</v>
      </c>
    </row>
    <row r="311" spans="1:23">
      <c r="A311" s="1">
        <v>2024</v>
      </c>
      <c r="B311" s="1" t="s">
        <v>75</v>
      </c>
      <c r="C311" s="1" t="s">
        <v>76</v>
      </c>
      <c r="D311" s="2">
        <v>5.56</v>
      </c>
      <c r="E311" s="2">
        <v>5.56</v>
      </c>
      <c r="F311" s="2">
        <v>0.02</v>
      </c>
      <c r="G311" s="2">
        <v>-0.03</v>
      </c>
      <c r="H311" s="2">
        <v>4.5999999999999996</v>
      </c>
      <c r="I311" s="2">
        <v>10.16</v>
      </c>
      <c r="J311" s="2">
        <v>10.17</v>
      </c>
      <c r="K311" s="2">
        <v>10.18</v>
      </c>
      <c r="L311" s="2"/>
      <c r="M311" s="2">
        <v>0.01</v>
      </c>
      <c r="O311" s="1">
        <v>211290</v>
      </c>
      <c r="P311" s="1">
        <v>3801063</v>
      </c>
      <c r="R311" s="1">
        <v>14673</v>
      </c>
      <c r="S311" s="1">
        <v>7591</v>
      </c>
      <c r="T311" s="1">
        <f>O311/R311</f>
        <v>14.399918217133511</v>
      </c>
      <c r="U311" s="1">
        <f>P311/R311</f>
        <v>259.05152320588837</v>
      </c>
      <c r="V311" s="1">
        <f>ROUND(O311/P311*100,2)</f>
        <v>5.56</v>
      </c>
      <c r="W311" s="27">
        <f>V311-E311</f>
        <v>0</v>
      </c>
    </row>
    <row r="312" spans="1:23">
      <c r="A312" s="1">
        <v>2024</v>
      </c>
      <c r="B312" s="1" t="s">
        <v>77</v>
      </c>
      <c r="C312" s="1" t="s">
        <v>78</v>
      </c>
      <c r="D312" s="2">
        <v>5.55</v>
      </c>
      <c r="E312" s="2">
        <v>6</v>
      </c>
      <c r="F312" s="2">
        <v>-0.02</v>
      </c>
      <c r="G312" s="2">
        <v>-0.43</v>
      </c>
      <c r="H312" s="2">
        <v>4.5999999999999996</v>
      </c>
      <c r="I312" s="2">
        <v>10.15</v>
      </c>
      <c r="J312" s="2">
        <v>10.24</v>
      </c>
      <c r="K312" s="2">
        <v>10.220000000000001</v>
      </c>
      <c r="L312" s="2"/>
      <c r="M312" s="2">
        <v>-2.3E-2</v>
      </c>
      <c r="O312" s="1">
        <v>45338</v>
      </c>
      <c r="P312" s="1">
        <v>755288</v>
      </c>
      <c r="R312" s="1">
        <v>3133</v>
      </c>
      <c r="S312" s="1">
        <v>1625</v>
      </c>
      <c r="T312" s="1">
        <f>O312/R312</f>
        <v>14.471113948292372</v>
      </c>
      <c r="U312" s="1">
        <f>P312/R312</f>
        <v>241.07500797957229</v>
      </c>
      <c r="V312" s="1">
        <f>ROUND(O312/P312*100,2)</f>
        <v>6</v>
      </c>
      <c r="W312" s="27">
        <f>V312-E312</f>
        <v>0</v>
      </c>
    </row>
    <row r="313" spans="1:23">
      <c r="A313" s="1">
        <v>2024</v>
      </c>
      <c r="B313" s="1" t="s">
        <v>79</v>
      </c>
      <c r="C313" s="1" t="s">
        <v>80</v>
      </c>
      <c r="D313" s="2">
        <v>5.47</v>
      </c>
      <c r="E313" s="2">
        <v>6.03</v>
      </c>
      <c r="F313" s="2">
        <v>-0.06</v>
      </c>
      <c r="G313" s="2">
        <v>-0.5</v>
      </c>
      <c r="H313" s="2">
        <v>4.5999999999999996</v>
      </c>
      <c r="I313" s="2">
        <v>10.07</v>
      </c>
      <c r="J313" s="2">
        <v>9.99</v>
      </c>
      <c r="K313" s="2">
        <v>10</v>
      </c>
      <c r="L313" s="2"/>
      <c r="M313" s="2">
        <v>0.01</v>
      </c>
      <c r="O313" s="1">
        <v>41033</v>
      </c>
      <c r="P313" s="1">
        <v>680197</v>
      </c>
      <c r="R313" s="1">
        <v>2855</v>
      </c>
      <c r="S313" s="1">
        <v>1523</v>
      </c>
      <c r="T313" s="1">
        <f>O313/R313</f>
        <v>14.372329246935202</v>
      </c>
      <c r="U313" s="1">
        <f>P313/R313</f>
        <v>238.2476357267951</v>
      </c>
      <c r="V313" s="1">
        <f>ROUND(O313/P313*100,2)</f>
        <v>6.03</v>
      </c>
      <c r="W313" s="27">
        <f>V313-E313</f>
        <v>0</v>
      </c>
    </row>
    <row r="314" spans="1:23">
      <c r="A314" s="1">
        <v>2024</v>
      </c>
      <c r="B314" s="1" t="s">
        <v>81</v>
      </c>
      <c r="C314" s="1" t="s">
        <v>82</v>
      </c>
      <c r="D314" s="2">
        <v>5.21</v>
      </c>
      <c r="E314" s="2">
        <v>6.04</v>
      </c>
      <c r="F314" s="2">
        <v>-0.16</v>
      </c>
      <c r="G314" s="2">
        <v>-0.67</v>
      </c>
      <c r="H314" s="2">
        <v>4.5999999999999996</v>
      </c>
      <c r="I314" s="2">
        <v>9.81</v>
      </c>
      <c r="J314" s="2">
        <v>9.67</v>
      </c>
      <c r="K314" s="2">
        <v>9.68</v>
      </c>
      <c r="L314" s="2"/>
      <c r="M314" s="2">
        <v>0.01</v>
      </c>
      <c r="O314" s="1">
        <v>27288</v>
      </c>
      <c r="P314" s="1">
        <v>451788</v>
      </c>
      <c r="R314" s="1">
        <v>1950</v>
      </c>
      <c r="S314" s="1">
        <v>1017</v>
      </c>
      <c r="T314" s="1">
        <f>O314/R314</f>
        <v>13.993846153846153</v>
      </c>
      <c r="U314" s="1">
        <f>P314/R314</f>
        <v>231.68615384615384</v>
      </c>
      <c r="V314" s="1">
        <f>ROUND(O314/P314*100,2)</f>
        <v>6.04</v>
      </c>
      <c r="W314" s="27">
        <f>V314-E314</f>
        <v>0</v>
      </c>
    </row>
    <row r="315" spans="1:23">
      <c r="A315" s="1">
        <v>2024</v>
      </c>
      <c r="B315" s="1" t="s">
        <v>83</v>
      </c>
      <c r="C315" s="1" t="s">
        <v>84</v>
      </c>
      <c r="D315" s="2">
        <v>5.53</v>
      </c>
      <c r="E315" s="2">
        <v>6.36</v>
      </c>
      <c r="F315" s="2">
        <v>-0.28999999999999998</v>
      </c>
      <c r="G315" s="2">
        <v>-0.55000000000000004</v>
      </c>
      <c r="H315" s="2">
        <v>4.5999999999999996</v>
      </c>
      <c r="I315" s="2">
        <v>10.130000000000001</v>
      </c>
      <c r="J315" s="2">
        <v>10</v>
      </c>
      <c r="K315" s="2">
        <v>9.92</v>
      </c>
      <c r="L315" s="2"/>
      <c r="M315" s="2">
        <v>-0.08</v>
      </c>
      <c r="O315" s="1">
        <v>34565</v>
      </c>
      <c r="P315" s="1">
        <v>543406</v>
      </c>
      <c r="R315" s="1">
        <v>2300</v>
      </c>
      <c r="S315" s="1">
        <v>1234</v>
      </c>
      <c r="T315" s="1">
        <f>O315/R315</f>
        <v>15.028260869565218</v>
      </c>
      <c r="U315" s="1">
        <f>P315/R315</f>
        <v>236.26347826086956</v>
      </c>
      <c r="V315" s="1">
        <f>ROUND(O315/P315*100,2)</f>
        <v>6.36</v>
      </c>
      <c r="W315" s="27">
        <f>V315-E315</f>
        <v>0</v>
      </c>
    </row>
    <row r="316" spans="1:23">
      <c r="A316" s="1">
        <v>2024</v>
      </c>
      <c r="B316" s="1" t="s">
        <v>85</v>
      </c>
      <c r="C316" s="1" t="s">
        <v>86</v>
      </c>
      <c r="D316" s="2">
        <v>5.52</v>
      </c>
      <c r="E316" s="2">
        <v>5.65</v>
      </c>
      <c r="F316" s="2">
        <v>0.06</v>
      </c>
      <c r="G316" s="2">
        <v>-0.2</v>
      </c>
      <c r="H316" s="2">
        <v>4.5999999999999996</v>
      </c>
      <c r="I316" s="2">
        <v>10.119999999999999</v>
      </c>
      <c r="J316" s="2">
        <v>10.01</v>
      </c>
      <c r="K316" s="2">
        <v>10.02</v>
      </c>
      <c r="L316" s="2"/>
      <c r="M316" s="2">
        <v>0.01</v>
      </c>
      <c r="O316" s="1">
        <v>98736</v>
      </c>
      <c r="P316" s="1">
        <v>1747255</v>
      </c>
      <c r="R316" s="1">
        <v>6954</v>
      </c>
      <c r="S316" s="1">
        <v>3497</v>
      </c>
      <c r="T316" s="1">
        <f>O316/R316</f>
        <v>14.198446937014667</v>
      </c>
      <c r="U316" s="1">
        <f>P316/R316</f>
        <v>251.25898763301697</v>
      </c>
      <c r="V316" s="1">
        <f>ROUND(O316/P316*100,2)</f>
        <v>5.65</v>
      </c>
      <c r="W316" s="27">
        <f>V316-E316</f>
        <v>0</v>
      </c>
    </row>
    <row r="317" spans="1:23">
      <c r="A317" s="1">
        <v>2024</v>
      </c>
      <c r="B317" s="1" t="s">
        <v>87</v>
      </c>
      <c r="C317" s="1" t="s">
        <v>88</v>
      </c>
      <c r="D317" s="2">
        <v>5.4</v>
      </c>
      <c r="E317" s="2">
        <v>5.5</v>
      </c>
      <c r="F317" s="2">
        <v>0.04</v>
      </c>
      <c r="G317" s="2">
        <v>-0.15</v>
      </c>
      <c r="H317" s="2">
        <v>4.5999999999999996</v>
      </c>
      <c r="I317" s="2">
        <v>10</v>
      </c>
      <c r="J317" s="2">
        <v>9.94</v>
      </c>
      <c r="K317" s="2">
        <v>9.9499999999999993</v>
      </c>
      <c r="L317" s="2"/>
      <c r="M317" s="2">
        <v>0.01</v>
      </c>
      <c r="O317" s="1">
        <v>146284</v>
      </c>
      <c r="P317" s="1">
        <v>2658671</v>
      </c>
      <c r="R317" s="1">
        <v>10489</v>
      </c>
      <c r="S317" s="1">
        <v>5389</v>
      </c>
      <c r="T317" s="1">
        <f>O317/R317</f>
        <v>13.946420059109544</v>
      </c>
      <c r="U317" s="1">
        <f>P317/R317</f>
        <v>253.47230431881019</v>
      </c>
      <c r="V317" s="1">
        <f>ROUND(O317/P317*100,2)</f>
        <v>5.5</v>
      </c>
      <c r="W317" s="27">
        <f>V317-E317</f>
        <v>0</v>
      </c>
    </row>
    <row r="318" spans="1:23">
      <c r="A318" s="1">
        <v>2024</v>
      </c>
      <c r="B318" s="1" t="s">
        <v>89</v>
      </c>
      <c r="C318" s="1" t="s">
        <v>90</v>
      </c>
      <c r="D318" s="2">
        <v>5.59</v>
      </c>
      <c r="E318" s="2">
        <v>5.87</v>
      </c>
      <c r="F318" s="2">
        <v>-0.17</v>
      </c>
      <c r="G318" s="2">
        <v>-0.11</v>
      </c>
      <c r="H318" s="2">
        <v>4.5999999999999996</v>
      </c>
      <c r="I318" s="2">
        <v>10.19</v>
      </c>
      <c r="J318" s="2">
        <v>10.19</v>
      </c>
      <c r="K318" s="2">
        <v>10.199999999999999</v>
      </c>
      <c r="L318" s="2"/>
      <c r="M318" s="2">
        <v>0.01</v>
      </c>
      <c r="O318" s="1">
        <v>60572</v>
      </c>
      <c r="P318" s="1">
        <v>1031811</v>
      </c>
      <c r="R318" s="1">
        <v>4040</v>
      </c>
      <c r="S318" s="1">
        <v>2194</v>
      </c>
      <c r="T318" s="1">
        <f>O318/R318</f>
        <v>14.993069306930693</v>
      </c>
      <c r="U318" s="1">
        <f>P318/R318</f>
        <v>255.39876237623761</v>
      </c>
      <c r="V318" s="1">
        <f>ROUND(O318/P318*100,2)</f>
        <v>5.87</v>
      </c>
      <c r="W318" s="27">
        <f>V318-E318</f>
        <v>0</v>
      </c>
    </row>
    <row r="319" spans="1:23">
      <c r="A319" s="1">
        <v>2024</v>
      </c>
      <c r="B319" s="1" t="s">
        <v>91</v>
      </c>
      <c r="C319" s="1" t="s">
        <v>92</v>
      </c>
      <c r="D319" s="2">
        <v>5.69</v>
      </c>
      <c r="E319" s="2">
        <v>6.16</v>
      </c>
      <c r="F319" s="2">
        <v>-0.11</v>
      </c>
      <c r="G319" s="2">
        <v>-0.36</v>
      </c>
      <c r="H319" s="2">
        <v>4.5999999999999996</v>
      </c>
      <c r="I319" s="2">
        <v>10.29</v>
      </c>
      <c r="J319" s="2">
        <v>10.18</v>
      </c>
      <c r="K319" s="2">
        <v>10.19</v>
      </c>
      <c r="L319" s="2"/>
      <c r="M319" s="2">
        <v>0.01</v>
      </c>
      <c r="O319" s="1">
        <v>38545</v>
      </c>
      <c r="P319" s="1">
        <v>625509</v>
      </c>
      <c r="R319" s="1">
        <v>2564</v>
      </c>
      <c r="S319" s="1">
        <v>1341</v>
      </c>
      <c r="T319" s="1">
        <f>O319/R319</f>
        <v>15.033151326053042</v>
      </c>
      <c r="U319" s="1">
        <f>P319/R319</f>
        <v>243.95826833073323</v>
      </c>
      <c r="V319" s="1">
        <f>ROUND(O319/P319*100,2)</f>
        <v>6.16</v>
      </c>
      <c r="W319" s="27">
        <f>V319-E319</f>
        <v>0</v>
      </c>
    </row>
    <row r="320" spans="1:23">
      <c r="A320" s="1">
        <v>2024</v>
      </c>
      <c r="B320" s="1" t="s">
        <v>93</v>
      </c>
      <c r="C320" s="1" t="s">
        <v>94</v>
      </c>
      <c r="D320" s="2">
        <v>5.74</v>
      </c>
      <c r="E320" s="2">
        <v>6.16</v>
      </c>
      <c r="F320" s="2">
        <v>-0.06</v>
      </c>
      <c r="G320" s="2">
        <v>-0.36</v>
      </c>
      <c r="H320" s="2">
        <v>4.5999999999999996</v>
      </c>
      <c r="I320" s="2">
        <v>10.34</v>
      </c>
      <c r="J320" s="2">
        <v>10.32</v>
      </c>
      <c r="K320" s="2">
        <v>10.33</v>
      </c>
      <c r="L320" s="2"/>
      <c r="M320" s="2">
        <v>0.01</v>
      </c>
      <c r="O320" s="1">
        <v>54727</v>
      </c>
      <c r="P320" s="1">
        <v>888405</v>
      </c>
      <c r="R320" s="1">
        <v>3642</v>
      </c>
      <c r="S320" s="1">
        <v>1887</v>
      </c>
      <c r="T320" s="1">
        <f>O320/R320</f>
        <v>15.026633717737507</v>
      </c>
      <c r="U320" s="1">
        <f>P320/R320</f>
        <v>243.93327841845141</v>
      </c>
      <c r="V320" s="1">
        <f>ROUND(O320/P320*100,2)</f>
        <v>6.16</v>
      </c>
      <c r="W320" s="27">
        <f>V320-E320</f>
        <v>0</v>
      </c>
    </row>
    <row r="321" spans="1:23">
      <c r="A321" s="1">
        <v>2024</v>
      </c>
      <c r="B321" s="1" t="s">
        <v>95</v>
      </c>
      <c r="C321" s="1" t="s">
        <v>96</v>
      </c>
      <c r="D321" s="2">
        <v>5.5</v>
      </c>
      <c r="E321" s="2">
        <v>5.97</v>
      </c>
      <c r="F321" s="2">
        <v>0</v>
      </c>
      <c r="G321" s="2">
        <v>-0.47</v>
      </c>
      <c r="H321" s="2">
        <v>4.5999999999999996</v>
      </c>
      <c r="I321" s="2">
        <v>10.1</v>
      </c>
      <c r="J321" s="2">
        <v>10.02</v>
      </c>
      <c r="K321" s="2">
        <v>10.029999999999999</v>
      </c>
      <c r="L321" s="2"/>
      <c r="M321" s="2">
        <v>0.01</v>
      </c>
      <c r="O321" s="1">
        <v>71448</v>
      </c>
      <c r="P321" s="1">
        <v>1197516</v>
      </c>
      <c r="R321" s="1">
        <v>4999</v>
      </c>
      <c r="S321" s="1">
        <v>2576</v>
      </c>
      <c r="T321" s="1">
        <f>O321/R321</f>
        <v>14.292458491698339</v>
      </c>
      <c r="U321" s="1">
        <f>P321/R321</f>
        <v>239.5511102220444</v>
      </c>
      <c r="V321" s="1">
        <f>ROUND(O321/P321*100,2)</f>
        <v>5.97</v>
      </c>
      <c r="W321" s="27">
        <f>V321-E321</f>
        <v>0</v>
      </c>
    </row>
    <row r="322" spans="1:23">
      <c r="A322" s="1">
        <v>2024</v>
      </c>
      <c r="B322" s="1" t="s">
        <v>97</v>
      </c>
      <c r="C322" s="1" t="s">
        <v>98</v>
      </c>
      <c r="D322" s="2">
        <v>5.48</v>
      </c>
      <c r="E322" s="2">
        <v>6.04</v>
      </c>
      <c r="F322" s="2">
        <v>-0.16</v>
      </c>
      <c r="G322" s="2">
        <v>-0.4</v>
      </c>
      <c r="H322" s="2">
        <v>4.5999999999999996</v>
      </c>
      <c r="I322" s="2">
        <v>10.08</v>
      </c>
      <c r="J322" s="2">
        <v>9.8800000000000008</v>
      </c>
      <c r="K322" s="2">
        <v>9.89</v>
      </c>
      <c r="L322" s="2"/>
      <c r="M322" s="2">
        <v>0.01</v>
      </c>
      <c r="O322" s="1">
        <v>34703</v>
      </c>
      <c r="P322" s="1">
        <v>574543</v>
      </c>
      <c r="R322" s="1">
        <v>2370</v>
      </c>
      <c r="S322" s="1">
        <v>1282</v>
      </c>
      <c r="T322" s="1">
        <f>O322/R322</f>
        <v>14.642616033755274</v>
      </c>
      <c r="U322" s="1">
        <f>P322/R322</f>
        <v>242.42320675105486</v>
      </c>
      <c r="V322" s="1">
        <f>ROUND(O322/P322*100,2)</f>
        <v>6.04</v>
      </c>
      <c r="W322" s="27">
        <f>V322-E322</f>
        <v>0</v>
      </c>
    </row>
    <row r="323" spans="1:23">
      <c r="A323" s="1">
        <v>2024</v>
      </c>
      <c r="B323" s="1" t="s">
        <v>99</v>
      </c>
      <c r="C323" s="1" t="s">
        <v>100</v>
      </c>
      <c r="D323" s="2">
        <v>5.73</v>
      </c>
      <c r="E323" s="2">
        <v>5.99</v>
      </c>
      <c r="F323" s="2">
        <v>0.04</v>
      </c>
      <c r="G323" s="2">
        <v>-0.3</v>
      </c>
      <c r="H323" s="2">
        <v>4.5999999999999996</v>
      </c>
      <c r="I323" s="2">
        <v>10.33</v>
      </c>
      <c r="J323" s="2">
        <v>10.39</v>
      </c>
      <c r="K323" s="2">
        <v>10.35</v>
      </c>
      <c r="L323" s="2"/>
      <c r="M323" s="2">
        <v>-4.4999999999999998E-2</v>
      </c>
      <c r="O323" s="1">
        <v>275257</v>
      </c>
      <c r="P323" s="1">
        <v>4598532</v>
      </c>
      <c r="R323" s="1">
        <v>18631</v>
      </c>
      <c r="S323" s="1">
        <v>9291</v>
      </c>
      <c r="T323" s="1">
        <f>O323/R323</f>
        <v>14.774139874402877</v>
      </c>
      <c r="U323" s="1">
        <f>P323/R323</f>
        <v>246.82153400246901</v>
      </c>
      <c r="V323" s="1">
        <f>ROUND(O323/P323*100,2)</f>
        <v>5.99</v>
      </c>
      <c r="W323" s="27">
        <f>V323-E323</f>
        <v>0</v>
      </c>
    </row>
    <row r="324" spans="1:23">
      <c r="A324" s="1">
        <v>2024</v>
      </c>
      <c r="B324" s="1" t="s">
        <v>101</v>
      </c>
      <c r="C324" s="1" t="s">
        <v>102</v>
      </c>
      <c r="D324" s="2">
        <v>6.17</v>
      </c>
      <c r="E324" s="2">
        <v>7.07</v>
      </c>
      <c r="F324" s="2">
        <v>-0.2</v>
      </c>
      <c r="G324" s="2">
        <v>-0.71</v>
      </c>
      <c r="H324" s="2">
        <v>4.5999999999999996</v>
      </c>
      <c r="I324" s="2">
        <v>10.77</v>
      </c>
      <c r="J324" s="2">
        <v>10.61</v>
      </c>
      <c r="K324" s="2">
        <v>10.42</v>
      </c>
      <c r="L324" s="2"/>
      <c r="M324" s="2">
        <v>-0.187</v>
      </c>
      <c r="O324" s="1">
        <v>45757</v>
      </c>
      <c r="P324" s="1">
        <v>646907</v>
      </c>
      <c r="R324" s="1">
        <v>2811</v>
      </c>
      <c r="S324" s="1">
        <v>1440</v>
      </c>
      <c r="T324" s="1">
        <f>O324/R324</f>
        <v>16.27783706865884</v>
      </c>
      <c r="U324" s="1">
        <f>P324/R324</f>
        <v>230.13411597296337</v>
      </c>
      <c r="V324" s="1">
        <f>ROUND(O324/P324*100,2)</f>
        <v>7.07</v>
      </c>
      <c r="W324" s="27">
        <f>V324-E324</f>
        <v>0</v>
      </c>
    </row>
    <row r="325" spans="1:23">
      <c r="A325" s="1">
        <v>2024</v>
      </c>
      <c r="B325" s="1" t="s">
        <v>103</v>
      </c>
      <c r="C325" s="1" t="s">
        <v>104</v>
      </c>
      <c r="D325" s="2">
        <v>5.67</v>
      </c>
      <c r="E325" s="2">
        <v>6.71</v>
      </c>
      <c r="F325" s="2">
        <v>-0.24</v>
      </c>
      <c r="G325" s="2">
        <v>-0.79</v>
      </c>
      <c r="H325" s="2">
        <v>4.5999999999999996</v>
      </c>
      <c r="I325" s="2">
        <v>10.27</v>
      </c>
      <c r="J325" s="2">
        <v>10.17</v>
      </c>
      <c r="K325" s="2">
        <v>10.17</v>
      </c>
      <c r="L325" s="2"/>
      <c r="M325" s="2">
        <v>0</v>
      </c>
      <c r="O325" s="1">
        <v>66217</v>
      </c>
      <c r="P325" s="1">
        <v>987475</v>
      </c>
      <c r="R325" s="1">
        <v>4349</v>
      </c>
      <c r="S325" s="1">
        <v>2300</v>
      </c>
      <c r="T325" s="1">
        <f>O325/R325</f>
        <v>15.225799034260749</v>
      </c>
      <c r="U325" s="1">
        <f>P325/R325</f>
        <v>227.05794435502415</v>
      </c>
      <c r="V325" s="1">
        <f>ROUND(O325/P325*100,2)</f>
        <v>6.71</v>
      </c>
      <c r="W325" s="27">
        <f>V325-E325</f>
        <v>0</v>
      </c>
    </row>
    <row r="326" spans="1:23">
      <c r="A326" s="1">
        <v>2024</v>
      </c>
      <c r="B326" s="1" t="s">
        <v>105</v>
      </c>
      <c r="C326" s="1" t="s">
        <v>106</v>
      </c>
      <c r="D326" s="2">
        <v>5.75</v>
      </c>
      <c r="E326" s="2">
        <v>6.46</v>
      </c>
      <c r="F326" s="2">
        <v>-0.1</v>
      </c>
      <c r="G326" s="2">
        <v>-0.61</v>
      </c>
      <c r="H326" s="2">
        <v>4.5999999999999996</v>
      </c>
      <c r="I326" s="2">
        <v>10.35</v>
      </c>
      <c r="J326" s="2">
        <v>10.3</v>
      </c>
      <c r="K326" s="2">
        <v>10.3</v>
      </c>
      <c r="L326" s="2"/>
      <c r="M326" s="2">
        <v>2E-3</v>
      </c>
      <c r="O326" s="1">
        <v>93118</v>
      </c>
      <c r="P326" s="1">
        <v>1440492</v>
      </c>
      <c r="R326" s="1">
        <v>6162</v>
      </c>
      <c r="S326" s="1">
        <v>3118</v>
      </c>
      <c r="T326" s="1">
        <f>O326/R326</f>
        <v>15.11165206101915</v>
      </c>
      <c r="U326" s="1">
        <f>P326/R326</f>
        <v>233.77020447906523</v>
      </c>
      <c r="V326" s="1">
        <f>ROUND(O326/P326*100,2)</f>
        <v>6.46</v>
      </c>
      <c r="W326" s="27">
        <f>V326-E326</f>
        <v>0</v>
      </c>
    </row>
    <row r="327" spans="1:23">
      <c r="A327" s="1">
        <v>2024</v>
      </c>
      <c r="B327" s="1" t="s">
        <v>107</v>
      </c>
      <c r="C327" s="1" t="s">
        <v>108</v>
      </c>
      <c r="D327" s="2">
        <v>5.72</v>
      </c>
      <c r="E327" s="2">
        <v>6.54</v>
      </c>
      <c r="F327" s="2">
        <v>-0.22</v>
      </c>
      <c r="G327" s="2">
        <v>-0.6</v>
      </c>
      <c r="H327" s="2">
        <v>4.5999999999999996</v>
      </c>
      <c r="I327" s="2">
        <v>10.32</v>
      </c>
      <c r="J327" s="2">
        <v>10.24</v>
      </c>
      <c r="K327" s="2">
        <v>10.25</v>
      </c>
      <c r="L327" s="2"/>
      <c r="M327" s="2">
        <v>0.01</v>
      </c>
      <c r="O327" s="1">
        <v>60681</v>
      </c>
      <c r="P327" s="1">
        <v>927926</v>
      </c>
      <c r="R327" s="1">
        <v>3961</v>
      </c>
      <c r="S327" s="1">
        <v>2098</v>
      </c>
      <c r="T327" s="1">
        <f>O327/R327</f>
        <v>15.319616258520576</v>
      </c>
      <c r="U327" s="1">
        <f>P327/R327</f>
        <v>234.26558949760161</v>
      </c>
      <c r="V327" s="1">
        <f>ROUND(O327/P327*100,2)</f>
        <v>6.54</v>
      </c>
      <c r="W327" s="27">
        <f>V327-E327</f>
        <v>0</v>
      </c>
    </row>
    <row r="328" spans="1:23">
      <c r="A328" s="1">
        <v>2024</v>
      </c>
      <c r="B328" s="1" t="s">
        <v>109</v>
      </c>
      <c r="C328" s="1" t="s">
        <v>110</v>
      </c>
      <c r="D328" s="2">
        <v>5.36</v>
      </c>
      <c r="E328" s="2">
        <v>6.24</v>
      </c>
      <c r="F328" s="2">
        <v>-0.12</v>
      </c>
      <c r="G328" s="2">
        <v>-0.76</v>
      </c>
      <c r="H328" s="2">
        <v>4.5999999999999996</v>
      </c>
      <c r="I328" s="2">
        <v>9.9600000000000009</v>
      </c>
      <c r="J328" s="2">
        <v>9.8800000000000008</v>
      </c>
      <c r="K328" s="2">
        <v>9.85</v>
      </c>
      <c r="L328" s="2"/>
      <c r="M328" s="2">
        <v>-2.8000000000000001E-2</v>
      </c>
      <c r="O328" s="1">
        <v>55890</v>
      </c>
      <c r="P328" s="1">
        <v>895666</v>
      </c>
      <c r="R328" s="1">
        <v>3927</v>
      </c>
      <c r="S328" s="1">
        <v>2010</v>
      </c>
      <c r="T328" s="1">
        <f>O328/R328</f>
        <v>14.232238349885408</v>
      </c>
      <c r="U328" s="1">
        <f>P328/R328</f>
        <v>228.07894066717597</v>
      </c>
      <c r="V328" s="1">
        <f>ROUND(O328/P328*100,2)</f>
        <v>6.24</v>
      </c>
      <c r="W328" s="27">
        <f>V328-E328</f>
        <v>0</v>
      </c>
    </row>
    <row r="329" spans="1:23">
      <c r="A329" s="1">
        <v>2024</v>
      </c>
      <c r="B329" s="1" t="s">
        <v>111</v>
      </c>
      <c r="C329" s="1" t="s">
        <v>112</v>
      </c>
      <c r="D329" s="2">
        <v>5.71</v>
      </c>
      <c r="E329" s="2">
        <v>6.7</v>
      </c>
      <c r="F329" s="2">
        <v>-0.09</v>
      </c>
      <c r="G329" s="2">
        <v>-0.9</v>
      </c>
      <c r="H329" s="2">
        <v>4.5999999999999996</v>
      </c>
      <c r="I329" s="2">
        <v>10.31</v>
      </c>
      <c r="J329" s="2">
        <v>10.18</v>
      </c>
      <c r="K329" s="2">
        <v>10.130000000000001</v>
      </c>
      <c r="L329" s="2"/>
      <c r="M329" s="2">
        <v>-5.1999999999999998E-2</v>
      </c>
      <c r="O329" s="1">
        <v>89807</v>
      </c>
      <c r="P329" s="1">
        <v>1339503</v>
      </c>
      <c r="R329" s="1">
        <v>6004</v>
      </c>
      <c r="S329" s="1">
        <v>3001</v>
      </c>
      <c r="T329" s="1">
        <f>O329/R329</f>
        <v>14.957861425716189</v>
      </c>
      <c r="U329" s="1">
        <f>P329/R329</f>
        <v>223.10176548967354</v>
      </c>
      <c r="V329" s="1">
        <f>ROUND(O329/P329*100,2)</f>
        <v>6.7</v>
      </c>
      <c r="W329" s="27">
        <f>V329-E329</f>
        <v>0</v>
      </c>
    </row>
    <row r="330" spans="1:23">
      <c r="A330" s="1">
        <v>2024</v>
      </c>
      <c r="B330" s="1" t="s">
        <v>113</v>
      </c>
      <c r="C330" s="1" t="s">
        <v>114</v>
      </c>
      <c r="D330" s="2">
        <v>5.18</v>
      </c>
      <c r="E330" s="2">
        <v>6.59</v>
      </c>
      <c r="F330" s="2">
        <v>0.17</v>
      </c>
      <c r="G330" s="2">
        <v>-1.58</v>
      </c>
      <c r="H330" s="2">
        <v>4.5999999999999996</v>
      </c>
      <c r="I330" s="2">
        <v>9.7799999999999994</v>
      </c>
      <c r="J330" s="2">
        <v>9.51</v>
      </c>
      <c r="K330" s="2">
        <v>9.52</v>
      </c>
      <c r="L330" s="2"/>
      <c r="M330" s="2">
        <v>0.01</v>
      </c>
      <c r="O330" s="1">
        <v>76184</v>
      </c>
      <c r="P330" s="1">
        <v>1156362</v>
      </c>
      <c r="R330" s="1">
        <v>5741</v>
      </c>
      <c r="S330" s="1">
        <v>2635</v>
      </c>
      <c r="T330" s="1">
        <f>O330/R330</f>
        <v>13.270161992684201</v>
      </c>
      <c r="U330" s="1">
        <f>P330/R330</f>
        <v>201.42170353596936</v>
      </c>
      <c r="V330" s="1">
        <f>ROUND(O330/P330*100,2)</f>
        <v>6.59</v>
      </c>
      <c r="W330" s="27">
        <f>V330-E330</f>
        <v>0</v>
      </c>
    </row>
    <row r="331" spans="1:23">
      <c r="A331" s="1">
        <v>2025</v>
      </c>
      <c r="B331" s="1" t="s">
        <v>21</v>
      </c>
      <c r="C331" s="1" t="s">
        <v>22</v>
      </c>
      <c r="D331" s="2">
        <v>5.67</v>
      </c>
      <c r="E331" s="2">
        <v>6.21</v>
      </c>
      <c r="F331" s="2">
        <v>-0.33</v>
      </c>
      <c r="G331" s="2">
        <v>-0.22</v>
      </c>
      <c r="H331" s="2">
        <v>4.6500000000000004</v>
      </c>
      <c r="I331" s="2">
        <v>10.32</v>
      </c>
      <c r="J331" s="2">
        <v>10.3</v>
      </c>
      <c r="K331" s="2">
        <v>10.31</v>
      </c>
      <c r="L331" s="2"/>
      <c r="M331" s="2">
        <v>0.01</v>
      </c>
      <c r="O331" s="1">
        <v>273752</v>
      </c>
      <c r="P331" s="1">
        <v>4405779</v>
      </c>
      <c r="R331" s="1">
        <v>16913</v>
      </c>
      <c r="S331" s="1">
        <v>9550</v>
      </c>
      <c r="T331" s="1">
        <f>O331/R331</f>
        <v>16.185892508721103</v>
      </c>
      <c r="U331" s="1">
        <f>P331/R331</f>
        <v>260.49660024832968</v>
      </c>
      <c r="V331" s="1">
        <f>ROUND(O331/P331*100,2)</f>
        <v>6.21</v>
      </c>
      <c r="W331" s="27">
        <f>V331-E331</f>
        <v>0</v>
      </c>
    </row>
    <row r="332" spans="1:23">
      <c r="A332" s="1">
        <v>2025</v>
      </c>
      <c r="B332" s="1" t="s">
        <v>23</v>
      </c>
      <c r="C332" s="1" t="s">
        <v>24</v>
      </c>
      <c r="D332" s="2">
        <v>5.19</v>
      </c>
      <c r="E332" s="2">
        <v>6.35</v>
      </c>
      <c r="F332" s="2">
        <v>-0.37</v>
      </c>
      <c r="G332" s="2">
        <v>-0.79</v>
      </c>
      <c r="H332" s="2">
        <v>4.6500000000000004</v>
      </c>
      <c r="I332" s="2">
        <v>9.85</v>
      </c>
      <c r="J332" s="2">
        <v>9.84</v>
      </c>
      <c r="K332" s="2">
        <v>9.85</v>
      </c>
      <c r="L332" s="2"/>
      <c r="M332" s="2">
        <v>7.0000000000000001E-3</v>
      </c>
      <c r="O332" s="1">
        <v>62381</v>
      </c>
      <c r="P332" s="1">
        <v>982777</v>
      </c>
      <c r="R332" s="1">
        <v>4157</v>
      </c>
      <c r="S332" s="1">
        <v>2373</v>
      </c>
      <c r="T332" s="1">
        <f>O332/R332</f>
        <v>15.006254510464277</v>
      </c>
      <c r="U332" s="1">
        <f>P332/R332</f>
        <v>236.4149627134953</v>
      </c>
      <c r="V332" s="1">
        <f>ROUND(O332/P332*100,2)</f>
        <v>6.35</v>
      </c>
      <c r="W332" s="27">
        <f>V332-E332</f>
        <v>0</v>
      </c>
    </row>
    <row r="333" spans="1:23">
      <c r="A333" s="1">
        <v>2025</v>
      </c>
      <c r="B333" s="1" t="s">
        <v>25</v>
      </c>
      <c r="C333" s="1" t="s">
        <v>26</v>
      </c>
      <c r="D333" s="2">
        <v>5.0199999999999996</v>
      </c>
      <c r="E333" s="2">
        <v>5.99</v>
      </c>
      <c r="F333" s="2">
        <v>-0.35</v>
      </c>
      <c r="G333" s="2">
        <v>-0.62</v>
      </c>
      <c r="H333" s="2">
        <v>4.6500000000000004</v>
      </c>
      <c r="I333" s="2">
        <v>9.68</v>
      </c>
      <c r="J333" s="2">
        <v>9.61</v>
      </c>
      <c r="K333" s="2">
        <v>9.6199999999999992</v>
      </c>
      <c r="L333" s="2"/>
      <c r="M333" s="2">
        <v>0.01</v>
      </c>
      <c r="O333" s="1">
        <v>54862</v>
      </c>
      <c r="P333" s="1">
        <v>915377</v>
      </c>
      <c r="R333" s="1">
        <v>3769</v>
      </c>
      <c r="S333" s="1">
        <v>2105</v>
      </c>
      <c r="T333" s="1">
        <f>O333/R333</f>
        <v>14.556115680551871</v>
      </c>
      <c r="U333" s="1">
        <f>P333/R333</f>
        <v>242.86999204032901</v>
      </c>
      <c r="V333" s="1">
        <f>ROUND(O333/P333*100,2)</f>
        <v>5.99</v>
      </c>
      <c r="W333" s="27">
        <f>V333-E333</f>
        <v>0</v>
      </c>
    </row>
    <row r="334" spans="1:23">
      <c r="A334" s="1">
        <v>2025</v>
      </c>
      <c r="B334" s="1" t="s">
        <v>27</v>
      </c>
      <c r="C334" s="1" t="s">
        <v>28</v>
      </c>
      <c r="D334" s="2">
        <v>5.42</v>
      </c>
      <c r="E334" s="2">
        <v>5.91</v>
      </c>
      <c r="F334" s="2">
        <v>-0.16</v>
      </c>
      <c r="G334" s="2">
        <v>-0.33</v>
      </c>
      <c r="H334" s="2">
        <v>4.6500000000000004</v>
      </c>
      <c r="I334" s="2">
        <v>10.07</v>
      </c>
      <c r="J334" s="2">
        <v>10.1</v>
      </c>
      <c r="K334" s="2">
        <v>10.11</v>
      </c>
      <c r="L334" s="2"/>
      <c r="M334" s="2">
        <v>0.01</v>
      </c>
      <c r="O334" s="1">
        <v>105191</v>
      </c>
      <c r="P334" s="1">
        <v>1779507</v>
      </c>
      <c r="R334" s="1">
        <v>6964</v>
      </c>
      <c r="S334" s="1">
        <v>3739</v>
      </c>
      <c r="T334" s="1">
        <f>O334/R334</f>
        <v>15.104968408960367</v>
      </c>
      <c r="U334" s="1">
        <f>P334/R334</f>
        <v>255.52943710511201</v>
      </c>
      <c r="V334" s="1">
        <f>ROUND(O334/P334*100,2)</f>
        <v>5.91</v>
      </c>
      <c r="W334" s="27">
        <f>V334-E334</f>
        <v>0</v>
      </c>
    </row>
    <row r="335" spans="1:23">
      <c r="A335" s="1">
        <v>2025</v>
      </c>
      <c r="B335" s="1" t="s">
        <v>29</v>
      </c>
      <c r="C335" s="1" t="s">
        <v>30</v>
      </c>
      <c r="D335" s="2">
        <v>5.37</v>
      </c>
      <c r="E335" s="2">
        <v>6.72</v>
      </c>
      <c r="F335" s="2">
        <v>-0.63</v>
      </c>
      <c r="G335" s="2">
        <v>-0.72</v>
      </c>
      <c r="H335" s="2">
        <v>4.6500000000000004</v>
      </c>
      <c r="I335" s="2">
        <v>10.02</v>
      </c>
      <c r="J335" s="2">
        <v>10.01</v>
      </c>
      <c r="K335" s="2">
        <v>10.01</v>
      </c>
      <c r="L335" s="2"/>
      <c r="M335" s="2">
        <v>0</v>
      </c>
      <c r="O335" s="1">
        <v>47825</v>
      </c>
      <c r="P335" s="1">
        <v>711548</v>
      </c>
      <c r="R335" s="1">
        <v>2977</v>
      </c>
      <c r="S335" s="1">
        <v>1765</v>
      </c>
      <c r="T335" s="1">
        <f>O335/R335</f>
        <v>16.064830366140409</v>
      </c>
      <c r="U335" s="1">
        <f>P335/R335</f>
        <v>239.01511588847833</v>
      </c>
      <c r="V335" s="1">
        <f>ROUND(O335/P335*100,2)</f>
        <v>6.72</v>
      </c>
      <c r="W335" s="27">
        <f>V335-E335</f>
        <v>0</v>
      </c>
    </row>
    <row r="336" spans="1:23">
      <c r="A336" s="1">
        <v>2025</v>
      </c>
      <c r="B336" s="1" t="s">
        <v>31</v>
      </c>
      <c r="C336" s="1" t="s">
        <v>32</v>
      </c>
      <c r="D336" s="2">
        <v>5.31</v>
      </c>
      <c r="E336" s="2">
        <v>6.12</v>
      </c>
      <c r="F336" s="2">
        <v>-0.31</v>
      </c>
      <c r="G336" s="2">
        <v>-0.49</v>
      </c>
      <c r="H336" s="2">
        <v>4.6500000000000004</v>
      </c>
      <c r="I336" s="2">
        <v>9.9600000000000009</v>
      </c>
      <c r="J336" s="2">
        <v>9.9</v>
      </c>
      <c r="K336" s="2">
        <v>9.75</v>
      </c>
      <c r="L336" s="2"/>
      <c r="M336" s="2">
        <v>-0.14799999999999999</v>
      </c>
      <c r="O336" s="1">
        <v>55896</v>
      </c>
      <c r="P336" s="1">
        <v>913609</v>
      </c>
      <c r="R336" s="1">
        <v>3681</v>
      </c>
      <c r="S336" s="1">
        <v>2023</v>
      </c>
      <c r="T336" s="1">
        <f>O336/R336</f>
        <v>15.185004074979625</v>
      </c>
      <c r="U336" s="1">
        <f>P336/R336</f>
        <v>248.19587068731323</v>
      </c>
      <c r="V336" s="1">
        <f>ROUND(O336/P336*100,2)</f>
        <v>6.12</v>
      </c>
      <c r="W336" s="27">
        <f>V336-E336</f>
        <v>0</v>
      </c>
    </row>
    <row r="337" spans="1:23">
      <c r="A337" s="1">
        <v>2025</v>
      </c>
      <c r="B337" s="1" t="s">
        <v>33</v>
      </c>
      <c r="C337" s="1" t="s">
        <v>34</v>
      </c>
      <c r="D337" s="2">
        <v>4.9400000000000004</v>
      </c>
      <c r="E337" s="2">
        <v>5.43</v>
      </c>
      <c r="F337" s="2">
        <v>-0.2</v>
      </c>
      <c r="G337" s="2">
        <v>-0.28000000000000003</v>
      </c>
      <c r="H337" s="2">
        <v>4.6500000000000004</v>
      </c>
      <c r="I337" s="2">
        <v>9.6</v>
      </c>
      <c r="J337" s="2">
        <v>9.61</v>
      </c>
      <c r="K337" s="2">
        <v>9.6199999999999992</v>
      </c>
      <c r="L337" s="2"/>
      <c r="M337" s="2">
        <v>0.01</v>
      </c>
      <c r="O337" s="1">
        <v>87907</v>
      </c>
      <c r="P337" s="1">
        <v>1620200</v>
      </c>
      <c r="R337" s="1">
        <v>6292</v>
      </c>
      <c r="S337" s="1">
        <v>3366</v>
      </c>
      <c r="T337" s="1">
        <f>O337/R337</f>
        <v>13.971233312142402</v>
      </c>
      <c r="U337" s="1">
        <f>P337/R337</f>
        <v>257.50158931977114</v>
      </c>
      <c r="V337" s="1">
        <f>ROUND(O337/P337*100,2)</f>
        <v>5.43</v>
      </c>
      <c r="W337" s="27">
        <f>V337-E337</f>
        <v>0</v>
      </c>
    </row>
    <row r="338" spans="1:23">
      <c r="A338" s="1">
        <v>2025</v>
      </c>
      <c r="B338" s="1" t="s">
        <v>35</v>
      </c>
      <c r="C338" s="1" t="s">
        <v>36</v>
      </c>
      <c r="D338" s="2">
        <v>5.05</v>
      </c>
      <c r="E338" s="2">
        <v>5.07</v>
      </c>
      <c r="F338" s="2">
        <v>-0.04</v>
      </c>
      <c r="G338" s="2">
        <v>0.02</v>
      </c>
      <c r="H338" s="2">
        <v>4.6500000000000004</v>
      </c>
      <c r="I338" s="2">
        <v>9.6999999999999993</v>
      </c>
      <c r="J338" s="2">
        <v>9.66</v>
      </c>
      <c r="K338" s="2">
        <v>9.67</v>
      </c>
      <c r="L338" s="2"/>
      <c r="M338" s="2">
        <v>0.01</v>
      </c>
      <c r="O338" s="1">
        <v>97264</v>
      </c>
      <c r="P338" s="1">
        <v>1916892</v>
      </c>
      <c r="R338" s="1">
        <v>7047</v>
      </c>
      <c r="S338" s="1">
        <v>3713</v>
      </c>
      <c r="T338" s="1">
        <f>O338/R338</f>
        <v>13.802185327089541</v>
      </c>
      <c r="U338" s="1">
        <f>P338/R338</f>
        <v>272.0153256704981</v>
      </c>
      <c r="V338" s="1">
        <f>ROUND(O338/P338*100,2)</f>
        <v>5.07</v>
      </c>
      <c r="W338" s="27">
        <f>V338-E338</f>
        <v>0</v>
      </c>
    </row>
    <row r="339" spans="1:23">
      <c r="A339" s="1">
        <v>2025</v>
      </c>
      <c r="B339" s="1" t="s">
        <v>37</v>
      </c>
      <c r="C339" s="1" t="s">
        <v>38</v>
      </c>
      <c r="D339" s="2">
        <v>5.21</v>
      </c>
      <c r="E339" s="2">
        <v>5.38</v>
      </c>
      <c r="F339" s="2">
        <v>-0.08</v>
      </c>
      <c r="G339" s="2">
        <v>-0.09</v>
      </c>
      <c r="H339" s="2">
        <v>4.6500000000000004</v>
      </c>
      <c r="I339" s="2">
        <v>9.8699999999999992</v>
      </c>
      <c r="J339" s="2">
        <v>9.81</v>
      </c>
      <c r="K339" s="2">
        <v>9.82</v>
      </c>
      <c r="L339" s="2"/>
      <c r="M339" s="2">
        <v>0.01</v>
      </c>
      <c r="O339" s="1">
        <v>75767</v>
      </c>
      <c r="P339" s="1">
        <v>1408545</v>
      </c>
      <c r="R339" s="1">
        <v>5279</v>
      </c>
      <c r="S339" s="1">
        <v>2817</v>
      </c>
      <c r="T339" s="1">
        <f>O339/R339</f>
        <v>14.352528888046979</v>
      </c>
      <c r="U339" s="1">
        <f>P339/R339</f>
        <v>266.82042053419207</v>
      </c>
      <c r="V339" s="1">
        <f>ROUND(O339/P339*100,2)</f>
        <v>5.38</v>
      </c>
      <c r="W339" s="27">
        <f>V339-E339</f>
        <v>0</v>
      </c>
    </row>
    <row r="340" spans="1:23">
      <c r="A340" s="1">
        <v>2025</v>
      </c>
      <c r="B340" s="1" t="s">
        <v>39</v>
      </c>
      <c r="C340" s="1" t="s">
        <v>40</v>
      </c>
      <c r="D340" s="2">
        <v>5.0999999999999996</v>
      </c>
      <c r="E340" s="2">
        <v>5.2</v>
      </c>
      <c r="F340" s="2">
        <v>-0.02</v>
      </c>
      <c r="G340" s="2">
        <v>-0.08</v>
      </c>
      <c r="H340" s="2">
        <v>4.6500000000000004</v>
      </c>
      <c r="I340" s="2">
        <v>9.75</v>
      </c>
      <c r="J340" s="2">
        <v>9.76</v>
      </c>
      <c r="K340" s="2">
        <v>9.77</v>
      </c>
      <c r="L340" s="2"/>
      <c r="M340" s="2">
        <v>0.01</v>
      </c>
      <c r="O340" s="1">
        <v>85792</v>
      </c>
      <c r="P340" s="1">
        <v>1648484</v>
      </c>
      <c r="R340" s="1">
        <v>6175</v>
      </c>
      <c r="S340" s="1">
        <v>3247</v>
      </c>
      <c r="T340" s="1">
        <f>O340/R340</f>
        <v>13.893441295546559</v>
      </c>
      <c r="U340" s="1">
        <f>P340/R340</f>
        <v>266.96097165991904</v>
      </c>
      <c r="V340" s="1">
        <f>ROUND(O340/P340*100,2)</f>
        <v>5.2</v>
      </c>
      <c r="W340" s="27">
        <f>V340-E340</f>
        <v>0</v>
      </c>
    </row>
    <row r="341" spans="1:23">
      <c r="A341" s="1">
        <v>2025</v>
      </c>
      <c r="B341" s="1" t="s">
        <v>41</v>
      </c>
      <c r="C341" s="1" t="s">
        <v>42</v>
      </c>
      <c r="D341" s="2">
        <v>5.12</v>
      </c>
      <c r="E341" s="2">
        <v>5.0199999999999996</v>
      </c>
      <c r="F341" s="2">
        <v>-0.01</v>
      </c>
      <c r="G341" s="2">
        <v>0.11</v>
      </c>
      <c r="H341" s="2">
        <v>4.6500000000000004</v>
      </c>
      <c r="I341" s="2">
        <v>9.77</v>
      </c>
      <c r="J341" s="2">
        <v>9.75</v>
      </c>
      <c r="K341" s="2">
        <v>9.76</v>
      </c>
      <c r="L341" s="2"/>
      <c r="M341" s="2">
        <v>0.01</v>
      </c>
      <c r="O341" s="1">
        <v>196744</v>
      </c>
      <c r="P341" s="1">
        <v>3920227</v>
      </c>
      <c r="R341" s="1">
        <v>14150</v>
      </c>
      <c r="S341" s="1">
        <v>7554</v>
      </c>
      <c r="T341" s="1">
        <f>O341/R341</f>
        <v>13.90416961130742</v>
      </c>
      <c r="U341" s="1">
        <f>P341/R341</f>
        <v>277.04784452296821</v>
      </c>
      <c r="V341" s="1">
        <f>ROUND(O341/P341*100,2)</f>
        <v>5.0199999999999996</v>
      </c>
      <c r="W341" s="27">
        <f>V341-E341</f>
        <v>0</v>
      </c>
    </row>
    <row r="342" spans="1:23">
      <c r="A342" s="1">
        <v>2025</v>
      </c>
      <c r="B342" s="1" t="s">
        <v>43</v>
      </c>
      <c r="C342" s="1" t="s">
        <v>44</v>
      </c>
      <c r="D342" s="2">
        <v>5.15</v>
      </c>
      <c r="E342" s="2">
        <v>5.0999999999999996</v>
      </c>
      <c r="F342" s="2">
        <v>-0.06</v>
      </c>
      <c r="G342" s="2">
        <v>0.11</v>
      </c>
      <c r="H342" s="2">
        <v>4.6500000000000004</v>
      </c>
      <c r="I342" s="2">
        <v>9.8000000000000007</v>
      </c>
      <c r="J342" s="2">
        <v>9.7799999999999994</v>
      </c>
      <c r="K342" s="2">
        <v>9.7899999999999991</v>
      </c>
      <c r="L342" s="2"/>
      <c r="M342" s="2">
        <v>0.01</v>
      </c>
      <c r="O342" s="1">
        <v>143779</v>
      </c>
      <c r="P342" s="1">
        <v>2817200</v>
      </c>
      <c r="R342" s="1">
        <v>10173</v>
      </c>
      <c r="S342" s="1">
        <v>5401</v>
      </c>
      <c r="T342" s="1">
        <f>O342/R342</f>
        <v>14.133392312985354</v>
      </c>
      <c r="U342" s="1">
        <f>P342/R342</f>
        <v>276.92912611815592</v>
      </c>
      <c r="V342" s="1">
        <f>ROUND(O342/P342*100,2)</f>
        <v>5.0999999999999996</v>
      </c>
      <c r="W342" s="27">
        <f>V342-E342</f>
        <v>0</v>
      </c>
    </row>
    <row r="343" spans="1:23">
      <c r="A343" s="1">
        <v>2025</v>
      </c>
      <c r="B343" s="1" t="s">
        <v>45</v>
      </c>
      <c r="C343" s="1" t="s">
        <v>46</v>
      </c>
      <c r="D343" s="2">
        <v>5.26</v>
      </c>
      <c r="E343" s="2">
        <v>4.46</v>
      </c>
      <c r="F343" s="2">
        <v>0.17</v>
      </c>
      <c r="G343" s="2">
        <v>0.63</v>
      </c>
      <c r="H343" s="2">
        <v>4.6500000000000004</v>
      </c>
      <c r="I343" s="2">
        <v>9.91</v>
      </c>
      <c r="J343" s="2">
        <v>9.9</v>
      </c>
      <c r="K343" s="2">
        <v>9.91</v>
      </c>
      <c r="L343" s="2"/>
      <c r="M343" s="2">
        <v>0.01</v>
      </c>
      <c r="O343" s="1">
        <v>823223</v>
      </c>
      <c r="P343" s="1">
        <v>18475077</v>
      </c>
      <c r="R343" s="1">
        <v>60059</v>
      </c>
      <c r="S343" s="1">
        <v>30176</v>
      </c>
      <c r="T343" s="1">
        <f>O343/R343</f>
        <v>13.706904876871077</v>
      </c>
      <c r="U343" s="1">
        <f>P343/R343</f>
        <v>307.61546146289481</v>
      </c>
      <c r="V343" s="1">
        <f>ROUND(O343/P343*100,2)</f>
        <v>4.46</v>
      </c>
      <c r="W343" s="27">
        <f>V343-E343</f>
        <v>0</v>
      </c>
    </row>
    <row r="344" spans="1:23">
      <c r="A344" s="1">
        <v>2025</v>
      </c>
      <c r="B344" s="1" t="s">
        <v>47</v>
      </c>
      <c r="C344" s="1" t="s">
        <v>48</v>
      </c>
      <c r="D344" s="2">
        <v>5.3</v>
      </c>
      <c r="E344" s="2">
        <v>5</v>
      </c>
      <c r="F344" s="2">
        <v>-0.06</v>
      </c>
      <c r="G344" s="2">
        <v>0.36</v>
      </c>
      <c r="H344" s="2">
        <v>4.6500000000000004</v>
      </c>
      <c r="I344" s="2">
        <v>9.9499999999999993</v>
      </c>
      <c r="J344" s="2">
        <v>9.91</v>
      </c>
      <c r="K344" s="2">
        <v>9.92</v>
      </c>
      <c r="L344" s="2"/>
      <c r="M344" s="2">
        <v>0.01</v>
      </c>
      <c r="O344" s="1">
        <v>241725</v>
      </c>
      <c r="P344" s="1">
        <v>4838437</v>
      </c>
      <c r="R344" s="1">
        <v>16658</v>
      </c>
      <c r="S344" s="1">
        <v>9001</v>
      </c>
      <c r="T344" s="1">
        <f>O344/R344</f>
        <v>14.511045743786768</v>
      </c>
      <c r="U344" s="1">
        <f>P344/R344</f>
        <v>290.45725777404249</v>
      </c>
      <c r="V344" s="1">
        <f>ROUND(O344/P344*100,2)</f>
        <v>5</v>
      </c>
      <c r="W344" s="27">
        <f>V344-E344</f>
        <v>0</v>
      </c>
    </row>
    <row r="345" spans="1:23">
      <c r="A345" s="1">
        <v>2025</v>
      </c>
      <c r="B345" s="1" t="s">
        <v>49</v>
      </c>
      <c r="C345" s="1" t="s">
        <v>50</v>
      </c>
      <c r="D345" s="2">
        <v>4.8600000000000003</v>
      </c>
      <c r="E345" s="2">
        <v>5.32</v>
      </c>
      <c r="F345" s="2">
        <v>-0.15</v>
      </c>
      <c r="G345" s="2">
        <v>-0.31</v>
      </c>
      <c r="H345" s="2">
        <v>4.6500000000000004</v>
      </c>
      <c r="I345" s="2">
        <v>9.51</v>
      </c>
      <c r="J345" s="2">
        <v>9.59</v>
      </c>
      <c r="K345" s="2">
        <v>9.5500000000000007</v>
      </c>
      <c r="L345" s="2"/>
      <c r="M345" s="2">
        <v>-0.04</v>
      </c>
      <c r="O345" s="1">
        <v>104533</v>
      </c>
      <c r="P345" s="1">
        <v>1965252</v>
      </c>
      <c r="R345" s="1">
        <v>7662</v>
      </c>
      <c r="S345" s="1">
        <v>4126</v>
      </c>
      <c r="T345" s="1">
        <f>O345/R345</f>
        <v>13.643043591751502</v>
      </c>
      <c r="U345" s="1">
        <f>P345/R345</f>
        <v>256.49334377447144</v>
      </c>
      <c r="V345" s="1">
        <f>ROUND(O345/P345*100,2)</f>
        <v>5.32</v>
      </c>
      <c r="W345" s="27">
        <f>V345-E345</f>
        <v>0</v>
      </c>
    </row>
    <row r="346" spans="1:23">
      <c r="A346" s="1">
        <v>2025</v>
      </c>
      <c r="B346" s="1" t="s">
        <v>51</v>
      </c>
      <c r="C346" s="1" t="s">
        <v>52</v>
      </c>
      <c r="D346" s="2">
        <v>4.9800000000000004</v>
      </c>
      <c r="E346" s="2">
        <v>4.95</v>
      </c>
      <c r="F346" s="2">
        <v>-7.0000000000000007E-2</v>
      </c>
      <c r="G346" s="2">
        <v>0.11</v>
      </c>
      <c r="H346" s="2">
        <v>4.6500000000000004</v>
      </c>
      <c r="I346" s="2">
        <v>9.64</v>
      </c>
      <c r="J346" s="2">
        <v>9.68</v>
      </c>
      <c r="K346" s="2">
        <v>9.65</v>
      </c>
      <c r="L346" s="2"/>
      <c r="M346" s="2">
        <v>-2.7E-2</v>
      </c>
      <c r="O346" s="1">
        <v>53588</v>
      </c>
      <c r="P346" s="1">
        <v>1082459</v>
      </c>
      <c r="R346" s="1">
        <v>3912</v>
      </c>
      <c r="S346" s="1">
        <v>2119</v>
      </c>
      <c r="T346" s="1">
        <f>O346/R346</f>
        <v>13.69836400817996</v>
      </c>
      <c r="U346" s="1">
        <f>P346/R346</f>
        <v>276.70219836400815</v>
      </c>
      <c r="V346" s="1">
        <f>ROUND(O346/P346*100,2)</f>
        <v>4.95</v>
      </c>
      <c r="W346" s="27">
        <f>V346-E346</f>
        <v>0</v>
      </c>
    </row>
    <row r="347" spans="1:23">
      <c r="A347" s="1">
        <v>2025</v>
      </c>
      <c r="B347" s="1" t="s">
        <v>53</v>
      </c>
      <c r="C347" s="1" t="s">
        <v>54</v>
      </c>
      <c r="D347" s="2">
        <v>5.21</v>
      </c>
      <c r="E347" s="2">
        <v>5.19</v>
      </c>
      <c r="F347" s="2">
        <v>-0.01</v>
      </c>
      <c r="G347" s="2">
        <v>0.04</v>
      </c>
      <c r="H347" s="2">
        <v>4.6500000000000004</v>
      </c>
      <c r="I347" s="2">
        <v>9.86</v>
      </c>
      <c r="J347" s="2">
        <v>9.8699999999999992</v>
      </c>
      <c r="K347" s="2">
        <v>9.8800000000000008</v>
      </c>
      <c r="L347" s="2"/>
      <c r="M347" s="2">
        <v>0.01</v>
      </c>
      <c r="O347" s="1">
        <v>60279</v>
      </c>
      <c r="P347" s="1">
        <v>1162261</v>
      </c>
      <c r="R347" s="1">
        <v>4258</v>
      </c>
      <c r="S347" s="1">
        <v>2223</v>
      </c>
      <c r="T347" s="1">
        <f>O347/R347</f>
        <v>14.156646312822922</v>
      </c>
      <c r="U347" s="1">
        <f>P347/R347</f>
        <v>272.9593705965242</v>
      </c>
      <c r="V347" s="1">
        <f>ROUND(O347/P347*100,2)</f>
        <v>5.19</v>
      </c>
      <c r="W347" s="27">
        <f>V347-E347</f>
        <v>0</v>
      </c>
    </row>
    <row r="348" spans="1:23">
      <c r="A348" s="1">
        <v>2025</v>
      </c>
      <c r="B348" s="1" t="s">
        <v>55</v>
      </c>
      <c r="C348" s="1" t="s">
        <v>56</v>
      </c>
      <c r="D348" s="2">
        <v>5.28</v>
      </c>
      <c r="E348" s="2">
        <v>5.47</v>
      </c>
      <c r="F348" s="2">
        <v>-0.14000000000000001</v>
      </c>
      <c r="G348" s="2">
        <v>-0.04</v>
      </c>
      <c r="H348" s="2">
        <v>4.6500000000000004</v>
      </c>
      <c r="I348" s="2">
        <v>9.94</v>
      </c>
      <c r="J348" s="2">
        <v>9.93</v>
      </c>
      <c r="K348" s="2">
        <v>9.94</v>
      </c>
      <c r="L348" s="2"/>
      <c r="M348" s="2">
        <v>0.01</v>
      </c>
      <c r="O348" s="1">
        <v>41063</v>
      </c>
      <c r="P348" s="1">
        <v>751188</v>
      </c>
      <c r="R348" s="1">
        <v>2793</v>
      </c>
      <c r="S348" s="1">
        <v>1471</v>
      </c>
      <c r="T348" s="1">
        <f>O348/R348</f>
        <v>14.702112423916935</v>
      </c>
      <c r="U348" s="1">
        <f>P348/R348</f>
        <v>268.95381310418907</v>
      </c>
      <c r="V348" s="1">
        <f>ROUND(O348/P348*100,2)</f>
        <v>5.47</v>
      </c>
      <c r="W348" s="27">
        <f>V348-E348</f>
        <v>0</v>
      </c>
    </row>
    <row r="349" spans="1:23">
      <c r="A349" s="1">
        <v>2025</v>
      </c>
      <c r="B349" s="1" t="s">
        <v>57</v>
      </c>
      <c r="C349" s="1" t="s">
        <v>58</v>
      </c>
      <c r="D349" s="2">
        <v>5.17</v>
      </c>
      <c r="E349" s="2">
        <v>5.46</v>
      </c>
      <c r="F349" s="2">
        <v>-0.16</v>
      </c>
      <c r="G349" s="2">
        <v>-0.14000000000000001</v>
      </c>
      <c r="H349" s="2">
        <v>4.6500000000000004</v>
      </c>
      <c r="I349" s="2">
        <v>9.82</v>
      </c>
      <c r="J349" s="2">
        <v>9.8800000000000008</v>
      </c>
      <c r="K349" s="2">
        <v>9.89</v>
      </c>
      <c r="L349" s="2"/>
      <c r="M349" s="2">
        <v>0.01</v>
      </c>
      <c r="O349" s="1">
        <v>35280</v>
      </c>
      <c r="P349" s="1">
        <v>646169</v>
      </c>
      <c r="R349" s="1">
        <v>2445</v>
      </c>
      <c r="S349" s="1">
        <v>1297</v>
      </c>
      <c r="T349" s="1">
        <f>O349/R349</f>
        <v>14.429447852760736</v>
      </c>
      <c r="U349" s="1">
        <f>P349/R349</f>
        <v>264.28179959100203</v>
      </c>
      <c r="V349" s="1">
        <f>ROUND(O349/P349*100,2)</f>
        <v>5.46</v>
      </c>
      <c r="W349" s="27">
        <f>V349-E349</f>
        <v>0</v>
      </c>
    </row>
    <row r="350" spans="1:23">
      <c r="A350" s="1">
        <v>2025</v>
      </c>
      <c r="B350" s="1" t="s">
        <v>59</v>
      </c>
      <c r="C350" s="1" t="s">
        <v>60</v>
      </c>
      <c r="D350" s="2">
        <v>5.0199999999999996</v>
      </c>
      <c r="E350" s="2">
        <v>5.27</v>
      </c>
      <c r="F350" s="2">
        <v>-0.08</v>
      </c>
      <c r="G350" s="2">
        <v>-0.17</v>
      </c>
      <c r="H350" s="2">
        <v>4.6500000000000004</v>
      </c>
      <c r="I350" s="2">
        <v>9.68</v>
      </c>
      <c r="J350" s="2">
        <v>9.76</v>
      </c>
      <c r="K350" s="2">
        <v>9.69</v>
      </c>
      <c r="L350" s="2"/>
      <c r="M350" s="2">
        <v>-6.7000000000000004E-2</v>
      </c>
      <c r="O350" s="1">
        <v>86822</v>
      </c>
      <c r="P350" s="1">
        <v>1646416</v>
      </c>
      <c r="R350" s="1">
        <v>6261</v>
      </c>
      <c r="S350" s="1">
        <v>3327</v>
      </c>
      <c r="T350" s="1">
        <f>O350/R350</f>
        <v>13.867113879571953</v>
      </c>
      <c r="U350" s="1">
        <f>P350/R350</f>
        <v>262.96374381089282</v>
      </c>
      <c r="V350" s="1">
        <f>ROUND(O350/P350*100,2)</f>
        <v>5.27</v>
      </c>
      <c r="W350" s="27">
        <f>V350-E350</f>
        <v>0</v>
      </c>
    </row>
    <row r="351" spans="1:23">
      <c r="A351" s="1">
        <v>2025</v>
      </c>
      <c r="B351" s="1" t="s">
        <v>61</v>
      </c>
      <c r="C351" s="1" t="s">
        <v>62</v>
      </c>
      <c r="D351" s="2">
        <v>5.28</v>
      </c>
      <c r="E351" s="2">
        <v>5.39</v>
      </c>
      <c r="F351" s="2">
        <v>0</v>
      </c>
      <c r="G351" s="2">
        <v>-0.1</v>
      </c>
      <c r="H351" s="2">
        <v>4.6500000000000004</v>
      </c>
      <c r="I351" s="2">
        <v>9.94</v>
      </c>
      <c r="J351" s="2">
        <v>10.01</v>
      </c>
      <c r="K351" s="2">
        <v>9.93</v>
      </c>
      <c r="L351" s="2"/>
      <c r="M351" s="2">
        <v>-7.9000000000000001E-2</v>
      </c>
      <c r="O351" s="1">
        <v>106341</v>
      </c>
      <c r="P351" s="1">
        <v>1974612</v>
      </c>
      <c r="R351" s="1">
        <v>7419</v>
      </c>
      <c r="S351" s="1">
        <v>3875</v>
      </c>
      <c r="T351" s="1">
        <f>O351/R351</f>
        <v>14.333602911443592</v>
      </c>
      <c r="U351" s="1">
        <f>P351/R351</f>
        <v>266.15608572583903</v>
      </c>
      <c r="V351" s="1">
        <f>ROUND(O351/P351*100,2)</f>
        <v>5.39</v>
      </c>
      <c r="W351" s="27">
        <f>V351-E351</f>
        <v>0</v>
      </c>
    </row>
    <row r="352" spans="1:23">
      <c r="A352" s="1">
        <v>2025</v>
      </c>
      <c r="B352" s="1" t="s">
        <v>63</v>
      </c>
      <c r="C352" s="1" t="s">
        <v>64</v>
      </c>
      <c r="D352" s="2">
        <v>5.1100000000000003</v>
      </c>
      <c r="E352" s="2">
        <v>5.07</v>
      </c>
      <c r="F352" s="2">
        <v>-0.04</v>
      </c>
      <c r="G352" s="2">
        <v>0.08</v>
      </c>
      <c r="H352" s="2">
        <v>4.6500000000000004</v>
      </c>
      <c r="I352" s="2">
        <v>9.76</v>
      </c>
      <c r="J352" s="2">
        <v>9.7899999999999991</v>
      </c>
      <c r="K352" s="2">
        <v>9.8000000000000007</v>
      </c>
      <c r="L352" s="2"/>
      <c r="M352" s="2">
        <v>0.01</v>
      </c>
      <c r="O352" s="1">
        <v>140259</v>
      </c>
      <c r="P352" s="1">
        <v>2765518</v>
      </c>
      <c r="R352" s="1">
        <v>10052</v>
      </c>
      <c r="S352" s="1">
        <v>5307</v>
      </c>
      <c r="T352" s="1">
        <f>O352/R352</f>
        <v>13.953342618384401</v>
      </c>
      <c r="U352" s="1">
        <f>P352/R352</f>
        <v>275.12116991643455</v>
      </c>
      <c r="V352" s="1">
        <f>ROUND(O352/P352*100,2)</f>
        <v>5.07</v>
      </c>
      <c r="W352" s="27">
        <f>V352-E352</f>
        <v>0</v>
      </c>
    </row>
    <row r="353" spans="1:23">
      <c r="A353" s="1">
        <v>2025</v>
      </c>
      <c r="B353" s="1" t="s">
        <v>65</v>
      </c>
      <c r="C353" s="1" t="s">
        <v>66</v>
      </c>
      <c r="D353" s="2">
        <v>5.33</v>
      </c>
      <c r="E353" s="2">
        <v>4.92</v>
      </c>
      <c r="F353" s="2">
        <v>0.19</v>
      </c>
      <c r="G353" s="2">
        <v>0.23</v>
      </c>
      <c r="H353" s="2">
        <v>4.6500000000000004</v>
      </c>
      <c r="I353" s="2">
        <v>9.98</v>
      </c>
      <c r="J353" s="2">
        <v>10.02</v>
      </c>
      <c r="K353" s="2">
        <v>10.029999999999999</v>
      </c>
      <c r="L353" s="2"/>
      <c r="M353" s="2">
        <v>0.01</v>
      </c>
      <c r="O353" s="1">
        <v>346191</v>
      </c>
      <c r="P353" s="1">
        <v>7039682</v>
      </c>
      <c r="R353" s="1">
        <v>24860</v>
      </c>
      <c r="S353" s="1">
        <v>12372</v>
      </c>
      <c r="T353" s="1">
        <f>O353/R353</f>
        <v>13.925623491552695</v>
      </c>
      <c r="U353" s="1">
        <f>P353/R353</f>
        <v>283.173049074819</v>
      </c>
      <c r="V353" s="1">
        <f>ROUND(O353/P353*100,2)</f>
        <v>4.92</v>
      </c>
      <c r="W353" s="27">
        <f>V353-E353</f>
        <v>0</v>
      </c>
    </row>
    <row r="354" spans="1:23">
      <c r="A354" s="1">
        <v>2025</v>
      </c>
      <c r="B354" s="1" t="s">
        <v>67</v>
      </c>
      <c r="C354" s="1" t="s">
        <v>68</v>
      </c>
      <c r="D354" s="2">
        <v>5.25</v>
      </c>
      <c r="E354" s="2">
        <v>5.22</v>
      </c>
      <c r="F354" s="2">
        <v>0.02</v>
      </c>
      <c r="G354" s="2">
        <v>0.01</v>
      </c>
      <c r="H354" s="2">
        <v>4.6500000000000004</v>
      </c>
      <c r="I354" s="2">
        <v>9.9</v>
      </c>
      <c r="J354" s="2">
        <v>9.98</v>
      </c>
      <c r="K354" s="2">
        <v>9.99</v>
      </c>
      <c r="L354" s="2"/>
      <c r="M354" s="2">
        <v>0.01</v>
      </c>
      <c r="O354" s="1">
        <v>70324</v>
      </c>
      <c r="P354" s="1">
        <v>1347152</v>
      </c>
      <c r="R354" s="1">
        <v>4960</v>
      </c>
      <c r="S354" s="1">
        <v>2566</v>
      </c>
      <c r="T354" s="1">
        <f>O354/R354</f>
        <v>14.178225806451612</v>
      </c>
      <c r="U354" s="1">
        <f>P354/R354</f>
        <v>271.60322580645163</v>
      </c>
      <c r="V354" s="1">
        <f>ROUND(O354/P354*100,2)</f>
        <v>5.22</v>
      </c>
      <c r="W354" s="27">
        <f>V354-E354</f>
        <v>0</v>
      </c>
    </row>
    <row r="355" spans="1:23">
      <c r="A355" s="1">
        <v>2025</v>
      </c>
      <c r="B355" s="1" t="s">
        <v>69</v>
      </c>
      <c r="C355" s="1" t="s">
        <v>70</v>
      </c>
      <c r="D355" s="2">
        <v>5.22</v>
      </c>
      <c r="E355" s="2">
        <v>5.28</v>
      </c>
      <c r="F355" s="2">
        <v>0.08</v>
      </c>
      <c r="G355" s="2">
        <v>-0.14000000000000001</v>
      </c>
      <c r="H355" s="2">
        <v>4.6500000000000004</v>
      </c>
      <c r="I355" s="2">
        <v>9.8800000000000008</v>
      </c>
      <c r="J355" s="2">
        <v>9.9600000000000009</v>
      </c>
      <c r="K355" s="2">
        <v>9.9700000000000006</v>
      </c>
      <c r="L355" s="2"/>
      <c r="M355" s="2">
        <v>0.01</v>
      </c>
      <c r="O355" s="1">
        <v>48341</v>
      </c>
      <c r="P355" s="1">
        <v>915993</v>
      </c>
      <c r="R355" s="1">
        <v>3465</v>
      </c>
      <c r="S355" s="1">
        <v>1738</v>
      </c>
      <c r="T355" s="1">
        <f>O355/R355</f>
        <v>13.951226551226551</v>
      </c>
      <c r="U355" s="1">
        <f>P355/R355</f>
        <v>264.35584415584418</v>
      </c>
      <c r="V355" s="1">
        <f>ROUND(O355/P355*100,2)</f>
        <v>5.28</v>
      </c>
      <c r="W355" s="27">
        <f>V355-E355</f>
        <v>0</v>
      </c>
    </row>
    <row r="356" spans="1:23">
      <c r="A356" s="1">
        <v>2025</v>
      </c>
      <c r="B356" s="1" t="s">
        <v>71</v>
      </c>
      <c r="C356" s="1" t="s">
        <v>72</v>
      </c>
      <c r="D356" s="2">
        <v>5.39</v>
      </c>
      <c r="E356" s="2">
        <v>5.28</v>
      </c>
      <c r="F356" s="2">
        <v>7.0000000000000007E-2</v>
      </c>
      <c r="G356" s="2">
        <v>0.04</v>
      </c>
      <c r="H356" s="2">
        <v>4.6500000000000004</v>
      </c>
      <c r="I356" s="2">
        <v>10.050000000000001</v>
      </c>
      <c r="J356" s="2">
        <v>10.02</v>
      </c>
      <c r="K356" s="2">
        <v>10.029999999999999</v>
      </c>
      <c r="L356" s="2"/>
      <c r="M356" s="2">
        <v>0.01</v>
      </c>
      <c r="O356" s="1">
        <v>124948</v>
      </c>
      <c r="P356" s="1">
        <v>2366026</v>
      </c>
      <c r="R356" s="1">
        <v>8655</v>
      </c>
      <c r="S356" s="1">
        <v>4444</v>
      </c>
      <c r="T356" s="1">
        <f>O356/R356</f>
        <v>14.436510687463894</v>
      </c>
      <c r="U356" s="1">
        <f>P356/R356</f>
        <v>273.37099942229923</v>
      </c>
      <c r="V356" s="1">
        <f>ROUND(O356/P356*100,2)</f>
        <v>5.28</v>
      </c>
      <c r="W356" s="27">
        <f>V356-E356</f>
        <v>0</v>
      </c>
    </row>
    <row r="357" spans="1:23">
      <c r="A357" s="1">
        <v>2025</v>
      </c>
      <c r="B357" s="1" t="s">
        <v>73</v>
      </c>
      <c r="C357" s="1" t="s">
        <v>74</v>
      </c>
      <c r="D357" s="2">
        <v>5.6</v>
      </c>
      <c r="E357" s="2">
        <v>5.32</v>
      </c>
      <c r="F357" s="2">
        <v>0.16</v>
      </c>
      <c r="G357" s="2">
        <v>0.12</v>
      </c>
      <c r="H357" s="2">
        <v>4.6500000000000004</v>
      </c>
      <c r="I357" s="2">
        <v>10.25</v>
      </c>
      <c r="J357" s="2">
        <v>10.23</v>
      </c>
      <c r="K357" s="2">
        <v>10.24</v>
      </c>
      <c r="L357" s="2"/>
      <c r="M357" s="2">
        <v>0.01</v>
      </c>
      <c r="O357" s="1">
        <v>515154</v>
      </c>
      <c r="P357" s="1">
        <v>9681170</v>
      </c>
      <c r="R357" s="1">
        <v>34921</v>
      </c>
      <c r="S357" s="1">
        <v>17405</v>
      </c>
      <c r="T357" s="1">
        <f>O357/R357</f>
        <v>14.751983047449958</v>
      </c>
      <c r="U357" s="1">
        <f>P357/R357</f>
        <v>277.23060622548036</v>
      </c>
      <c r="V357" s="1">
        <f>ROUND(O357/P357*100,2)</f>
        <v>5.32</v>
      </c>
      <c r="W357" s="27">
        <f>V357-E357</f>
        <v>0</v>
      </c>
    </row>
    <row r="358" spans="1:23">
      <c r="A358" s="1">
        <v>2025</v>
      </c>
      <c r="B358" s="1" t="s">
        <v>75</v>
      </c>
      <c r="C358" s="1" t="s">
        <v>76</v>
      </c>
      <c r="D358" s="2">
        <v>5.51</v>
      </c>
      <c r="E358" s="2">
        <v>5.52</v>
      </c>
      <c r="F358" s="2">
        <v>0.02</v>
      </c>
      <c r="G358" s="2">
        <v>-0.03</v>
      </c>
      <c r="H358" s="2">
        <v>4.6500000000000004</v>
      </c>
      <c r="I358" s="2">
        <v>10.17</v>
      </c>
      <c r="J358" s="2">
        <v>10.15</v>
      </c>
      <c r="K358" s="2">
        <v>10.16</v>
      </c>
      <c r="L358" s="2"/>
      <c r="M358" s="2">
        <v>0.01</v>
      </c>
      <c r="O358" s="1">
        <v>219422</v>
      </c>
      <c r="P358" s="1">
        <v>3974426</v>
      </c>
      <c r="R358" s="1">
        <v>14747</v>
      </c>
      <c r="S358" s="1">
        <v>7657</v>
      </c>
      <c r="T358" s="1">
        <f>O358/R358</f>
        <v>14.879094053027734</v>
      </c>
      <c r="U358" s="1">
        <f>P358/R358</f>
        <v>269.50742523903165</v>
      </c>
      <c r="V358" s="1">
        <f>ROUND(O358/P358*100,2)</f>
        <v>5.52</v>
      </c>
      <c r="W358" s="27">
        <f>V358-E358</f>
        <v>0</v>
      </c>
    </row>
    <row r="359" spans="1:23">
      <c r="A359" s="1">
        <v>2025</v>
      </c>
      <c r="B359" s="1" t="s">
        <v>77</v>
      </c>
      <c r="C359" s="1" t="s">
        <v>78</v>
      </c>
      <c r="D359" s="2">
        <v>5.42</v>
      </c>
      <c r="E359" s="2">
        <v>5.88</v>
      </c>
      <c r="F359" s="2">
        <v>-0.02</v>
      </c>
      <c r="G359" s="2">
        <v>-0.43</v>
      </c>
      <c r="H359" s="2">
        <v>4.6500000000000004</v>
      </c>
      <c r="I359" s="2">
        <v>10.08</v>
      </c>
      <c r="J359" s="2">
        <v>10.02</v>
      </c>
      <c r="K359" s="2">
        <v>10.02</v>
      </c>
      <c r="L359" s="2"/>
      <c r="M359" s="2">
        <v>1E-3</v>
      </c>
      <c r="O359" s="1">
        <v>46165</v>
      </c>
      <c r="P359" s="1">
        <v>785156</v>
      </c>
      <c r="R359" s="1">
        <v>3131</v>
      </c>
      <c r="S359" s="1">
        <v>1633</v>
      </c>
      <c r="T359" s="1">
        <f>O359/R359</f>
        <v>14.744490578090067</v>
      </c>
      <c r="U359" s="1">
        <f>P359/R359</f>
        <v>250.76844458639411</v>
      </c>
      <c r="V359" s="1">
        <f>ROUND(O359/P359*100,2)</f>
        <v>5.88</v>
      </c>
      <c r="W359" s="27">
        <f>V359-E359</f>
        <v>0</v>
      </c>
    </row>
    <row r="360" spans="1:23">
      <c r="A360" s="1">
        <v>2025</v>
      </c>
      <c r="B360" s="1" t="s">
        <v>79</v>
      </c>
      <c r="C360" s="1" t="s">
        <v>80</v>
      </c>
      <c r="D360" s="2">
        <v>5.46</v>
      </c>
      <c r="E360" s="2">
        <v>6.06</v>
      </c>
      <c r="F360" s="2">
        <v>-0.08</v>
      </c>
      <c r="G360" s="2">
        <v>-0.52</v>
      </c>
      <c r="H360" s="2">
        <v>4.6500000000000004</v>
      </c>
      <c r="I360" s="2">
        <v>10.11</v>
      </c>
      <c r="J360" s="2">
        <v>10.19</v>
      </c>
      <c r="K360" s="2">
        <v>10.19</v>
      </c>
      <c r="L360" s="2"/>
      <c r="M360" s="2">
        <v>-1E-3</v>
      </c>
      <c r="O360" s="1">
        <v>42632</v>
      </c>
      <c r="P360" s="1">
        <v>703530</v>
      </c>
      <c r="R360" s="1">
        <v>2846</v>
      </c>
      <c r="S360" s="1">
        <v>1534</v>
      </c>
      <c r="T360" s="1">
        <f>O360/R360</f>
        <v>14.97962052002811</v>
      </c>
      <c r="U360" s="1">
        <f>P360/R360</f>
        <v>247.19957835558679</v>
      </c>
      <c r="V360" s="1">
        <f>ROUND(O360/P360*100,2)</f>
        <v>6.06</v>
      </c>
      <c r="W360" s="27">
        <f>V360-E360</f>
        <v>0</v>
      </c>
    </row>
    <row r="361" spans="1:23">
      <c r="A361" s="1">
        <v>2025</v>
      </c>
      <c r="B361" s="1" t="s">
        <v>81</v>
      </c>
      <c r="C361" s="1" t="s">
        <v>82</v>
      </c>
      <c r="D361" s="2">
        <v>5.26</v>
      </c>
      <c r="E361" s="2">
        <v>6.09</v>
      </c>
      <c r="F361" s="2">
        <v>-0.16</v>
      </c>
      <c r="G361" s="2">
        <v>-0.67</v>
      </c>
      <c r="H361" s="2">
        <v>4.6500000000000004</v>
      </c>
      <c r="I361" s="2">
        <v>9.92</v>
      </c>
      <c r="J361" s="2">
        <v>9.92</v>
      </c>
      <c r="K361" s="2">
        <v>9.93</v>
      </c>
      <c r="L361" s="2"/>
      <c r="M361" s="2">
        <v>0.01</v>
      </c>
      <c r="O361" s="1">
        <v>28248</v>
      </c>
      <c r="P361" s="1">
        <v>464107</v>
      </c>
      <c r="R361" s="1">
        <v>1926</v>
      </c>
      <c r="S361" s="1">
        <v>1006</v>
      </c>
      <c r="T361" s="1">
        <f>O361/R361</f>
        <v>14.666666666666666</v>
      </c>
      <c r="U361" s="1">
        <f>P361/R361</f>
        <v>240.96936656282452</v>
      </c>
      <c r="V361" s="1">
        <f>ROUND(O361/P361*100,2)</f>
        <v>6.09</v>
      </c>
      <c r="W361" s="27">
        <f>V361-E361</f>
        <v>0</v>
      </c>
    </row>
    <row r="362" spans="1:23">
      <c r="A362" s="1">
        <v>2025</v>
      </c>
      <c r="B362" s="1" t="s">
        <v>83</v>
      </c>
      <c r="C362" s="1" t="s">
        <v>84</v>
      </c>
      <c r="D362" s="2">
        <v>5.45</v>
      </c>
      <c r="E362" s="2">
        <v>6.24</v>
      </c>
      <c r="F362" s="2">
        <v>-0.27</v>
      </c>
      <c r="G362" s="2">
        <v>-0.52</v>
      </c>
      <c r="H362" s="2">
        <v>4.6500000000000004</v>
      </c>
      <c r="I362" s="2">
        <v>10.11</v>
      </c>
      <c r="J362" s="2">
        <v>10.050000000000001</v>
      </c>
      <c r="K362" s="2">
        <v>9.94</v>
      </c>
      <c r="L362" s="2"/>
      <c r="M362" s="2">
        <v>-0.106</v>
      </c>
      <c r="O362" s="1">
        <v>34529</v>
      </c>
      <c r="P362" s="1">
        <v>553125</v>
      </c>
      <c r="R362" s="1">
        <v>2239</v>
      </c>
      <c r="S362" s="1">
        <v>1204</v>
      </c>
      <c r="T362" s="1">
        <f>O362/R362</f>
        <v>15.421616793211255</v>
      </c>
      <c r="U362" s="1">
        <f>P362/R362</f>
        <v>247.04108977221975</v>
      </c>
      <c r="V362" s="1">
        <f>ROUND(O362/P362*100,2)</f>
        <v>6.24</v>
      </c>
      <c r="W362" s="27">
        <f>V362-E362</f>
        <v>0</v>
      </c>
    </row>
    <row r="363" spans="1:23">
      <c r="A363" s="1">
        <v>2025</v>
      </c>
      <c r="B363" s="1" t="s">
        <v>85</v>
      </c>
      <c r="C363" s="1" t="s">
        <v>86</v>
      </c>
      <c r="D363" s="2">
        <v>5.49</v>
      </c>
      <c r="E363" s="2">
        <v>5.66</v>
      </c>
      <c r="F363" s="2">
        <v>0.06</v>
      </c>
      <c r="G363" s="2">
        <v>-0.23</v>
      </c>
      <c r="H363" s="2">
        <v>4.6500000000000004</v>
      </c>
      <c r="I363" s="2">
        <v>10.15</v>
      </c>
      <c r="J363" s="2">
        <v>10.16</v>
      </c>
      <c r="K363" s="2">
        <v>10.17</v>
      </c>
      <c r="L363" s="2"/>
      <c r="M363" s="2">
        <v>0.01</v>
      </c>
      <c r="O363" s="1">
        <v>102689</v>
      </c>
      <c r="P363" s="1">
        <v>1814632</v>
      </c>
      <c r="R363" s="1">
        <v>6982</v>
      </c>
      <c r="S363" s="1">
        <v>3530</v>
      </c>
      <c r="T363" s="1">
        <f>O363/R363</f>
        <v>14.707676883414495</v>
      </c>
      <c r="U363" s="1">
        <f>P363/R363</f>
        <v>259.90146089945574</v>
      </c>
      <c r="V363" s="1">
        <f>ROUND(O363/P363*100,2)</f>
        <v>5.66</v>
      </c>
      <c r="W363" s="27">
        <f>V363-E363</f>
        <v>0</v>
      </c>
    </row>
    <row r="364" spans="1:23">
      <c r="A364" s="1">
        <v>2025</v>
      </c>
      <c r="B364" s="1" t="s">
        <v>87</v>
      </c>
      <c r="C364" s="1" t="s">
        <v>88</v>
      </c>
      <c r="D364" s="2">
        <v>5.31</v>
      </c>
      <c r="E364" s="2">
        <v>5.41</v>
      </c>
      <c r="F364" s="2">
        <v>0.04</v>
      </c>
      <c r="G364" s="2">
        <v>-0.14000000000000001</v>
      </c>
      <c r="H364" s="2">
        <v>4.6500000000000004</v>
      </c>
      <c r="I364" s="2">
        <v>9.9600000000000009</v>
      </c>
      <c r="J364" s="2">
        <v>9.9600000000000009</v>
      </c>
      <c r="K364" s="2">
        <v>9.9700000000000006</v>
      </c>
      <c r="L364" s="2"/>
      <c r="M364" s="2">
        <v>0.01</v>
      </c>
      <c r="O364" s="1">
        <v>149727</v>
      </c>
      <c r="P364" s="1">
        <v>2768419</v>
      </c>
      <c r="R364" s="1">
        <v>10476</v>
      </c>
      <c r="S364" s="1">
        <v>5395</v>
      </c>
      <c r="T364" s="1">
        <f>O364/R364</f>
        <v>14.292382588774341</v>
      </c>
      <c r="U364" s="1">
        <f>P364/R364</f>
        <v>264.26298205421915</v>
      </c>
      <c r="V364" s="1">
        <f>ROUND(O364/P364*100,2)</f>
        <v>5.41</v>
      </c>
      <c r="W364" s="27">
        <f>V364-E364</f>
        <v>0</v>
      </c>
    </row>
    <row r="365" spans="1:23">
      <c r="A365" s="1">
        <v>2025</v>
      </c>
      <c r="B365" s="1" t="s">
        <v>89</v>
      </c>
      <c r="C365" s="1" t="s">
        <v>90</v>
      </c>
      <c r="D365" s="2">
        <v>5.56</v>
      </c>
      <c r="E365" s="2">
        <v>5.83</v>
      </c>
      <c r="F365" s="2">
        <v>-0.17</v>
      </c>
      <c r="G365" s="2">
        <v>-0.1</v>
      </c>
      <c r="H365" s="2">
        <v>4.6500000000000004</v>
      </c>
      <c r="I365" s="2">
        <v>10.210000000000001</v>
      </c>
      <c r="J365" s="2">
        <v>10.35</v>
      </c>
      <c r="K365" s="2">
        <v>10.36</v>
      </c>
      <c r="L365" s="2"/>
      <c r="M365" s="2">
        <v>0.01</v>
      </c>
      <c r="O365" s="1">
        <v>62541</v>
      </c>
      <c r="P365" s="1">
        <v>1072325</v>
      </c>
      <c r="R365" s="1">
        <v>4030</v>
      </c>
      <c r="S365" s="1">
        <v>2201</v>
      </c>
      <c r="T365" s="1">
        <f>O365/R365</f>
        <v>15.518858560794044</v>
      </c>
      <c r="U365" s="1">
        <f>P365/R365</f>
        <v>266.08560794044666</v>
      </c>
      <c r="V365" s="1">
        <f>ROUND(O365/P365*100,2)</f>
        <v>5.83</v>
      </c>
      <c r="W365" s="27">
        <f>V365-E365</f>
        <v>0</v>
      </c>
    </row>
    <row r="366" spans="1:23">
      <c r="A366" s="1">
        <v>2025</v>
      </c>
      <c r="B366" s="1" t="s">
        <v>91</v>
      </c>
      <c r="C366" s="1" t="s">
        <v>92</v>
      </c>
      <c r="D366" s="2">
        <v>5.73</v>
      </c>
      <c r="E366" s="2">
        <v>6.2</v>
      </c>
      <c r="F366" s="2">
        <v>-0.11</v>
      </c>
      <c r="G366" s="2">
        <v>-0.36</v>
      </c>
      <c r="H366" s="2">
        <v>4.6500000000000004</v>
      </c>
      <c r="I366" s="2">
        <v>10.38</v>
      </c>
      <c r="J366" s="2">
        <v>10.49</v>
      </c>
      <c r="K366" s="2">
        <v>10.47</v>
      </c>
      <c r="L366" s="2"/>
      <c r="M366" s="2">
        <v>-2.5000000000000001E-2</v>
      </c>
      <c r="O366" s="1">
        <v>40110</v>
      </c>
      <c r="P366" s="1">
        <v>647000</v>
      </c>
      <c r="R366" s="1">
        <v>2546</v>
      </c>
      <c r="S366" s="1">
        <v>1342</v>
      </c>
      <c r="T366" s="1">
        <f>O366/R366</f>
        <v>15.754124116260801</v>
      </c>
      <c r="U366" s="1">
        <f>P366/R366</f>
        <v>254.12411626080126</v>
      </c>
      <c r="V366" s="1">
        <f>ROUND(O366/P366*100,2)</f>
        <v>6.2</v>
      </c>
      <c r="W366" s="27">
        <f>V366-E366</f>
        <v>0</v>
      </c>
    </row>
    <row r="367" spans="1:23">
      <c r="A367" s="1">
        <v>2025</v>
      </c>
      <c r="B367" s="1" t="s">
        <v>93</v>
      </c>
      <c r="C367" s="1" t="s">
        <v>94</v>
      </c>
      <c r="D367" s="2">
        <v>5.59</v>
      </c>
      <c r="E367" s="2">
        <v>5.99</v>
      </c>
      <c r="F367" s="2">
        <v>-0.05</v>
      </c>
      <c r="G367" s="2">
        <v>-0.35</v>
      </c>
      <c r="H367" s="2">
        <v>4.6500000000000004</v>
      </c>
      <c r="I367" s="2">
        <v>10.24</v>
      </c>
      <c r="J367" s="2">
        <v>10.199999999999999</v>
      </c>
      <c r="K367" s="2">
        <v>10.210000000000001</v>
      </c>
      <c r="L367" s="2"/>
      <c r="M367" s="2">
        <v>0.01</v>
      </c>
      <c r="O367" s="1">
        <v>55436</v>
      </c>
      <c r="P367" s="1">
        <v>926064</v>
      </c>
      <c r="R367" s="1">
        <v>3640</v>
      </c>
      <c r="S367" s="1">
        <v>1890</v>
      </c>
      <c r="T367" s="1">
        <f>O367/R367</f>
        <v>15.229670329670329</v>
      </c>
      <c r="U367" s="1">
        <f>P367/R367</f>
        <v>254.41318681318683</v>
      </c>
      <c r="V367" s="1">
        <f>ROUND(O367/P367*100,2)</f>
        <v>5.99</v>
      </c>
      <c r="W367" s="27">
        <f>V367-E367</f>
        <v>0</v>
      </c>
    </row>
    <row r="368" spans="1:23">
      <c r="A368" s="1">
        <v>2025</v>
      </c>
      <c r="B368" s="1" t="s">
        <v>95</v>
      </c>
      <c r="C368" s="1" t="s">
        <v>96</v>
      </c>
      <c r="D368" s="2">
        <v>5.47</v>
      </c>
      <c r="E368" s="2">
        <v>5.95</v>
      </c>
      <c r="F368" s="2">
        <v>-0.01</v>
      </c>
      <c r="G368" s="2">
        <v>-0.47</v>
      </c>
      <c r="H368" s="2">
        <v>4.6500000000000004</v>
      </c>
      <c r="I368" s="2">
        <v>10.119999999999999</v>
      </c>
      <c r="J368" s="2">
        <v>10.17</v>
      </c>
      <c r="K368" s="2">
        <v>10.18</v>
      </c>
      <c r="L368" s="2"/>
      <c r="M368" s="2">
        <v>0.01</v>
      </c>
      <c r="O368" s="1">
        <v>73494</v>
      </c>
      <c r="P368" s="1">
        <v>1235887</v>
      </c>
      <c r="R368" s="1">
        <v>4959</v>
      </c>
      <c r="S368" s="1">
        <v>2573</v>
      </c>
      <c r="T368" s="1">
        <f>O368/R368</f>
        <v>14.820326678765881</v>
      </c>
      <c r="U368" s="1">
        <f>P368/R368</f>
        <v>249.2210123008671</v>
      </c>
      <c r="V368" s="1">
        <f>ROUND(O368/P368*100,2)</f>
        <v>5.95</v>
      </c>
      <c r="W368" s="27">
        <f>V368-E368</f>
        <v>0</v>
      </c>
    </row>
    <row r="369" spans="1:23">
      <c r="A369" s="1">
        <v>2025</v>
      </c>
      <c r="B369" s="1" t="s">
        <v>97</v>
      </c>
      <c r="C369" s="1" t="s">
        <v>98</v>
      </c>
      <c r="D369" s="2">
        <v>5.48</v>
      </c>
      <c r="E369" s="2">
        <v>6.03</v>
      </c>
      <c r="F369" s="2">
        <v>-0.17</v>
      </c>
      <c r="G369" s="2">
        <v>-0.39</v>
      </c>
      <c r="H369" s="2">
        <v>4.6500000000000004</v>
      </c>
      <c r="I369" s="2">
        <v>10.130000000000001</v>
      </c>
      <c r="J369" s="2">
        <v>10.119999999999999</v>
      </c>
      <c r="K369" s="2">
        <v>10.130000000000001</v>
      </c>
      <c r="L369" s="2"/>
      <c r="M369" s="2">
        <v>0.01</v>
      </c>
      <c r="O369" s="1">
        <v>35562</v>
      </c>
      <c r="P369" s="1">
        <v>589444</v>
      </c>
      <c r="R369" s="1">
        <v>2331</v>
      </c>
      <c r="S369" s="1">
        <v>1270</v>
      </c>
      <c r="T369" s="1">
        <f>O369/R369</f>
        <v>15.256113256113256</v>
      </c>
      <c r="U369" s="1">
        <f>P369/R369</f>
        <v>252.87172887172886</v>
      </c>
      <c r="V369" s="1">
        <f>ROUND(O369/P369*100,2)</f>
        <v>6.03</v>
      </c>
      <c r="W369" s="27">
        <f>V369-E369</f>
        <v>0</v>
      </c>
    </row>
    <row r="370" spans="1:23">
      <c r="A370" s="1">
        <v>2025</v>
      </c>
      <c r="B370" s="1" t="s">
        <v>99</v>
      </c>
      <c r="C370" s="1" t="s">
        <v>100</v>
      </c>
      <c r="D370" s="2">
        <v>5.65</v>
      </c>
      <c r="E370" s="2">
        <v>5.9</v>
      </c>
      <c r="F370" s="2">
        <v>0.04</v>
      </c>
      <c r="G370" s="2">
        <v>-0.28999999999999998</v>
      </c>
      <c r="H370" s="2">
        <v>4.6500000000000004</v>
      </c>
      <c r="I370" s="2">
        <v>10.3</v>
      </c>
      <c r="J370" s="2">
        <v>10.3</v>
      </c>
      <c r="K370" s="2">
        <v>10.31</v>
      </c>
      <c r="L370" s="2"/>
      <c r="M370" s="2">
        <v>0.01</v>
      </c>
      <c r="O370" s="1">
        <v>286132</v>
      </c>
      <c r="P370" s="1">
        <v>4846309</v>
      </c>
      <c r="R370" s="1">
        <v>18856</v>
      </c>
      <c r="S370" s="1">
        <v>9461</v>
      </c>
      <c r="T370" s="1">
        <f>O370/R370</f>
        <v>15.174586338565973</v>
      </c>
      <c r="U370" s="1">
        <f>P370/R370</f>
        <v>257.01681162494697</v>
      </c>
      <c r="V370" s="1">
        <f>ROUND(O370/P370*100,2)</f>
        <v>5.9</v>
      </c>
      <c r="W370" s="27">
        <f>V370-E370</f>
        <v>0</v>
      </c>
    </row>
    <row r="371" spans="1:23">
      <c r="A371" s="1">
        <v>2025</v>
      </c>
      <c r="B371" s="1" t="s">
        <v>101</v>
      </c>
      <c r="C371" s="1" t="s">
        <v>102</v>
      </c>
      <c r="D371" s="2">
        <v>6.06</v>
      </c>
      <c r="E371" s="2">
        <v>6.93</v>
      </c>
      <c r="F371" s="2">
        <v>-0.19</v>
      </c>
      <c r="G371" s="2">
        <v>-0.68</v>
      </c>
      <c r="H371" s="2">
        <v>4.6500000000000004</v>
      </c>
      <c r="I371" s="2">
        <v>10.71</v>
      </c>
      <c r="J371" s="2">
        <v>10.77</v>
      </c>
      <c r="K371" s="2">
        <v>10.78</v>
      </c>
      <c r="L371" s="2"/>
      <c r="M371" s="2">
        <v>0.01</v>
      </c>
      <c r="O371" s="1">
        <v>46552</v>
      </c>
      <c r="P371" s="1">
        <v>671525</v>
      </c>
      <c r="R371" s="1">
        <v>2794</v>
      </c>
      <c r="S371" s="1">
        <v>1435</v>
      </c>
      <c r="T371" s="1">
        <f>O371/R371</f>
        <v>16.661417322834644</v>
      </c>
      <c r="U371" s="1">
        <f>P371/R371</f>
        <v>240.34538296349319</v>
      </c>
      <c r="V371" s="1">
        <f>ROUND(O371/P371*100,2)</f>
        <v>6.93</v>
      </c>
      <c r="W371" s="27">
        <f>V371-E371</f>
        <v>0</v>
      </c>
    </row>
    <row r="372" spans="1:23">
      <c r="A372" s="1">
        <v>2025</v>
      </c>
      <c r="B372" s="1" t="s">
        <v>103</v>
      </c>
      <c r="C372" s="1" t="s">
        <v>104</v>
      </c>
      <c r="D372" s="2">
        <v>5.67</v>
      </c>
      <c r="E372" s="2">
        <v>6.7</v>
      </c>
      <c r="F372" s="2">
        <v>-0.27</v>
      </c>
      <c r="G372" s="2">
        <v>-0.76</v>
      </c>
      <c r="H372" s="2">
        <v>4.6500000000000004</v>
      </c>
      <c r="I372" s="2">
        <v>10.33</v>
      </c>
      <c r="J372" s="2">
        <v>10.4</v>
      </c>
      <c r="K372" s="2">
        <v>10.41</v>
      </c>
      <c r="L372" s="2"/>
      <c r="M372" s="2">
        <v>0.01</v>
      </c>
      <c r="O372" s="1">
        <v>68580</v>
      </c>
      <c r="P372" s="1">
        <v>1024037</v>
      </c>
      <c r="R372" s="1">
        <v>4313</v>
      </c>
      <c r="S372" s="1">
        <v>2297</v>
      </c>
      <c r="T372" s="1">
        <f>O372/R372</f>
        <v>15.900765128680733</v>
      </c>
      <c r="U372" s="1">
        <f>P372/R372</f>
        <v>237.43032691861814</v>
      </c>
      <c r="V372" s="1">
        <f>ROUND(O372/P372*100,2)</f>
        <v>6.7</v>
      </c>
      <c r="W372" s="27">
        <f>V372-E372</f>
        <v>0</v>
      </c>
    </row>
    <row r="373" spans="1:23">
      <c r="A373" s="1">
        <v>2025</v>
      </c>
      <c r="B373" s="1" t="s">
        <v>105</v>
      </c>
      <c r="C373" s="1" t="s">
        <v>106</v>
      </c>
      <c r="D373" s="2">
        <v>5.64</v>
      </c>
      <c r="E373" s="2">
        <v>6.34</v>
      </c>
      <c r="F373" s="2">
        <v>-0.1</v>
      </c>
      <c r="G373" s="2">
        <v>-0.6</v>
      </c>
      <c r="H373" s="2">
        <v>4.6500000000000004</v>
      </c>
      <c r="I373" s="2">
        <v>10.29</v>
      </c>
      <c r="J373" s="2">
        <v>10.26</v>
      </c>
      <c r="K373" s="2">
        <v>10.119999999999999</v>
      </c>
      <c r="L373" s="2"/>
      <c r="M373" s="2">
        <v>-0.13700000000000001</v>
      </c>
      <c r="O373" s="1">
        <v>93665</v>
      </c>
      <c r="P373" s="1">
        <v>1477217</v>
      </c>
      <c r="R373" s="1">
        <v>6060</v>
      </c>
      <c r="S373" s="1">
        <v>3066</v>
      </c>
      <c r="T373" s="1">
        <f>O373/R373</f>
        <v>15.456270627062706</v>
      </c>
      <c r="U373" s="1">
        <f>P373/R373</f>
        <v>243.76518151815182</v>
      </c>
      <c r="V373" s="1">
        <f>ROUND(O373/P373*100,2)</f>
        <v>6.34</v>
      </c>
      <c r="W373" s="27">
        <f>V373-E373</f>
        <v>0</v>
      </c>
    </row>
    <row r="374" spans="1:23">
      <c r="A374" s="1">
        <v>2025</v>
      </c>
      <c r="B374" s="1" t="s">
        <v>107</v>
      </c>
      <c r="C374" s="1" t="s">
        <v>108</v>
      </c>
      <c r="D374" s="2">
        <v>5.62</v>
      </c>
      <c r="E374" s="2">
        <v>6.41</v>
      </c>
      <c r="F374" s="2">
        <v>-0.22</v>
      </c>
      <c r="G374" s="2">
        <v>-0.56999999999999995</v>
      </c>
      <c r="H374" s="2">
        <v>4.6500000000000004</v>
      </c>
      <c r="I374" s="2">
        <v>10.27</v>
      </c>
      <c r="J374" s="2">
        <v>10.29</v>
      </c>
      <c r="K374" s="2">
        <v>10.25</v>
      </c>
      <c r="L374" s="2"/>
      <c r="M374" s="2">
        <v>-4.8000000000000001E-2</v>
      </c>
      <c r="O374" s="1">
        <v>61836</v>
      </c>
      <c r="P374" s="1">
        <v>965036</v>
      </c>
      <c r="R374" s="1">
        <v>3940</v>
      </c>
      <c r="S374" s="1">
        <v>2100</v>
      </c>
      <c r="T374" s="1">
        <f>O374/R374</f>
        <v>15.694416243654823</v>
      </c>
      <c r="U374" s="1">
        <f>P374/R374</f>
        <v>244.93299492385788</v>
      </c>
      <c r="V374" s="1">
        <f>ROUND(O374/P374*100,2)</f>
        <v>6.41</v>
      </c>
      <c r="W374" s="27">
        <f>V374-E374</f>
        <v>0</v>
      </c>
    </row>
    <row r="375" spans="1:23">
      <c r="A375" s="1">
        <v>2025</v>
      </c>
      <c r="B375" s="1" t="s">
        <v>109</v>
      </c>
      <c r="C375" s="1" t="s">
        <v>110</v>
      </c>
      <c r="D375" s="2">
        <v>5.33</v>
      </c>
      <c r="E375" s="2">
        <v>6.21</v>
      </c>
      <c r="F375" s="2">
        <v>-0.13</v>
      </c>
      <c r="G375" s="2">
        <v>-0.75</v>
      </c>
      <c r="H375" s="2">
        <v>4.6500000000000004</v>
      </c>
      <c r="I375" s="2">
        <v>9.99</v>
      </c>
      <c r="J375" s="2">
        <v>10.14</v>
      </c>
      <c r="K375" s="2">
        <v>10.09</v>
      </c>
      <c r="L375" s="2"/>
      <c r="M375" s="2">
        <v>-4.8000000000000001E-2</v>
      </c>
      <c r="O375" s="1">
        <v>57996</v>
      </c>
      <c r="P375" s="1">
        <v>933168</v>
      </c>
      <c r="R375" s="1">
        <v>3924</v>
      </c>
      <c r="S375" s="1">
        <v>2017</v>
      </c>
      <c r="T375" s="1">
        <f>O375/R375</f>
        <v>14.779816513761467</v>
      </c>
      <c r="U375" s="1">
        <f>P375/R375</f>
        <v>237.81039755351682</v>
      </c>
      <c r="V375" s="1">
        <f>ROUND(O375/P375*100,2)</f>
        <v>6.21</v>
      </c>
      <c r="W375" s="27">
        <f>V375-E375</f>
        <v>0</v>
      </c>
    </row>
    <row r="376" spans="1:23">
      <c r="A376" s="1">
        <v>2025</v>
      </c>
      <c r="B376" s="1" t="s">
        <v>111</v>
      </c>
      <c r="C376" s="1" t="s">
        <v>112</v>
      </c>
      <c r="D376" s="2">
        <v>5.64</v>
      </c>
      <c r="E376" s="2">
        <v>6.65</v>
      </c>
      <c r="F376" s="2">
        <v>-0.12</v>
      </c>
      <c r="G376" s="2">
        <v>-0.9</v>
      </c>
      <c r="H376" s="2">
        <v>4.6500000000000004</v>
      </c>
      <c r="I376" s="2">
        <v>10.29</v>
      </c>
      <c r="J376" s="2">
        <v>10.3</v>
      </c>
      <c r="K376" s="2">
        <v>10.31</v>
      </c>
      <c r="L376" s="2"/>
      <c r="M376" s="2">
        <v>0.01</v>
      </c>
      <c r="O376" s="1">
        <v>92510</v>
      </c>
      <c r="P376" s="1">
        <v>1390162</v>
      </c>
      <c r="R376" s="1">
        <v>5991</v>
      </c>
      <c r="S376" s="1">
        <v>3019</v>
      </c>
      <c r="T376" s="1">
        <f>O376/R376</f>
        <v>15.441495576698381</v>
      </c>
      <c r="U376" s="1">
        <f>P376/R376</f>
        <v>232.0417292605575</v>
      </c>
      <c r="V376" s="1">
        <f>ROUND(O376/P376*100,2)</f>
        <v>6.65</v>
      </c>
      <c r="W376" s="27">
        <f>V376-E376</f>
        <v>0</v>
      </c>
    </row>
    <row r="377" spans="1:23">
      <c r="A377" s="1">
        <v>2025</v>
      </c>
      <c r="B377" s="1" t="s">
        <v>113</v>
      </c>
      <c r="C377" s="1" t="s">
        <v>114</v>
      </c>
      <c r="D377" s="2">
        <v>5.03</v>
      </c>
      <c r="E377" s="2">
        <v>6.41</v>
      </c>
      <c r="F377" s="2">
        <v>0.11</v>
      </c>
      <c r="G377" s="2">
        <v>-1.48</v>
      </c>
      <c r="H377" s="2">
        <v>4.6500000000000004</v>
      </c>
      <c r="I377" s="2">
        <v>9.69</v>
      </c>
      <c r="J377" s="2">
        <v>9.44</v>
      </c>
      <c r="K377" s="2">
        <v>9.44</v>
      </c>
      <c r="L377" s="2"/>
      <c r="M377" s="2">
        <v>-2E-3</v>
      </c>
      <c r="O377" s="1">
        <v>78124</v>
      </c>
      <c r="P377" s="1">
        <v>1218963</v>
      </c>
      <c r="R377" s="1">
        <v>5743</v>
      </c>
      <c r="S377" s="1">
        <v>2665</v>
      </c>
      <c r="T377" s="1">
        <f>O377/R377</f>
        <v>13.6033432004179</v>
      </c>
      <c r="U377" s="1">
        <f>P377/R377</f>
        <v>212.25195890649488</v>
      </c>
      <c r="V377" s="1">
        <f>ROUND(O377/P377*100,2)</f>
        <v>6.41</v>
      </c>
      <c r="W377" s="27">
        <f>V377-E377</f>
        <v>0</v>
      </c>
    </row>
    <row r="378" spans="1:23">
      <c r="A378" s="1">
        <v>2026</v>
      </c>
      <c r="B378" s="1" t="s">
        <v>21</v>
      </c>
      <c r="C378" s="1" t="s">
        <v>22</v>
      </c>
      <c r="D378" s="2">
        <v>5.69</v>
      </c>
      <c r="E378" s="2">
        <v>6.21</v>
      </c>
      <c r="F378" s="2">
        <v>-0.33</v>
      </c>
      <c r="G378" s="2">
        <v>-0.19</v>
      </c>
      <c r="H378" s="2">
        <v>4.55</v>
      </c>
      <c r="I378" s="2">
        <v>10.24</v>
      </c>
      <c r="J378" s="2"/>
      <c r="K378" s="2">
        <v>10.28</v>
      </c>
      <c r="L378" s="2">
        <v>0.03</v>
      </c>
      <c r="M378" s="2">
        <v>0.01</v>
      </c>
      <c r="O378" s="1">
        <v>285581</v>
      </c>
      <c r="P378" s="1">
        <v>4598081</v>
      </c>
      <c r="R378" s="1">
        <v>16878</v>
      </c>
      <c r="S378" s="1">
        <v>9590</v>
      </c>
      <c r="T378" s="1">
        <f>O378/R378</f>
        <v>16.920310463325038</v>
      </c>
      <c r="U378" s="1">
        <f>P378/R378</f>
        <v>272.43044199549712</v>
      </c>
      <c r="V378" s="1">
        <f>ROUND(O378/P378*100,2)</f>
        <v>6.21</v>
      </c>
      <c r="W378" s="27">
        <f>V378-E378</f>
        <v>0</v>
      </c>
    </row>
    <row r="379" spans="1:23">
      <c r="A379" s="1">
        <v>2026</v>
      </c>
      <c r="B379" s="1" t="s">
        <v>23</v>
      </c>
      <c r="C379" s="1" t="s">
        <v>24</v>
      </c>
      <c r="D379" s="2">
        <v>5.19</v>
      </c>
      <c r="E379" s="2">
        <v>6.38</v>
      </c>
      <c r="F379" s="2">
        <v>-0.41</v>
      </c>
      <c r="G379" s="2">
        <v>-0.77</v>
      </c>
      <c r="H379" s="2">
        <v>4.55</v>
      </c>
      <c r="I379" s="2">
        <v>9.74</v>
      </c>
      <c r="J379" s="2"/>
      <c r="K379" s="2">
        <v>9.86</v>
      </c>
      <c r="L379" s="2">
        <v>0.11</v>
      </c>
      <c r="M379" s="2">
        <v>0.01</v>
      </c>
      <c r="O379" s="1">
        <v>64474</v>
      </c>
      <c r="P379" s="1">
        <v>1010961</v>
      </c>
      <c r="R379" s="1">
        <v>4103</v>
      </c>
      <c r="S379" s="1">
        <v>2374</v>
      </c>
      <c r="T379" s="1">
        <f>O379/R379</f>
        <v>15.713867901535462</v>
      </c>
      <c r="U379" s="1">
        <f>P379/R379</f>
        <v>246.3955642213015</v>
      </c>
      <c r="V379" s="1">
        <f>ROUND(O379/P379*100,2)</f>
        <v>6.38</v>
      </c>
      <c r="W379" s="27">
        <f>V379-E379</f>
        <v>0</v>
      </c>
    </row>
    <row r="380" spans="1:23">
      <c r="A380" s="1">
        <v>2026</v>
      </c>
      <c r="B380" s="1" t="s">
        <v>25</v>
      </c>
      <c r="C380" s="1" t="s">
        <v>26</v>
      </c>
      <c r="D380" s="2">
        <v>5.01</v>
      </c>
      <c r="E380" s="2">
        <v>6.02</v>
      </c>
      <c r="F380" s="2">
        <v>-0.37</v>
      </c>
      <c r="G380" s="2">
        <v>-0.64</v>
      </c>
      <c r="H380" s="2">
        <v>4.55</v>
      </c>
      <c r="I380" s="2">
        <v>9.56</v>
      </c>
      <c r="J380" s="2"/>
      <c r="K380" s="2">
        <v>9.51</v>
      </c>
      <c r="L380" s="2">
        <v>-0.06</v>
      </c>
      <c r="M380" s="2">
        <v>0</v>
      </c>
      <c r="O380" s="1">
        <v>56283</v>
      </c>
      <c r="P380" s="1">
        <v>934772</v>
      </c>
      <c r="R380" s="1">
        <v>3710</v>
      </c>
      <c r="S380" s="1">
        <v>2102</v>
      </c>
      <c r="T380" s="1">
        <f>O380/R380</f>
        <v>15.170619946091644</v>
      </c>
      <c r="U380" s="1">
        <f>P380/R380</f>
        <v>251.9601078167116</v>
      </c>
      <c r="V380" s="1">
        <f>ROUND(O380/P380*100,2)</f>
        <v>6.02</v>
      </c>
      <c r="W380" s="27">
        <f>V380-E380</f>
        <v>0</v>
      </c>
    </row>
    <row r="381" spans="1:23">
      <c r="A381" s="1">
        <v>2026</v>
      </c>
      <c r="B381" s="1" t="s">
        <v>27</v>
      </c>
      <c r="C381" s="1" t="s">
        <v>28</v>
      </c>
      <c r="D381" s="2">
        <v>5.48</v>
      </c>
      <c r="E381" s="2">
        <v>5.99</v>
      </c>
      <c r="F381" s="2">
        <v>-0.16</v>
      </c>
      <c r="G381" s="2">
        <v>-0.35</v>
      </c>
      <c r="H381" s="2">
        <v>4.55</v>
      </c>
      <c r="I381" s="2">
        <v>10.029999999999999</v>
      </c>
      <c r="J381" s="2"/>
      <c r="K381" s="2">
        <v>10.1</v>
      </c>
      <c r="L381" s="2">
        <v>0.06</v>
      </c>
      <c r="M381" s="2">
        <v>0.01</v>
      </c>
      <c r="O381" s="1">
        <v>109889</v>
      </c>
      <c r="P381" s="1">
        <v>1834654</v>
      </c>
      <c r="R381" s="1">
        <v>6924</v>
      </c>
      <c r="S381" s="1">
        <v>3759</v>
      </c>
      <c r="T381" s="1">
        <f>O381/R381</f>
        <v>15.870739456961294</v>
      </c>
      <c r="U381" s="1">
        <f>P381/R381</f>
        <v>264.97024841132293</v>
      </c>
      <c r="V381" s="1">
        <f>ROUND(O381/P381*100,2)</f>
        <v>5.99</v>
      </c>
      <c r="W381" s="27">
        <f>V381-E381</f>
        <v>0</v>
      </c>
    </row>
    <row r="382" spans="1:23">
      <c r="A382" s="1">
        <v>2026</v>
      </c>
      <c r="B382" s="1" t="s">
        <v>29</v>
      </c>
      <c r="C382" s="1" t="s">
        <v>30</v>
      </c>
      <c r="D382" s="2">
        <v>5.46</v>
      </c>
      <c r="E382" s="2">
        <v>6.81</v>
      </c>
      <c r="F382" s="2">
        <v>-0.66</v>
      </c>
      <c r="G382" s="2">
        <v>-0.69</v>
      </c>
      <c r="H382" s="2">
        <v>4.55</v>
      </c>
      <c r="I382" s="2">
        <v>10.01</v>
      </c>
      <c r="J382" s="2"/>
      <c r="K382" s="2">
        <v>10.02</v>
      </c>
      <c r="L382" s="2">
        <v>0.04</v>
      </c>
      <c r="M382" s="2">
        <v>-0.03</v>
      </c>
      <c r="O382" s="1">
        <v>49818</v>
      </c>
      <c r="P382" s="1">
        <v>731356</v>
      </c>
      <c r="R382" s="1">
        <v>2925</v>
      </c>
      <c r="S382" s="1">
        <v>1761</v>
      </c>
      <c r="T382" s="1">
        <f>O382/R382</f>
        <v>17.031794871794872</v>
      </c>
      <c r="U382" s="1">
        <f>P382/R382</f>
        <v>250.03623931623932</v>
      </c>
      <c r="V382" s="1">
        <f>ROUND(O382/P382*100,2)</f>
        <v>6.81</v>
      </c>
      <c r="W382" s="27">
        <f>V382-E382</f>
        <v>0</v>
      </c>
    </row>
    <row r="383" spans="1:23">
      <c r="A383" s="1">
        <v>2026</v>
      </c>
      <c r="B383" s="1" t="s">
        <v>31</v>
      </c>
      <c r="C383" s="1" t="s">
        <v>32</v>
      </c>
      <c r="D383" s="2">
        <v>5.32</v>
      </c>
      <c r="E383" s="2">
        <v>6.15</v>
      </c>
      <c r="F383" s="2">
        <v>-0.33</v>
      </c>
      <c r="G383" s="2">
        <v>-0.5</v>
      </c>
      <c r="H383" s="2">
        <v>4.55</v>
      </c>
      <c r="I383" s="2">
        <v>9.8699999999999992</v>
      </c>
      <c r="J383" s="2"/>
      <c r="K383" s="2">
        <v>9.7899999999999991</v>
      </c>
      <c r="L383" s="2">
        <v>-0.04</v>
      </c>
      <c r="M383" s="2">
        <v>-0.04</v>
      </c>
      <c r="O383" s="1">
        <v>57521</v>
      </c>
      <c r="P383" s="1">
        <v>934604</v>
      </c>
      <c r="R383" s="1">
        <v>3625</v>
      </c>
      <c r="S383" s="1">
        <v>2015</v>
      </c>
      <c r="T383" s="1">
        <f>O383/R383</f>
        <v>15.867862068965517</v>
      </c>
      <c r="U383" s="1">
        <f>P383/R383</f>
        <v>257.82179310344827</v>
      </c>
      <c r="V383" s="1">
        <f>ROUND(O383/P383*100,2)</f>
        <v>6.15</v>
      </c>
      <c r="W383" s="27">
        <f>V383-E383</f>
        <v>0</v>
      </c>
    </row>
    <row r="384" spans="1:23">
      <c r="A384" s="1">
        <v>2026</v>
      </c>
      <c r="B384" s="1" t="s">
        <v>33</v>
      </c>
      <c r="C384" s="1" t="s">
        <v>34</v>
      </c>
      <c r="D384" s="2">
        <v>4.95</v>
      </c>
      <c r="E384" s="2">
        <v>5.48</v>
      </c>
      <c r="F384" s="2">
        <v>-0.21</v>
      </c>
      <c r="G384" s="2">
        <v>-0.32</v>
      </c>
      <c r="H384" s="2">
        <v>4.55</v>
      </c>
      <c r="I384" s="2">
        <v>9.5</v>
      </c>
      <c r="J384" s="2"/>
      <c r="K384" s="2">
        <v>9.5</v>
      </c>
      <c r="L384" s="2">
        <v>0.02</v>
      </c>
      <c r="M384" s="2">
        <v>-0.01</v>
      </c>
      <c r="O384" s="1">
        <v>90594</v>
      </c>
      <c r="P384" s="1">
        <v>1654213</v>
      </c>
      <c r="R384" s="1">
        <v>6213</v>
      </c>
      <c r="S384" s="1">
        <v>3365</v>
      </c>
      <c r="T384" s="1">
        <f>O384/R384</f>
        <v>14.581361661033318</v>
      </c>
      <c r="U384" s="1">
        <f>P384/R384</f>
        <v>266.25028166747143</v>
      </c>
      <c r="V384" s="1">
        <f>ROUND(O384/P384*100,2)</f>
        <v>5.48</v>
      </c>
      <c r="W384" s="27">
        <f>V384-E384</f>
        <v>0</v>
      </c>
    </row>
    <row r="385" spans="1:23">
      <c r="A385" s="1">
        <v>2026</v>
      </c>
      <c r="B385" s="1" t="s">
        <v>35</v>
      </c>
      <c r="C385" s="1" t="s">
        <v>36</v>
      </c>
      <c r="D385" s="2">
        <v>5.01</v>
      </c>
      <c r="E385" s="2">
        <v>5.0599999999999996</v>
      </c>
      <c r="F385" s="2">
        <v>-0.05</v>
      </c>
      <c r="G385" s="2">
        <v>0</v>
      </c>
      <c r="H385" s="2">
        <v>4.55</v>
      </c>
      <c r="I385" s="2">
        <v>9.56</v>
      </c>
      <c r="J385" s="2"/>
      <c r="K385" s="2">
        <v>9.52</v>
      </c>
      <c r="L385" s="2">
        <v>-0.05</v>
      </c>
      <c r="M385" s="2">
        <v>0.01</v>
      </c>
      <c r="O385" s="1">
        <v>100749</v>
      </c>
      <c r="P385" s="1">
        <v>1991734</v>
      </c>
      <c r="R385" s="1">
        <v>7062</v>
      </c>
      <c r="S385" s="1">
        <v>3755</v>
      </c>
      <c r="T385" s="1">
        <f>O385/R385</f>
        <v>14.266355140186915</v>
      </c>
      <c r="U385" s="1">
        <f>P385/R385</f>
        <v>282.0354007363353</v>
      </c>
      <c r="V385" s="1">
        <f>ROUND(O385/P385*100,2)</f>
        <v>5.0599999999999996</v>
      </c>
      <c r="W385" s="27">
        <f>V385-E385</f>
        <v>0</v>
      </c>
    </row>
    <row r="386" spans="1:23">
      <c r="A386" s="1">
        <v>2026</v>
      </c>
      <c r="B386" s="1" t="s">
        <v>37</v>
      </c>
      <c r="C386" s="1" t="s">
        <v>38</v>
      </c>
      <c r="D386" s="2">
        <v>5.25</v>
      </c>
      <c r="E386" s="2">
        <v>5.43</v>
      </c>
      <c r="F386" s="2">
        <v>-0.09</v>
      </c>
      <c r="G386" s="2">
        <v>-0.09</v>
      </c>
      <c r="H386" s="2">
        <v>4.55</v>
      </c>
      <c r="I386" s="2">
        <v>9.7899999999999991</v>
      </c>
      <c r="J386" s="2"/>
      <c r="K386" s="2">
        <v>9.83</v>
      </c>
      <c r="L386" s="2">
        <v>0.03</v>
      </c>
      <c r="M386" s="2">
        <v>0.01</v>
      </c>
      <c r="O386" s="1">
        <v>79419</v>
      </c>
      <c r="P386" s="1">
        <v>1463259</v>
      </c>
      <c r="R386" s="1">
        <v>5276</v>
      </c>
      <c r="S386" s="1">
        <v>2847</v>
      </c>
      <c r="T386" s="1">
        <f>O386/R386</f>
        <v>15.052880970432145</v>
      </c>
      <c r="U386" s="1">
        <f>P386/R386</f>
        <v>277.34249431387417</v>
      </c>
      <c r="V386" s="1">
        <f>ROUND(O386/P386*100,2)</f>
        <v>5.43</v>
      </c>
      <c r="W386" s="27">
        <f>V386-E386</f>
        <v>0</v>
      </c>
    </row>
    <row r="387" spans="1:23">
      <c r="A387" s="1">
        <v>2026</v>
      </c>
      <c r="B387" s="1" t="s">
        <v>39</v>
      </c>
      <c r="C387" s="1" t="s">
        <v>40</v>
      </c>
      <c r="D387" s="2">
        <v>5.13</v>
      </c>
      <c r="E387" s="2">
        <v>5.24</v>
      </c>
      <c r="F387" s="2">
        <v>-0.02</v>
      </c>
      <c r="G387" s="2">
        <v>-0.09</v>
      </c>
      <c r="H387" s="2">
        <v>4.55</v>
      </c>
      <c r="I387" s="2">
        <v>9.68</v>
      </c>
      <c r="J387" s="2"/>
      <c r="K387" s="2">
        <v>9.68</v>
      </c>
      <c r="L387" s="2">
        <v>-0.01</v>
      </c>
      <c r="M387" s="2">
        <v>0.01</v>
      </c>
      <c r="O387" s="1">
        <v>89566</v>
      </c>
      <c r="P387" s="1">
        <v>1709988</v>
      </c>
      <c r="R387" s="1">
        <v>6161</v>
      </c>
      <c r="S387" s="1">
        <v>3264</v>
      </c>
      <c r="T387" s="1">
        <f>O387/R387</f>
        <v>14.537575068982308</v>
      </c>
      <c r="U387" s="1">
        <f>P387/R387</f>
        <v>277.5503976627171</v>
      </c>
      <c r="V387" s="1">
        <f>ROUND(O387/P387*100,2)</f>
        <v>5.24</v>
      </c>
      <c r="W387" s="27">
        <f>V387-E387</f>
        <v>0</v>
      </c>
    </row>
    <row r="388" spans="1:23">
      <c r="A388" s="1">
        <v>2026</v>
      </c>
      <c r="B388" s="1" t="s">
        <v>41</v>
      </c>
      <c r="C388" s="1" t="s">
        <v>42</v>
      </c>
      <c r="D388" s="2">
        <v>5.12</v>
      </c>
      <c r="E388" s="2">
        <v>5.03</v>
      </c>
      <c r="F388" s="2">
        <v>-0.02</v>
      </c>
      <c r="G388" s="2">
        <v>0.1</v>
      </c>
      <c r="H388" s="2">
        <v>4.55</v>
      </c>
      <c r="I388" s="2">
        <v>9.66</v>
      </c>
      <c r="J388" s="2"/>
      <c r="K388" s="2">
        <v>9.67</v>
      </c>
      <c r="L388" s="2">
        <v>0</v>
      </c>
      <c r="M388" s="2">
        <v>0.01</v>
      </c>
      <c r="O388" s="1">
        <v>208126</v>
      </c>
      <c r="P388" s="1">
        <v>4134084</v>
      </c>
      <c r="R388" s="1">
        <v>14387</v>
      </c>
      <c r="S388" s="1">
        <v>7731</v>
      </c>
      <c r="T388" s="1">
        <f>O388/R388</f>
        <v>14.466254257315633</v>
      </c>
      <c r="U388" s="1">
        <f>P388/R388</f>
        <v>287.34857857788279</v>
      </c>
      <c r="V388" s="1">
        <f>ROUND(O388/P388*100,2)</f>
        <v>5.03</v>
      </c>
      <c r="W388" s="27">
        <f>V388-E388</f>
        <v>0</v>
      </c>
    </row>
    <row r="389" spans="1:23">
      <c r="A389" s="1">
        <v>2026</v>
      </c>
      <c r="B389" s="1" t="s">
        <v>43</v>
      </c>
      <c r="C389" s="1" t="s">
        <v>44</v>
      </c>
      <c r="D389" s="2">
        <v>5.15</v>
      </c>
      <c r="E389" s="2">
        <v>5.0999999999999996</v>
      </c>
      <c r="F389" s="2">
        <v>-0.06</v>
      </c>
      <c r="G389" s="2">
        <v>0.1</v>
      </c>
      <c r="H389" s="2">
        <v>4.55</v>
      </c>
      <c r="I389" s="2">
        <v>9.69</v>
      </c>
      <c r="J389" s="2"/>
      <c r="K389" s="2">
        <v>9.73</v>
      </c>
      <c r="L389" s="2">
        <v>0.02</v>
      </c>
      <c r="M389" s="2">
        <v>0.01</v>
      </c>
      <c r="O389" s="1">
        <v>152723</v>
      </c>
      <c r="P389" s="1">
        <v>2991706</v>
      </c>
      <c r="R389" s="1">
        <v>10399</v>
      </c>
      <c r="S389" s="1">
        <v>5548</v>
      </c>
      <c r="T389" s="1">
        <f>O389/R389</f>
        <v>14.686315991922299</v>
      </c>
      <c r="U389" s="1">
        <f>P389/R389</f>
        <v>287.69170112510818</v>
      </c>
      <c r="V389" s="1">
        <f>ROUND(O389/P389*100,2)</f>
        <v>5.0999999999999996</v>
      </c>
      <c r="W389" s="27">
        <f>V389-E389</f>
        <v>0</v>
      </c>
    </row>
    <row r="390" spans="1:23">
      <c r="A390" s="1">
        <v>2026</v>
      </c>
      <c r="B390" s="1" t="s">
        <v>45</v>
      </c>
      <c r="C390" s="1" t="s">
        <v>46</v>
      </c>
      <c r="D390" s="2">
        <v>5.28</v>
      </c>
      <c r="E390" s="2">
        <v>4.49</v>
      </c>
      <c r="F390" s="2">
        <v>0.16</v>
      </c>
      <c r="G390" s="2">
        <v>0.62</v>
      </c>
      <c r="H390" s="2">
        <v>4.55</v>
      </c>
      <c r="I390" s="2">
        <v>9.82</v>
      </c>
      <c r="J390" s="2"/>
      <c r="K390" s="2">
        <v>9.85</v>
      </c>
      <c r="L390" s="2">
        <v>0.02</v>
      </c>
      <c r="M390" s="2">
        <v>0.01</v>
      </c>
      <c r="O390" s="1">
        <v>885483</v>
      </c>
      <c r="P390" s="1">
        <v>19726047</v>
      </c>
      <c r="R390" s="1">
        <v>61789</v>
      </c>
      <c r="S390" s="1">
        <v>31197</v>
      </c>
      <c r="T390" s="1">
        <f>O390/R390</f>
        <v>14.330754665069835</v>
      </c>
      <c r="U390" s="1">
        <f>P390/R390</f>
        <v>319.24852319992232</v>
      </c>
      <c r="V390" s="1">
        <f>ROUND(O390/P390*100,2)</f>
        <v>4.49</v>
      </c>
      <c r="W390" s="27">
        <f>V390-E390</f>
        <v>0</v>
      </c>
    </row>
    <row r="391" spans="1:23">
      <c r="A391" s="1">
        <v>2026</v>
      </c>
      <c r="B391" s="1" t="s">
        <v>47</v>
      </c>
      <c r="C391" s="1" t="s">
        <v>48</v>
      </c>
      <c r="D391" s="2">
        <v>5.35</v>
      </c>
      <c r="E391" s="2">
        <v>5.08</v>
      </c>
      <c r="F391" s="2">
        <v>-7.0000000000000007E-2</v>
      </c>
      <c r="G391" s="2">
        <v>0.34</v>
      </c>
      <c r="H391" s="2">
        <v>4.55</v>
      </c>
      <c r="I391" s="2">
        <v>9.9</v>
      </c>
      <c r="J391" s="2"/>
      <c r="K391" s="2">
        <v>9.9600000000000009</v>
      </c>
      <c r="L391" s="2">
        <v>0.05</v>
      </c>
      <c r="M391" s="2">
        <v>0.01</v>
      </c>
      <c r="O391" s="1">
        <v>259474</v>
      </c>
      <c r="P391" s="1">
        <v>5103110</v>
      </c>
      <c r="R391" s="1">
        <v>16952</v>
      </c>
      <c r="S391" s="1">
        <v>9229</v>
      </c>
      <c r="T391" s="1">
        <f>O391/R391</f>
        <v>15.306394525719679</v>
      </c>
      <c r="U391" s="1">
        <f>P391/R391</f>
        <v>301.03291647003306</v>
      </c>
      <c r="V391" s="1">
        <f>ROUND(O391/P391*100,2)</f>
        <v>5.08</v>
      </c>
      <c r="W391" s="27">
        <f>V391-E391</f>
        <v>0</v>
      </c>
    </row>
    <row r="392" spans="1:23">
      <c r="A392" s="1">
        <v>2026</v>
      </c>
      <c r="B392" s="1" t="s">
        <v>49</v>
      </c>
      <c r="C392" s="1" t="s">
        <v>50</v>
      </c>
      <c r="D392" s="2">
        <v>4.84</v>
      </c>
      <c r="E392" s="2">
        <v>5.28</v>
      </c>
      <c r="F392" s="2">
        <v>-0.15</v>
      </c>
      <c r="G392" s="2">
        <v>-0.28000000000000003</v>
      </c>
      <c r="H392" s="2">
        <v>4.55</v>
      </c>
      <c r="I392" s="2">
        <v>9.39</v>
      </c>
      <c r="J392" s="2"/>
      <c r="K392" s="2">
        <v>9.2100000000000009</v>
      </c>
      <c r="L392" s="2">
        <v>0.03</v>
      </c>
      <c r="M392" s="2">
        <v>-0.21</v>
      </c>
      <c r="O392" s="1">
        <v>106964</v>
      </c>
      <c r="P392" s="1">
        <v>2027656</v>
      </c>
      <c r="R392" s="1">
        <v>7566</v>
      </c>
      <c r="S392" s="1">
        <v>4112</v>
      </c>
      <c r="T392" s="1">
        <f>O392/R392</f>
        <v>14.137457044673539</v>
      </c>
      <c r="U392" s="1">
        <f>P392/R392</f>
        <v>267.99577055247158</v>
      </c>
      <c r="V392" s="1">
        <f>ROUND(O392/P392*100,2)</f>
        <v>5.28</v>
      </c>
      <c r="W392" s="27">
        <f>V392-E392</f>
        <v>0</v>
      </c>
    </row>
    <row r="393" spans="1:23">
      <c r="A393" s="1">
        <v>2026</v>
      </c>
      <c r="B393" s="1" t="s">
        <v>51</v>
      </c>
      <c r="C393" s="1" t="s">
        <v>52</v>
      </c>
      <c r="D393" s="2">
        <v>5.01</v>
      </c>
      <c r="E393" s="2">
        <v>4.97</v>
      </c>
      <c r="F393" s="2">
        <v>-0.08</v>
      </c>
      <c r="G393" s="2">
        <v>0.11</v>
      </c>
      <c r="H393" s="2">
        <v>4.55</v>
      </c>
      <c r="I393" s="2">
        <v>9.5500000000000007</v>
      </c>
      <c r="J393" s="2"/>
      <c r="K393" s="2">
        <v>9.59</v>
      </c>
      <c r="L393" s="2">
        <v>0.03</v>
      </c>
      <c r="M393" s="2">
        <v>0.01</v>
      </c>
      <c r="O393" s="1">
        <v>55576</v>
      </c>
      <c r="P393" s="1">
        <v>1117857</v>
      </c>
      <c r="R393" s="1">
        <v>3879</v>
      </c>
      <c r="S393" s="1">
        <v>2120</v>
      </c>
      <c r="T393" s="1">
        <f>O393/R393</f>
        <v>14.327403970095386</v>
      </c>
      <c r="U393" s="1">
        <f>P393/R393</f>
        <v>288.1817478731632</v>
      </c>
      <c r="V393" s="1">
        <f>ROUND(O393/P393*100,2)</f>
        <v>4.97</v>
      </c>
      <c r="W393" s="27">
        <f>V393-E393</f>
        <v>0</v>
      </c>
    </row>
    <row r="394" spans="1:23">
      <c r="A394" s="1">
        <v>2026</v>
      </c>
      <c r="B394" s="1" t="s">
        <v>53</v>
      </c>
      <c r="C394" s="1" t="s">
        <v>54</v>
      </c>
      <c r="D394" s="2">
        <v>5.18</v>
      </c>
      <c r="E394" s="2">
        <v>5.12</v>
      </c>
      <c r="F394" s="2">
        <v>0</v>
      </c>
      <c r="G394" s="2">
        <v>0.06</v>
      </c>
      <c r="H394" s="2">
        <v>4.55</v>
      </c>
      <c r="I394" s="2">
        <v>9.7200000000000006</v>
      </c>
      <c r="J394" s="2"/>
      <c r="K394" s="2">
        <v>9.6999999999999993</v>
      </c>
      <c r="L394" s="2">
        <v>0.01</v>
      </c>
      <c r="M394" s="2">
        <v>-0.04</v>
      </c>
      <c r="O394" s="1">
        <v>62200</v>
      </c>
      <c r="P394" s="1">
        <v>1215268</v>
      </c>
      <c r="R394" s="1">
        <v>4261</v>
      </c>
      <c r="S394" s="1">
        <v>2236</v>
      </c>
      <c r="T394" s="1">
        <f>O394/R394</f>
        <v>14.597512321051397</v>
      </c>
      <c r="U394" s="1">
        <f>P394/R394</f>
        <v>285.20722835015255</v>
      </c>
      <c r="V394" s="1">
        <f>ROUND(O394/P394*100,2)</f>
        <v>5.12</v>
      </c>
      <c r="W394" s="27">
        <f>V394-E394</f>
        <v>0</v>
      </c>
    </row>
    <row r="395" spans="1:23">
      <c r="A395" s="1">
        <v>2026</v>
      </c>
      <c r="B395" s="1" t="s">
        <v>55</v>
      </c>
      <c r="C395" s="1" t="s">
        <v>56</v>
      </c>
      <c r="D395" s="2">
        <v>5.25</v>
      </c>
      <c r="E395" s="2">
        <v>5.43</v>
      </c>
      <c r="F395" s="2">
        <v>-0.14000000000000001</v>
      </c>
      <c r="G395" s="2">
        <v>-0.05</v>
      </c>
      <c r="H395" s="2">
        <v>4.55</v>
      </c>
      <c r="I395" s="2">
        <v>9.8000000000000007</v>
      </c>
      <c r="J395" s="2"/>
      <c r="K395" s="2">
        <v>9.7100000000000009</v>
      </c>
      <c r="L395" s="2">
        <v>-0.1</v>
      </c>
      <c r="M395" s="2">
        <v>0.01</v>
      </c>
      <c r="O395" s="1">
        <v>42301</v>
      </c>
      <c r="P395" s="1">
        <v>778389</v>
      </c>
      <c r="R395" s="1">
        <v>2783</v>
      </c>
      <c r="S395" s="1">
        <v>1475</v>
      </c>
      <c r="T395" s="1">
        <f>O395/R395</f>
        <v>15.199784405318002</v>
      </c>
      <c r="U395" s="1">
        <f>P395/R395</f>
        <v>279.69421487603307</v>
      </c>
      <c r="V395" s="1">
        <f>ROUND(O395/P395*100,2)</f>
        <v>5.43</v>
      </c>
      <c r="W395" s="27">
        <f>V395-E395</f>
        <v>0</v>
      </c>
    </row>
    <row r="396" spans="1:23">
      <c r="A396" s="1">
        <v>2026</v>
      </c>
      <c r="B396" s="1" t="s">
        <v>57</v>
      </c>
      <c r="C396" s="1" t="s">
        <v>58</v>
      </c>
      <c r="D396" s="2">
        <v>5.1100000000000003</v>
      </c>
      <c r="E396" s="2">
        <v>5.4</v>
      </c>
      <c r="F396" s="2">
        <v>-0.16</v>
      </c>
      <c r="G396" s="2">
        <v>-0.13</v>
      </c>
      <c r="H396" s="2">
        <v>4.55</v>
      </c>
      <c r="I396" s="2">
        <v>9.66</v>
      </c>
      <c r="J396" s="2"/>
      <c r="K396" s="2">
        <v>9.5500000000000007</v>
      </c>
      <c r="L396" s="2">
        <v>-0.09</v>
      </c>
      <c r="M396" s="2">
        <v>-0.01</v>
      </c>
      <c r="O396" s="1">
        <v>36482</v>
      </c>
      <c r="P396" s="1">
        <v>676220</v>
      </c>
      <c r="R396" s="1">
        <v>2454</v>
      </c>
      <c r="S396" s="1">
        <v>1311</v>
      </c>
      <c r="T396" s="1">
        <f>O396/R396</f>
        <v>14.866340668296658</v>
      </c>
      <c r="U396" s="1">
        <f>P396/R396</f>
        <v>275.55827220863898</v>
      </c>
      <c r="V396" s="1">
        <f>ROUND(O396/P396*100,2)</f>
        <v>5.39</v>
      </c>
      <c r="W396" s="27">
        <f>V396-E396</f>
        <v>-1.0000000000000675E-2</v>
      </c>
    </row>
    <row r="397" spans="1:23">
      <c r="A397" s="1">
        <v>2026</v>
      </c>
      <c r="B397" s="1" t="s">
        <v>59</v>
      </c>
      <c r="C397" s="1" t="s">
        <v>60</v>
      </c>
      <c r="D397" s="2">
        <v>5.0199999999999996</v>
      </c>
      <c r="E397" s="2">
        <v>5.28</v>
      </c>
      <c r="F397" s="2">
        <v>-0.09</v>
      </c>
      <c r="G397" s="2">
        <v>-0.17</v>
      </c>
      <c r="H397" s="2">
        <v>4.55</v>
      </c>
      <c r="I397" s="2">
        <v>9.57</v>
      </c>
      <c r="J397" s="2"/>
      <c r="K397" s="2">
        <v>9.6300000000000008</v>
      </c>
      <c r="L397" s="2">
        <v>0.05</v>
      </c>
      <c r="M397" s="2">
        <v>0.01</v>
      </c>
      <c r="O397" s="1">
        <v>90464</v>
      </c>
      <c r="P397" s="1">
        <v>1713014</v>
      </c>
      <c r="R397" s="1">
        <v>6264</v>
      </c>
      <c r="S397" s="1">
        <v>3359</v>
      </c>
      <c r="T397" s="1">
        <f>O397/R397</f>
        <v>14.441890166028097</v>
      </c>
      <c r="U397" s="1">
        <f>P397/R397</f>
        <v>273.46966794380586</v>
      </c>
      <c r="V397" s="1">
        <f>ROUND(O397/P397*100,2)</f>
        <v>5.28</v>
      </c>
      <c r="W397" s="27">
        <f>V397-E397</f>
        <v>0</v>
      </c>
    </row>
    <row r="398" spans="1:23">
      <c r="A398" s="1">
        <v>2026</v>
      </c>
      <c r="B398" s="1" t="s">
        <v>61</v>
      </c>
      <c r="C398" s="1" t="s">
        <v>62</v>
      </c>
      <c r="D398" s="2">
        <v>5.27</v>
      </c>
      <c r="E398" s="2">
        <v>5.4</v>
      </c>
      <c r="F398" s="2">
        <v>-0.01</v>
      </c>
      <c r="G398" s="2">
        <v>-0.12</v>
      </c>
      <c r="H398" s="2">
        <v>4.55</v>
      </c>
      <c r="I398" s="2">
        <v>9.82</v>
      </c>
      <c r="J398" s="2"/>
      <c r="K398" s="2">
        <v>9.8000000000000007</v>
      </c>
      <c r="L398" s="2">
        <v>0.03</v>
      </c>
      <c r="M398" s="2">
        <v>-0.05</v>
      </c>
      <c r="O398" s="1">
        <v>110457</v>
      </c>
      <c r="P398" s="1">
        <v>2046269</v>
      </c>
      <c r="R398" s="1">
        <v>7410</v>
      </c>
      <c r="S398" s="1">
        <v>3911</v>
      </c>
      <c r="T398" s="1">
        <f>O398/R398</f>
        <v>14.906477732793523</v>
      </c>
      <c r="U398" s="1">
        <f>P398/R398</f>
        <v>276.14966261808365</v>
      </c>
      <c r="V398" s="1">
        <f>ROUND(O398/P398*100,2)</f>
        <v>5.4</v>
      </c>
      <c r="W398" s="27">
        <f>V398-E398</f>
        <v>0</v>
      </c>
    </row>
    <row r="399" spans="1:23">
      <c r="A399" s="1">
        <v>2026</v>
      </c>
      <c r="B399" s="1" t="s">
        <v>63</v>
      </c>
      <c r="C399" s="1" t="s">
        <v>64</v>
      </c>
      <c r="D399" s="2">
        <v>5.12</v>
      </c>
      <c r="E399" s="2">
        <v>5.0999999999999996</v>
      </c>
      <c r="F399" s="2">
        <v>-0.05</v>
      </c>
      <c r="G399" s="2">
        <v>7.0000000000000007E-2</v>
      </c>
      <c r="H399" s="2">
        <v>4.55</v>
      </c>
      <c r="I399" s="2">
        <v>9.67</v>
      </c>
      <c r="J399" s="2"/>
      <c r="K399" s="2">
        <v>9.61</v>
      </c>
      <c r="L399" s="2">
        <v>-0.02</v>
      </c>
      <c r="M399" s="2">
        <v>-0.03</v>
      </c>
      <c r="O399" s="1">
        <v>145937</v>
      </c>
      <c r="P399" s="1">
        <v>2862344</v>
      </c>
      <c r="R399" s="1">
        <v>10017</v>
      </c>
      <c r="S399" s="1">
        <v>5332</v>
      </c>
      <c r="T399" s="1">
        <f>O399/R399</f>
        <v>14.568932814215833</v>
      </c>
      <c r="U399" s="1">
        <f>P399/R399</f>
        <v>285.74862733353297</v>
      </c>
      <c r="V399" s="1">
        <f>ROUND(O399/P399*100,2)</f>
        <v>5.0999999999999996</v>
      </c>
      <c r="W399" s="27">
        <f>V399-E399</f>
        <v>0</v>
      </c>
    </row>
    <row r="400" spans="1:23">
      <c r="A400" s="1">
        <v>2026</v>
      </c>
      <c r="B400" s="1" t="s">
        <v>65</v>
      </c>
      <c r="C400" s="1" t="s">
        <v>66</v>
      </c>
      <c r="D400" s="2">
        <v>5.34</v>
      </c>
      <c r="E400" s="2">
        <v>4.9400000000000004</v>
      </c>
      <c r="F400" s="2">
        <v>0.18</v>
      </c>
      <c r="G400" s="2">
        <v>0.21</v>
      </c>
      <c r="H400" s="2">
        <v>4.55</v>
      </c>
      <c r="I400" s="2">
        <v>9.89</v>
      </c>
      <c r="J400" s="2"/>
      <c r="K400" s="2">
        <v>9.93</v>
      </c>
      <c r="L400" s="2">
        <v>0.03</v>
      </c>
      <c r="M400" s="2">
        <v>0.01</v>
      </c>
      <c r="O400" s="1">
        <v>364237</v>
      </c>
      <c r="P400" s="1">
        <v>7368949</v>
      </c>
      <c r="R400" s="1">
        <v>25073</v>
      </c>
      <c r="S400" s="1">
        <v>12571</v>
      </c>
      <c r="T400" s="1">
        <f>O400/R400</f>
        <v>14.527060981932756</v>
      </c>
      <c r="U400" s="1">
        <f>P400/R400</f>
        <v>293.89977266382164</v>
      </c>
      <c r="V400" s="1">
        <f>ROUND(O400/P400*100,2)</f>
        <v>4.9400000000000004</v>
      </c>
      <c r="W400" s="27">
        <f>V400-E400</f>
        <v>0</v>
      </c>
    </row>
    <row r="401" spans="1:23">
      <c r="A401" s="1">
        <v>2026</v>
      </c>
      <c r="B401" s="1" t="s">
        <v>67</v>
      </c>
      <c r="C401" s="1" t="s">
        <v>68</v>
      </c>
      <c r="D401" s="2">
        <v>5.23</v>
      </c>
      <c r="E401" s="2">
        <v>5.22</v>
      </c>
      <c r="F401" s="2">
        <v>0.02</v>
      </c>
      <c r="G401" s="2">
        <v>-0.01</v>
      </c>
      <c r="H401" s="2">
        <v>4.55</v>
      </c>
      <c r="I401" s="2">
        <v>9.77</v>
      </c>
      <c r="J401" s="2"/>
      <c r="K401" s="2">
        <v>9.77</v>
      </c>
      <c r="L401" s="2">
        <v>-0.02</v>
      </c>
      <c r="M401" s="2">
        <v>0.01</v>
      </c>
      <c r="O401" s="1">
        <v>73101</v>
      </c>
      <c r="P401" s="1">
        <v>1400312</v>
      </c>
      <c r="R401" s="1">
        <v>4977</v>
      </c>
      <c r="S401" s="1">
        <v>2593</v>
      </c>
      <c r="T401" s="1">
        <f>O401/R401</f>
        <v>14.687763713080169</v>
      </c>
      <c r="U401" s="1">
        <f>P401/R401</f>
        <v>281.35664054651397</v>
      </c>
      <c r="V401" s="1">
        <f>ROUND(O401/P401*100,2)</f>
        <v>5.22</v>
      </c>
      <c r="W401" s="27">
        <f>V401-E401</f>
        <v>0</v>
      </c>
    </row>
    <row r="402" spans="1:23">
      <c r="A402" s="1">
        <v>2026</v>
      </c>
      <c r="B402" s="1" t="s">
        <v>69</v>
      </c>
      <c r="C402" s="1" t="s">
        <v>70</v>
      </c>
      <c r="D402" s="2">
        <v>5.27</v>
      </c>
      <c r="E402" s="2">
        <v>5.35</v>
      </c>
      <c r="F402" s="2">
        <v>0.09</v>
      </c>
      <c r="G402" s="2">
        <v>-0.17</v>
      </c>
      <c r="H402" s="2">
        <v>4.55</v>
      </c>
      <c r="I402" s="2">
        <v>9.82</v>
      </c>
      <c r="J402" s="2"/>
      <c r="K402" s="2">
        <v>9.8800000000000008</v>
      </c>
      <c r="L402" s="2">
        <v>0.05</v>
      </c>
      <c r="M402" s="2">
        <v>0.01</v>
      </c>
      <c r="O402" s="1">
        <v>50825</v>
      </c>
      <c r="P402" s="1">
        <v>950218</v>
      </c>
      <c r="R402" s="1">
        <v>3473</v>
      </c>
      <c r="S402" s="1">
        <v>1758</v>
      </c>
      <c r="T402" s="1">
        <f>O402/R402</f>
        <v>14.634321911891735</v>
      </c>
      <c r="U402" s="1">
        <f>P402/R402</f>
        <v>273.6014972646127</v>
      </c>
      <c r="V402" s="1">
        <f>ROUND(O402/P402*100,2)</f>
        <v>5.35</v>
      </c>
      <c r="W402" s="27">
        <f>V402-E402</f>
        <v>0</v>
      </c>
    </row>
    <row r="403" spans="1:23">
      <c r="A403" s="1">
        <v>2026</v>
      </c>
      <c r="B403" s="1" t="s">
        <v>71</v>
      </c>
      <c r="C403" s="1" t="s">
        <v>72</v>
      </c>
      <c r="D403" s="2">
        <v>5.37</v>
      </c>
      <c r="E403" s="2">
        <v>5.25</v>
      </c>
      <c r="F403" s="2">
        <v>0.08</v>
      </c>
      <c r="G403" s="2">
        <v>0.05</v>
      </c>
      <c r="H403" s="2">
        <v>4.55</v>
      </c>
      <c r="I403" s="2">
        <v>9.92</v>
      </c>
      <c r="J403" s="2"/>
      <c r="K403" s="2">
        <v>9.89</v>
      </c>
      <c r="L403" s="2">
        <v>-0.04</v>
      </c>
      <c r="M403" s="2">
        <v>0.01</v>
      </c>
      <c r="O403" s="1">
        <v>130171</v>
      </c>
      <c r="P403" s="1">
        <v>2480383</v>
      </c>
      <c r="R403" s="1">
        <v>8713</v>
      </c>
      <c r="S403" s="1">
        <v>4508</v>
      </c>
      <c r="T403" s="1">
        <f>O403/R403</f>
        <v>14.939859979341215</v>
      </c>
      <c r="U403" s="1">
        <f>P403/R403</f>
        <v>284.67611614828417</v>
      </c>
      <c r="V403" s="1">
        <f>ROUND(O403/P403*100,2)</f>
        <v>5.25</v>
      </c>
      <c r="W403" s="27">
        <f>V403-E403</f>
        <v>0</v>
      </c>
    </row>
    <row r="404" spans="1:23">
      <c r="A404" s="1">
        <v>2026</v>
      </c>
      <c r="B404" s="1" t="s">
        <v>73</v>
      </c>
      <c r="C404" s="1" t="s">
        <v>74</v>
      </c>
      <c r="D404" s="2">
        <v>5.6</v>
      </c>
      <c r="E404" s="2">
        <v>5.34</v>
      </c>
      <c r="F404" s="2">
        <v>0.16</v>
      </c>
      <c r="G404" s="2">
        <v>0.11</v>
      </c>
      <c r="H404" s="2">
        <v>4.55</v>
      </c>
      <c r="I404" s="2">
        <v>10.15</v>
      </c>
      <c r="J404" s="2"/>
      <c r="K404" s="2">
        <v>10.130000000000001</v>
      </c>
      <c r="L404" s="2">
        <v>-0.04</v>
      </c>
      <c r="M404" s="2">
        <v>0.01</v>
      </c>
      <c r="O404" s="1">
        <v>543377</v>
      </c>
      <c r="P404" s="1">
        <v>10184780</v>
      </c>
      <c r="R404" s="1">
        <v>35359</v>
      </c>
      <c r="S404" s="1">
        <v>17718</v>
      </c>
      <c r="T404" s="1">
        <f>O404/R404</f>
        <v>15.367431205633643</v>
      </c>
      <c r="U404" s="1">
        <f>P404/R404</f>
        <v>288.03925450380382</v>
      </c>
      <c r="V404" s="1">
        <f>ROUND(O404/P404*100,2)</f>
        <v>5.34</v>
      </c>
      <c r="W404" s="27">
        <f>V404-E404</f>
        <v>0</v>
      </c>
    </row>
    <row r="405" spans="1:23">
      <c r="A405" s="1">
        <v>2026</v>
      </c>
      <c r="B405" s="1" t="s">
        <v>75</v>
      </c>
      <c r="C405" s="1" t="s">
        <v>76</v>
      </c>
      <c r="D405" s="2">
        <v>5.54</v>
      </c>
      <c r="E405" s="2">
        <v>5.56</v>
      </c>
      <c r="F405" s="2">
        <v>0.02</v>
      </c>
      <c r="G405" s="2">
        <v>-0.04</v>
      </c>
      <c r="H405" s="2">
        <v>4.55</v>
      </c>
      <c r="I405" s="2">
        <v>10.08</v>
      </c>
      <c r="J405" s="2"/>
      <c r="K405" s="2">
        <v>10.119999999999999</v>
      </c>
      <c r="L405" s="2">
        <v>0.02</v>
      </c>
      <c r="M405" s="2">
        <v>0.01</v>
      </c>
      <c r="O405" s="1">
        <v>229595</v>
      </c>
      <c r="P405" s="1">
        <v>4131547</v>
      </c>
      <c r="R405" s="1">
        <v>14747</v>
      </c>
      <c r="S405" s="1">
        <v>7725</v>
      </c>
      <c r="T405" s="1">
        <f>O405/R405</f>
        <v>15.568929273750593</v>
      </c>
      <c r="U405" s="1">
        <f>P405/R405</f>
        <v>280.16186342985014</v>
      </c>
      <c r="V405" s="1">
        <f>ROUND(O405/P405*100,2)</f>
        <v>5.56</v>
      </c>
      <c r="W405" s="27">
        <f>V405-E405</f>
        <v>0</v>
      </c>
    </row>
    <row r="406" spans="1:23">
      <c r="A406" s="1">
        <v>2026</v>
      </c>
      <c r="B406" s="1" t="s">
        <v>77</v>
      </c>
      <c r="C406" s="1" t="s">
        <v>78</v>
      </c>
      <c r="D406" s="2">
        <v>5.45</v>
      </c>
      <c r="E406" s="2">
        <v>5.91</v>
      </c>
      <c r="F406" s="2">
        <v>-0.02</v>
      </c>
      <c r="G406" s="2">
        <v>-0.44</v>
      </c>
      <c r="H406" s="2">
        <v>4.55</v>
      </c>
      <c r="I406" s="2">
        <v>10</v>
      </c>
      <c r="J406" s="2"/>
      <c r="K406" s="2">
        <v>9.91</v>
      </c>
      <c r="L406" s="2">
        <v>-0.06</v>
      </c>
      <c r="M406" s="2">
        <v>-0.02</v>
      </c>
      <c r="O406" s="1">
        <v>48406</v>
      </c>
      <c r="P406" s="1">
        <v>818837</v>
      </c>
      <c r="R406" s="1">
        <v>3141</v>
      </c>
      <c r="S406" s="1">
        <v>1655</v>
      </c>
      <c r="T406" s="1">
        <f>O406/R406</f>
        <v>15.411015600127348</v>
      </c>
      <c r="U406" s="1">
        <f>P406/R406</f>
        <v>260.69309137217448</v>
      </c>
      <c r="V406" s="1">
        <f>ROUND(O406/P406*100,2)</f>
        <v>5.91</v>
      </c>
      <c r="W406" s="27">
        <f>V406-E406</f>
        <v>0</v>
      </c>
    </row>
    <row r="407" spans="1:23">
      <c r="A407" s="1">
        <v>2026</v>
      </c>
      <c r="B407" s="1" t="s">
        <v>79</v>
      </c>
      <c r="C407" s="1" t="s">
        <v>80</v>
      </c>
      <c r="D407" s="2">
        <v>5.48</v>
      </c>
      <c r="E407" s="2">
        <v>6.11</v>
      </c>
      <c r="F407" s="2">
        <v>-0.11</v>
      </c>
      <c r="G407" s="2">
        <v>-0.52</v>
      </c>
      <c r="H407" s="2">
        <v>4.55</v>
      </c>
      <c r="I407" s="2">
        <v>10.029999999999999</v>
      </c>
      <c r="J407" s="2"/>
      <c r="K407" s="2">
        <v>10.06</v>
      </c>
      <c r="L407" s="2">
        <v>0.05</v>
      </c>
      <c r="M407" s="2">
        <v>-0.01</v>
      </c>
      <c r="O407" s="1">
        <v>44701</v>
      </c>
      <c r="P407" s="1">
        <v>731905</v>
      </c>
      <c r="R407" s="1">
        <v>2847</v>
      </c>
      <c r="S407" s="1">
        <v>1549</v>
      </c>
      <c r="T407" s="1">
        <f>O407/R407</f>
        <v>15.701088865472427</v>
      </c>
      <c r="U407" s="1">
        <f>P407/R407</f>
        <v>257.07938180540918</v>
      </c>
      <c r="V407" s="1">
        <f>ROUND(O407/P407*100,2)</f>
        <v>6.11</v>
      </c>
      <c r="W407" s="27">
        <f>V407-E407</f>
        <v>0</v>
      </c>
    </row>
    <row r="408" spans="1:23">
      <c r="A408" s="1">
        <v>2026</v>
      </c>
      <c r="B408" s="1" t="s">
        <v>81</v>
      </c>
      <c r="C408" s="1" t="s">
        <v>82</v>
      </c>
      <c r="D408" s="2">
        <v>5.23</v>
      </c>
      <c r="E408" s="2">
        <v>6.04</v>
      </c>
      <c r="F408" s="2">
        <v>-0.15</v>
      </c>
      <c r="G408" s="2">
        <v>-0.66</v>
      </c>
      <c r="H408" s="2">
        <v>4.55</v>
      </c>
      <c r="I408" s="2">
        <v>9.7799999999999994</v>
      </c>
      <c r="J408" s="2"/>
      <c r="K408" s="2">
        <v>9.86</v>
      </c>
      <c r="L408" s="2">
        <v>7.0000000000000007E-2</v>
      </c>
      <c r="M408" s="2">
        <v>0.01</v>
      </c>
      <c r="O408" s="1">
        <v>28990</v>
      </c>
      <c r="P408" s="1">
        <v>479715</v>
      </c>
      <c r="R408" s="1">
        <v>1910</v>
      </c>
      <c r="S408" s="1">
        <v>1011</v>
      </c>
      <c r="T408" s="1">
        <f>O408/R408</f>
        <v>15.178010471204189</v>
      </c>
      <c r="U408" s="1">
        <f>P408/R408</f>
        <v>251.15968586387436</v>
      </c>
      <c r="V408" s="1">
        <f>ROUND(O408/P408*100,2)</f>
        <v>6.04</v>
      </c>
      <c r="W408" s="27">
        <f>V408-E408</f>
        <v>0</v>
      </c>
    </row>
    <row r="409" spans="1:23">
      <c r="A409" s="1">
        <v>2026</v>
      </c>
      <c r="B409" s="1" t="s">
        <v>83</v>
      </c>
      <c r="C409" s="1" t="s">
        <v>84</v>
      </c>
      <c r="D409" s="2">
        <v>5.57</v>
      </c>
      <c r="E409" s="2">
        <v>6.35</v>
      </c>
      <c r="F409" s="2">
        <v>-0.26</v>
      </c>
      <c r="G409" s="2">
        <v>-0.51</v>
      </c>
      <c r="H409" s="2">
        <v>4.55</v>
      </c>
      <c r="I409" s="2">
        <v>10.119999999999999</v>
      </c>
      <c r="J409" s="2"/>
      <c r="K409" s="2">
        <v>10.08</v>
      </c>
      <c r="L409" s="2">
        <v>0.08</v>
      </c>
      <c r="M409" s="2">
        <v>-0.13</v>
      </c>
      <c r="O409" s="1">
        <v>36075</v>
      </c>
      <c r="P409" s="1">
        <v>568505</v>
      </c>
      <c r="R409" s="1">
        <v>2207</v>
      </c>
      <c r="S409" s="1">
        <v>1199</v>
      </c>
      <c r="T409" s="1">
        <f>O409/R409</f>
        <v>16.345718169460806</v>
      </c>
      <c r="U409" s="1">
        <f>P409/R409</f>
        <v>257.59175351155415</v>
      </c>
      <c r="V409" s="1">
        <f>ROUND(O409/P409*100,2)</f>
        <v>6.35</v>
      </c>
      <c r="W409" s="27">
        <f>V409-E409</f>
        <v>0</v>
      </c>
    </row>
    <row r="410" spans="1:23">
      <c r="A410" s="1">
        <v>2026</v>
      </c>
      <c r="B410" s="1" t="s">
        <v>85</v>
      </c>
      <c r="C410" s="1" t="s">
        <v>86</v>
      </c>
      <c r="D410" s="2">
        <v>5.48</v>
      </c>
      <c r="E410" s="2">
        <v>5.65</v>
      </c>
      <c r="F410" s="2">
        <v>7.0000000000000007E-2</v>
      </c>
      <c r="G410" s="2">
        <v>-0.24</v>
      </c>
      <c r="H410" s="2">
        <v>4.55</v>
      </c>
      <c r="I410" s="2">
        <v>10.029999999999999</v>
      </c>
      <c r="J410" s="2"/>
      <c r="K410" s="2">
        <v>10.050000000000001</v>
      </c>
      <c r="L410" s="2">
        <v>0.01</v>
      </c>
      <c r="M410" s="2">
        <v>0.01</v>
      </c>
      <c r="O410" s="1">
        <v>106146</v>
      </c>
      <c r="P410" s="1">
        <v>1878841</v>
      </c>
      <c r="R410" s="1">
        <v>6963</v>
      </c>
      <c r="S410" s="1">
        <v>3554</v>
      </c>
      <c r="T410" s="1">
        <f>O410/R410</f>
        <v>15.244291253769926</v>
      </c>
      <c r="U410" s="1">
        <f>P410/R410</f>
        <v>269.83211259514576</v>
      </c>
      <c r="V410" s="1">
        <f>ROUND(O410/P410*100,2)</f>
        <v>5.65</v>
      </c>
      <c r="W410" s="27">
        <f>V410-E410</f>
        <v>0</v>
      </c>
    </row>
    <row r="411" spans="1:23">
      <c r="A411" s="1">
        <v>2026</v>
      </c>
      <c r="B411" s="1" t="s">
        <v>87</v>
      </c>
      <c r="C411" s="1" t="s">
        <v>88</v>
      </c>
      <c r="D411" s="2">
        <v>5.28</v>
      </c>
      <c r="E411" s="2">
        <v>5.38</v>
      </c>
      <c r="F411" s="2">
        <v>0.04</v>
      </c>
      <c r="G411" s="2">
        <v>-0.13</v>
      </c>
      <c r="H411" s="2">
        <v>4.55</v>
      </c>
      <c r="I411" s="2">
        <v>9.83</v>
      </c>
      <c r="J411" s="2"/>
      <c r="K411" s="2">
        <v>9.7799999999999994</v>
      </c>
      <c r="L411" s="2">
        <v>-0.06</v>
      </c>
      <c r="M411" s="2">
        <v>0.01</v>
      </c>
      <c r="O411" s="1">
        <v>154715</v>
      </c>
      <c r="P411" s="1">
        <v>2877559</v>
      </c>
      <c r="R411" s="1">
        <v>10452</v>
      </c>
      <c r="S411" s="1">
        <v>5429</v>
      </c>
      <c r="T411" s="1">
        <f>O411/R411</f>
        <v>14.80243015690777</v>
      </c>
      <c r="U411" s="1">
        <f>P411/R411</f>
        <v>275.31180635285114</v>
      </c>
      <c r="V411" s="1">
        <f>ROUND(O411/P411*100,2)</f>
        <v>5.38</v>
      </c>
      <c r="W411" s="27">
        <f>V411-E411</f>
        <v>0</v>
      </c>
    </row>
    <row r="412" spans="1:23">
      <c r="A412" s="1">
        <v>2026</v>
      </c>
      <c r="B412" s="1" t="s">
        <v>89</v>
      </c>
      <c r="C412" s="1" t="s">
        <v>90</v>
      </c>
      <c r="D412" s="2">
        <v>5.57</v>
      </c>
      <c r="E412" s="2">
        <v>5.83</v>
      </c>
      <c r="F412" s="2">
        <v>-0.17</v>
      </c>
      <c r="G412" s="2">
        <v>-0.09</v>
      </c>
      <c r="H412" s="2">
        <v>4.55</v>
      </c>
      <c r="I412" s="2">
        <v>10.119999999999999</v>
      </c>
      <c r="J412" s="2"/>
      <c r="K412" s="2">
        <v>10.15</v>
      </c>
      <c r="L412" s="2">
        <v>0.03</v>
      </c>
      <c r="M412" s="2">
        <v>0.01</v>
      </c>
      <c r="O412" s="1">
        <v>64632</v>
      </c>
      <c r="P412" s="1">
        <v>1108790</v>
      </c>
      <c r="R412" s="1">
        <v>3998</v>
      </c>
      <c r="S412" s="1">
        <v>2203</v>
      </c>
      <c r="T412" s="1">
        <f>O412/R412</f>
        <v>16.166083041520761</v>
      </c>
      <c r="U412" s="1">
        <f>P412/R412</f>
        <v>277.33616808404201</v>
      </c>
      <c r="V412" s="1">
        <f>ROUND(O412/P412*100,2)</f>
        <v>5.83</v>
      </c>
      <c r="W412" s="27">
        <f>V412-E412</f>
        <v>0</v>
      </c>
    </row>
    <row r="413" spans="1:23">
      <c r="A413" s="1">
        <v>2026</v>
      </c>
      <c r="B413" s="1" t="s">
        <v>91</v>
      </c>
      <c r="C413" s="1" t="s">
        <v>92</v>
      </c>
      <c r="D413" s="2">
        <v>5.67</v>
      </c>
      <c r="E413" s="2">
        <v>6.16</v>
      </c>
      <c r="F413" s="2">
        <v>-0.11</v>
      </c>
      <c r="G413" s="2">
        <v>-0.38</v>
      </c>
      <c r="H413" s="2">
        <v>4.55</v>
      </c>
      <c r="I413" s="2">
        <v>10.220000000000001</v>
      </c>
      <c r="J413" s="2"/>
      <c r="K413" s="2">
        <v>10.24</v>
      </c>
      <c r="L413" s="2">
        <v>0.02</v>
      </c>
      <c r="M413" s="2">
        <v>0</v>
      </c>
      <c r="O413" s="1">
        <v>40930</v>
      </c>
      <c r="P413" s="1">
        <v>664257</v>
      </c>
      <c r="R413" s="1">
        <v>2523</v>
      </c>
      <c r="S413" s="1">
        <v>1347</v>
      </c>
      <c r="T413" s="1">
        <f>O413/R413</f>
        <v>16.222750693618707</v>
      </c>
      <c r="U413" s="1">
        <f>P413/R413</f>
        <v>263.28061831153389</v>
      </c>
      <c r="V413" s="1">
        <f>ROUND(O413/P413*100,2)</f>
        <v>6.16</v>
      </c>
      <c r="W413" s="27">
        <f>V413-E413</f>
        <v>0</v>
      </c>
    </row>
    <row r="414" spans="1:23">
      <c r="A414" s="1">
        <v>2026</v>
      </c>
      <c r="B414" s="1" t="s">
        <v>93</v>
      </c>
      <c r="C414" s="1" t="s">
        <v>94</v>
      </c>
      <c r="D414" s="2">
        <v>5.57</v>
      </c>
      <c r="E414" s="2">
        <v>5.95</v>
      </c>
      <c r="F414" s="2">
        <v>-0.03</v>
      </c>
      <c r="G414" s="2">
        <v>-0.34</v>
      </c>
      <c r="H414" s="2">
        <v>4.55</v>
      </c>
      <c r="I414" s="2">
        <v>10.119999999999999</v>
      </c>
      <c r="J414" s="2"/>
      <c r="K414" s="2">
        <v>10.02</v>
      </c>
      <c r="L414" s="2">
        <v>-0.11</v>
      </c>
      <c r="M414" s="2">
        <v>0.01</v>
      </c>
      <c r="O414" s="1">
        <v>57163</v>
      </c>
      <c r="P414" s="1">
        <v>961010</v>
      </c>
      <c r="R414" s="1">
        <v>3624</v>
      </c>
      <c r="S414" s="1">
        <v>1900</v>
      </c>
      <c r="T414" s="1">
        <f>O414/R414</f>
        <v>15.773454746136865</v>
      </c>
      <c r="U414" s="1">
        <f>P414/R414</f>
        <v>265.17935982339958</v>
      </c>
      <c r="V414" s="1">
        <f>ROUND(O414/P414*100,2)</f>
        <v>5.95</v>
      </c>
      <c r="W414" s="27">
        <f>V414-E414</f>
        <v>0</v>
      </c>
    </row>
    <row r="415" spans="1:23">
      <c r="A415" s="1">
        <v>2026</v>
      </c>
      <c r="B415" s="1" t="s">
        <v>95</v>
      </c>
      <c r="C415" s="1" t="s">
        <v>96</v>
      </c>
      <c r="D415" s="2">
        <v>5.44</v>
      </c>
      <c r="E415" s="2">
        <v>5.89</v>
      </c>
      <c r="F415" s="2">
        <v>-0.01</v>
      </c>
      <c r="G415" s="2">
        <v>-0.45</v>
      </c>
      <c r="H415" s="2">
        <v>4.55</v>
      </c>
      <c r="I415" s="2">
        <v>9.99</v>
      </c>
      <c r="J415" s="2"/>
      <c r="K415" s="2">
        <v>9.98</v>
      </c>
      <c r="L415" s="2">
        <v>-0.02</v>
      </c>
      <c r="M415" s="2">
        <v>0.01</v>
      </c>
      <c r="O415" s="1">
        <v>74178</v>
      </c>
      <c r="P415" s="1">
        <v>1258518</v>
      </c>
      <c r="R415" s="1">
        <v>4833</v>
      </c>
      <c r="S415" s="1">
        <v>2528</v>
      </c>
      <c r="T415" s="1">
        <f>O415/R415</f>
        <v>15.348230912476723</v>
      </c>
      <c r="U415" s="1">
        <f>P415/R415</f>
        <v>260.4009931719429</v>
      </c>
      <c r="V415" s="1">
        <f>ROUND(O415/P415*100,2)</f>
        <v>5.89</v>
      </c>
      <c r="W415" s="27">
        <f>V415-E415</f>
        <v>0</v>
      </c>
    </row>
    <row r="416" spans="1:23">
      <c r="A416" s="1">
        <v>2026</v>
      </c>
      <c r="B416" s="1" t="s">
        <v>97</v>
      </c>
      <c r="C416" s="1" t="s">
        <v>98</v>
      </c>
      <c r="D416" s="2">
        <v>5.47</v>
      </c>
      <c r="E416" s="2">
        <v>6.05</v>
      </c>
      <c r="F416" s="2">
        <v>-0.18</v>
      </c>
      <c r="G416" s="2">
        <v>-0.4</v>
      </c>
      <c r="H416" s="2">
        <v>4.55</v>
      </c>
      <c r="I416" s="2">
        <v>10.01</v>
      </c>
      <c r="J416" s="2"/>
      <c r="K416" s="2">
        <v>10.050000000000001</v>
      </c>
      <c r="L416" s="2">
        <v>0.03</v>
      </c>
      <c r="M416" s="2">
        <v>0.01</v>
      </c>
      <c r="O416" s="1">
        <v>36615</v>
      </c>
      <c r="P416" s="1">
        <v>605464</v>
      </c>
      <c r="R416" s="1">
        <v>2308</v>
      </c>
      <c r="S416" s="1">
        <v>1272</v>
      </c>
      <c r="T416" s="1">
        <f>O416/R416</f>
        <v>15.864384748700173</v>
      </c>
      <c r="U416" s="1">
        <f>P416/R416</f>
        <v>262.33275563258235</v>
      </c>
      <c r="V416" s="1">
        <f>ROUND(O416/P416*100,2)</f>
        <v>6.05</v>
      </c>
      <c r="W416" s="27">
        <f>V416-E416</f>
        <v>0</v>
      </c>
    </row>
    <row r="417" spans="1:23">
      <c r="A417" s="1">
        <v>2026</v>
      </c>
      <c r="B417" s="1" t="s">
        <v>99</v>
      </c>
      <c r="C417" s="1" t="s">
        <v>100</v>
      </c>
      <c r="D417" s="2">
        <v>5.62</v>
      </c>
      <c r="E417" s="2">
        <v>5.85</v>
      </c>
      <c r="F417" s="2">
        <v>0.06</v>
      </c>
      <c r="G417" s="2">
        <v>-0.28999999999999998</v>
      </c>
      <c r="H417" s="2">
        <v>4.55</v>
      </c>
      <c r="I417" s="2">
        <v>10.17</v>
      </c>
      <c r="J417" s="2"/>
      <c r="K417" s="2">
        <v>10.11</v>
      </c>
      <c r="L417" s="2">
        <v>-7.0000000000000007E-2</v>
      </c>
      <c r="M417" s="2">
        <v>0.01</v>
      </c>
      <c r="O417" s="1">
        <v>296881</v>
      </c>
      <c r="P417" s="1">
        <v>5072680</v>
      </c>
      <c r="R417" s="1">
        <v>18946</v>
      </c>
      <c r="S417" s="1">
        <v>9577</v>
      </c>
      <c r="T417" s="1">
        <f>O417/R417</f>
        <v>15.669851155916817</v>
      </c>
      <c r="U417" s="1">
        <f>P417/R417</f>
        <v>267.74411485273936</v>
      </c>
      <c r="V417" s="1">
        <f>ROUND(O417/P417*100,2)</f>
        <v>5.85</v>
      </c>
      <c r="W417" s="27">
        <f>V417-E417</f>
        <v>0</v>
      </c>
    </row>
    <row r="418" spans="1:23">
      <c r="A418" s="1">
        <v>2026</v>
      </c>
      <c r="B418" s="1" t="s">
        <v>101</v>
      </c>
      <c r="C418" s="1" t="s">
        <v>102</v>
      </c>
      <c r="D418" s="2">
        <v>6.06</v>
      </c>
      <c r="E418" s="2">
        <v>6.91</v>
      </c>
      <c r="F418" s="2">
        <v>-0.18</v>
      </c>
      <c r="G418" s="2">
        <v>-0.67</v>
      </c>
      <c r="H418" s="2">
        <v>4.55</v>
      </c>
      <c r="I418" s="2">
        <v>10.61</v>
      </c>
      <c r="J418" s="2"/>
      <c r="K418" s="2">
        <v>10.55</v>
      </c>
      <c r="L418" s="2">
        <v>-0.05</v>
      </c>
      <c r="M418" s="2">
        <v>0</v>
      </c>
      <c r="O418" s="1">
        <v>48269</v>
      </c>
      <c r="P418" s="1">
        <v>698841</v>
      </c>
      <c r="R418" s="1">
        <v>2788</v>
      </c>
      <c r="S418" s="1">
        <v>1443</v>
      </c>
      <c r="T418" s="1">
        <f>O418/R418</f>
        <v>17.31312769010043</v>
      </c>
      <c r="U418" s="1">
        <f>P418/R418</f>
        <v>250.66032998565279</v>
      </c>
      <c r="V418" s="1">
        <f>ROUND(O418/P418*100,2)</f>
        <v>6.91</v>
      </c>
      <c r="W418" s="27">
        <f>V418-E418</f>
        <v>0</v>
      </c>
    </row>
    <row r="419" spans="1:23">
      <c r="A419" s="1">
        <v>2026</v>
      </c>
      <c r="B419" s="1" t="s">
        <v>103</v>
      </c>
      <c r="C419" s="1" t="s">
        <v>104</v>
      </c>
      <c r="D419" s="2">
        <v>5.56</v>
      </c>
      <c r="E419" s="2">
        <v>6.56</v>
      </c>
      <c r="F419" s="2">
        <v>-0.27</v>
      </c>
      <c r="G419" s="2">
        <v>-0.73</v>
      </c>
      <c r="H419" s="2">
        <v>4.55</v>
      </c>
      <c r="I419" s="2">
        <v>10.11</v>
      </c>
      <c r="J419" s="2"/>
      <c r="K419" s="2">
        <v>10.06</v>
      </c>
      <c r="L419" s="2">
        <v>-0.06</v>
      </c>
      <c r="M419" s="2">
        <v>0.01</v>
      </c>
      <c r="O419" s="1">
        <v>69750</v>
      </c>
      <c r="P419" s="1">
        <v>1063008</v>
      </c>
      <c r="R419" s="1">
        <v>4282</v>
      </c>
      <c r="S419" s="1">
        <v>2300</v>
      </c>
      <c r="T419" s="1">
        <f>O419/R419</f>
        <v>16.289117234936946</v>
      </c>
      <c r="U419" s="1">
        <f>P419/R419</f>
        <v>248.25035030359646</v>
      </c>
      <c r="V419" s="1">
        <f>ROUND(O419/P419*100,2)</f>
        <v>6.56</v>
      </c>
      <c r="W419" s="27">
        <f>V419-E419</f>
        <v>0</v>
      </c>
    </row>
    <row r="420" spans="1:23">
      <c r="A420" s="1">
        <v>2026</v>
      </c>
      <c r="B420" s="1" t="s">
        <v>105</v>
      </c>
      <c r="C420" s="1" t="s">
        <v>106</v>
      </c>
      <c r="D420" s="2">
        <v>5.61</v>
      </c>
      <c r="E420" s="2">
        <v>6.3</v>
      </c>
      <c r="F420" s="2">
        <v>-0.1</v>
      </c>
      <c r="G420" s="2">
        <v>-0.59</v>
      </c>
      <c r="H420" s="2">
        <v>4.55</v>
      </c>
      <c r="I420" s="2">
        <v>10.16</v>
      </c>
      <c r="J420" s="2"/>
      <c r="K420" s="2">
        <v>10.08</v>
      </c>
      <c r="L420" s="2">
        <v>-0.09</v>
      </c>
      <c r="M420" s="2">
        <v>0.01</v>
      </c>
      <c r="O420" s="1">
        <v>97262</v>
      </c>
      <c r="P420" s="1">
        <v>1544278</v>
      </c>
      <c r="R420" s="1">
        <v>6080</v>
      </c>
      <c r="S420" s="1">
        <v>3109</v>
      </c>
      <c r="T420" s="1">
        <f>O420/R420</f>
        <v>15.997039473684211</v>
      </c>
      <c r="U420" s="1">
        <f>P420/R420</f>
        <v>253.99309210526314</v>
      </c>
      <c r="V420" s="1">
        <f>ROUND(O420/P420*100,2)</f>
        <v>6.3</v>
      </c>
      <c r="W420" s="27">
        <f>V420-E420</f>
        <v>0</v>
      </c>
    </row>
    <row r="421" spans="1:23">
      <c r="A421" s="1">
        <v>2026</v>
      </c>
      <c r="B421" s="1" t="s">
        <v>107</v>
      </c>
      <c r="C421" s="1" t="s">
        <v>108</v>
      </c>
      <c r="D421" s="2">
        <v>5.59</v>
      </c>
      <c r="E421" s="2">
        <v>6.35</v>
      </c>
      <c r="F421" s="2">
        <v>-0.21</v>
      </c>
      <c r="G421" s="2">
        <v>-0.55000000000000004</v>
      </c>
      <c r="H421" s="2">
        <v>4.55</v>
      </c>
      <c r="I421" s="2">
        <v>10.14</v>
      </c>
      <c r="J421" s="2"/>
      <c r="K421" s="2">
        <v>10.08</v>
      </c>
      <c r="L421" s="2">
        <v>-7.0000000000000007E-2</v>
      </c>
      <c r="M421" s="2">
        <v>0.01</v>
      </c>
      <c r="O421" s="1">
        <v>63689</v>
      </c>
      <c r="P421" s="1">
        <v>1002490</v>
      </c>
      <c r="R421" s="1">
        <v>3919</v>
      </c>
      <c r="S421" s="1">
        <v>2107</v>
      </c>
      <c r="T421" s="1">
        <f>O421/R421</f>
        <v>16.251339627455984</v>
      </c>
      <c r="U421" s="1">
        <f>P421/R421</f>
        <v>255.80250063791783</v>
      </c>
      <c r="V421" s="1">
        <f>ROUND(O421/P421*100,2)</f>
        <v>6.35</v>
      </c>
      <c r="W421" s="27">
        <f>V421-E421</f>
        <v>0</v>
      </c>
    </row>
    <row r="422" spans="1:23">
      <c r="A422" s="1">
        <v>2026</v>
      </c>
      <c r="B422" s="1" t="s">
        <v>109</v>
      </c>
      <c r="C422" s="1" t="s">
        <v>110</v>
      </c>
      <c r="D422" s="2">
        <v>5.26</v>
      </c>
      <c r="E422" s="2">
        <v>6.14</v>
      </c>
      <c r="F422" s="2">
        <v>-0.13</v>
      </c>
      <c r="G422" s="2">
        <v>-0.75</v>
      </c>
      <c r="H422" s="2">
        <v>4.55</v>
      </c>
      <c r="I422" s="2">
        <v>9.81</v>
      </c>
      <c r="J422" s="2"/>
      <c r="K422" s="2">
        <v>9.77</v>
      </c>
      <c r="L422" s="2">
        <v>-0.04</v>
      </c>
      <c r="M422" s="2">
        <v>0.01</v>
      </c>
      <c r="O422" s="1">
        <v>59585</v>
      </c>
      <c r="P422" s="1">
        <v>970145</v>
      </c>
      <c r="R422" s="1">
        <v>3923</v>
      </c>
      <c r="S422" s="1">
        <v>2035</v>
      </c>
      <c r="T422" s="1">
        <f>O422/R422</f>
        <v>15.188631149630385</v>
      </c>
      <c r="U422" s="1">
        <f>P422/R422</f>
        <v>247.29671170022942</v>
      </c>
      <c r="V422" s="1">
        <f>ROUND(O422/P422*100,2)</f>
        <v>6.14</v>
      </c>
      <c r="W422" s="27">
        <f>V422-E422</f>
        <v>0</v>
      </c>
    </row>
    <row r="423" spans="1:23">
      <c r="A423" s="1">
        <v>2026</v>
      </c>
      <c r="B423" s="1" t="s">
        <v>111</v>
      </c>
      <c r="C423" s="1" t="s">
        <v>112</v>
      </c>
      <c r="D423" s="2">
        <v>5.62</v>
      </c>
      <c r="E423" s="2">
        <v>6.64</v>
      </c>
      <c r="F423" s="2">
        <v>-0.11</v>
      </c>
      <c r="G423" s="2">
        <v>-0.91</v>
      </c>
      <c r="H423" s="2">
        <v>4.55</v>
      </c>
      <c r="I423" s="2">
        <v>10.16</v>
      </c>
      <c r="J423" s="2"/>
      <c r="K423" s="2">
        <v>10.130000000000001</v>
      </c>
      <c r="L423" s="2">
        <v>-0.04</v>
      </c>
      <c r="M423" s="2">
        <v>0.01</v>
      </c>
      <c r="O423" s="1">
        <v>95379</v>
      </c>
      <c r="P423" s="1">
        <v>1436638</v>
      </c>
      <c r="R423" s="1">
        <v>5961</v>
      </c>
      <c r="S423" s="1">
        <v>3037</v>
      </c>
      <c r="T423" s="1">
        <f>O423/R423</f>
        <v>16.000503271263209</v>
      </c>
      <c r="U423" s="1">
        <f>P423/R423</f>
        <v>241.00620701224628</v>
      </c>
      <c r="V423" s="1">
        <f>ROUND(O423/P423*100,2)</f>
        <v>6.64</v>
      </c>
      <c r="W423" s="27">
        <f>V423-E423</f>
        <v>0</v>
      </c>
    </row>
    <row r="424" spans="1:23">
      <c r="A424" s="1">
        <v>2026</v>
      </c>
      <c r="B424" s="1" t="s">
        <v>113</v>
      </c>
      <c r="C424" s="1" t="s">
        <v>114</v>
      </c>
      <c r="D424" s="2">
        <v>5.1100000000000003</v>
      </c>
      <c r="E424" s="2">
        <v>6.4</v>
      </c>
      <c r="F424" s="2">
        <v>0.11</v>
      </c>
      <c r="G424" s="2">
        <v>-1.41</v>
      </c>
      <c r="H424" s="2">
        <v>4.55</v>
      </c>
      <c r="I424" s="2">
        <v>9.66</v>
      </c>
      <c r="J424" s="2"/>
      <c r="K424" s="2">
        <v>9.61</v>
      </c>
      <c r="L424" s="2">
        <v>-0.01</v>
      </c>
      <c r="M424" s="2">
        <v>-0.03</v>
      </c>
      <c r="O424" s="1">
        <v>83000</v>
      </c>
      <c r="P424" s="1">
        <v>1296651</v>
      </c>
      <c r="R424" s="1">
        <v>5804</v>
      </c>
      <c r="S424" s="1">
        <v>2721</v>
      </c>
      <c r="T424" s="1">
        <f>O424/R424</f>
        <v>14.300482425913163</v>
      </c>
      <c r="U424" s="1">
        <f>P424/R424</f>
        <v>223.40644383184011</v>
      </c>
      <c r="V424" s="1">
        <f>ROUND(O424/P424*100,2)</f>
        <v>6.4</v>
      </c>
      <c r="W424" s="27">
        <f>V424-E424</f>
        <v>0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C05C-4C8B-42A7-8934-495FEC6A669A}">
  <dimension ref="A1:O330"/>
  <sheetViews>
    <sheetView workbookViewId="0">
      <selection activeCell="D330" sqref="D330"/>
    </sheetView>
  </sheetViews>
  <sheetFormatPr defaultRowHeight="18"/>
  <cols>
    <col min="2" max="2" width="8.625" style="11"/>
    <col min="4" max="4" width="8.625" style="12"/>
    <col min="6" max="6" width="8.625" style="12"/>
    <col min="8" max="8" width="8.625" style="12"/>
    <col min="10" max="10" width="8.625" style="12"/>
    <col min="12" max="12" width="8.625" style="12"/>
    <col min="14" max="14" width="8.625" style="12"/>
  </cols>
  <sheetData>
    <row r="1" spans="1:15" ht="72">
      <c r="A1" s="6" t="s">
        <v>123</v>
      </c>
      <c r="B1" s="7" t="s">
        <v>124</v>
      </c>
      <c r="C1" s="6" t="s">
        <v>125</v>
      </c>
      <c r="D1" s="8" t="s">
        <v>126</v>
      </c>
      <c r="E1" s="6" t="s">
        <v>127</v>
      </c>
      <c r="F1" s="8" t="s">
        <v>128</v>
      </c>
      <c r="G1" s="6" t="s">
        <v>129</v>
      </c>
      <c r="H1" s="8" t="s">
        <v>130</v>
      </c>
      <c r="I1" s="6" t="s">
        <v>131</v>
      </c>
      <c r="J1" s="8" t="s">
        <v>132</v>
      </c>
      <c r="K1" s="6" t="s">
        <v>133</v>
      </c>
      <c r="L1" s="8" t="s">
        <v>134</v>
      </c>
      <c r="M1" s="6" t="s">
        <v>135</v>
      </c>
      <c r="N1" s="8" t="s">
        <v>136</v>
      </c>
      <c r="O1" s="6" t="s">
        <v>137</v>
      </c>
    </row>
    <row r="2" spans="1:15">
      <c r="A2" s="1">
        <v>2018</v>
      </c>
      <c r="B2" s="9" t="s">
        <v>21</v>
      </c>
      <c r="C2" s="1" t="s">
        <v>22</v>
      </c>
      <c r="D2" s="10">
        <v>43.9</v>
      </c>
      <c r="E2" s="1">
        <v>38</v>
      </c>
      <c r="F2" s="10">
        <v>48.3</v>
      </c>
      <c r="G2" s="1">
        <v>25</v>
      </c>
      <c r="H2" s="10">
        <v>47.1</v>
      </c>
      <c r="I2" s="1">
        <v>30</v>
      </c>
      <c r="J2" s="10">
        <v>44.7</v>
      </c>
      <c r="K2" s="1">
        <v>37</v>
      </c>
      <c r="L2" s="10">
        <v>54.1</v>
      </c>
      <c r="M2" s="1">
        <v>16</v>
      </c>
      <c r="N2" s="10">
        <v>238</v>
      </c>
      <c r="O2" s="1">
        <v>32</v>
      </c>
    </row>
    <row r="3" spans="1:15">
      <c r="A3" s="1">
        <v>2018</v>
      </c>
      <c r="B3" s="9" t="s">
        <v>23</v>
      </c>
      <c r="C3" s="1" t="s">
        <v>138</v>
      </c>
      <c r="D3" s="10">
        <v>48</v>
      </c>
      <c r="E3" s="1">
        <v>30</v>
      </c>
      <c r="F3" s="10">
        <v>56.7</v>
      </c>
      <c r="G3" s="1">
        <v>11</v>
      </c>
      <c r="H3" s="10">
        <v>60.6</v>
      </c>
      <c r="I3" s="1">
        <v>6</v>
      </c>
      <c r="J3" s="10">
        <v>48.7</v>
      </c>
      <c r="K3" s="1">
        <v>24</v>
      </c>
      <c r="L3" s="10">
        <v>54.3</v>
      </c>
      <c r="M3" s="1">
        <v>15</v>
      </c>
      <c r="N3" s="10">
        <v>268.3</v>
      </c>
      <c r="O3" s="1">
        <v>9</v>
      </c>
    </row>
    <row r="4" spans="1:15">
      <c r="A4" s="1">
        <v>2018</v>
      </c>
      <c r="B4" s="9" t="s">
        <v>25</v>
      </c>
      <c r="C4" s="1" t="s">
        <v>139</v>
      </c>
      <c r="D4" s="10">
        <v>51.3</v>
      </c>
      <c r="E4" s="1">
        <v>19</v>
      </c>
      <c r="F4" s="10">
        <v>50.2</v>
      </c>
      <c r="G4" s="1">
        <v>19</v>
      </c>
      <c r="H4" s="10">
        <v>30.4</v>
      </c>
      <c r="I4" s="1">
        <v>46</v>
      </c>
      <c r="J4" s="10">
        <v>61.6</v>
      </c>
      <c r="K4" s="1">
        <v>3</v>
      </c>
      <c r="L4" s="10">
        <v>69.400000000000006</v>
      </c>
      <c r="M4" s="1">
        <v>2</v>
      </c>
      <c r="N4" s="10">
        <v>263</v>
      </c>
      <c r="O4" s="1">
        <v>11</v>
      </c>
    </row>
    <row r="5" spans="1:15">
      <c r="A5" s="1">
        <v>2018</v>
      </c>
      <c r="B5" s="9" t="s">
        <v>27</v>
      </c>
      <c r="C5" s="1" t="s">
        <v>140</v>
      </c>
      <c r="D5" s="10">
        <v>51.6</v>
      </c>
      <c r="E5" s="1">
        <v>16</v>
      </c>
      <c r="F5" s="10">
        <v>65.099999999999994</v>
      </c>
      <c r="G5" s="1">
        <v>1</v>
      </c>
      <c r="H5" s="10">
        <v>56.6</v>
      </c>
      <c r="I5" s="1">
        <v>15</v>
      </c>
      <c r="J5" s="10">
        <v>50.8</v>
      </c>
      <c r="K5" s="1">
        <v>16</v>
      </c>
      <c r="L5" s="10">
        <v>60.5</v>
      </c>
      <c r="M5" s="1">
        <v>7</v>
      </c>
      <c r="N5" s="10">
        <v>284.7</v>
      </c>
      <c r="O5" s="1">
        <v>3</v>
      </c>
    </row>
    <row r="6" spans="1:15">
      <c r="A6" s="1">
        <v>2018</v>
      </c>
      <c r="B6" s="9" t="s">
        <v>29</v>
      </c>
      <c r="C6" s="1" t="s">
        <v>141</v>
      </c>
      <c r="D6" s="10">
        <v>48.4</v>
      </c>
      <c r="E6" s="1">
        <v>27</v>
      </c>
      <c r="F6" s="10">
        <v>57.7</v>
      </c>
      <c r="G6" s="1">
        <v>9</v>
      </c>
      <c r="H6" s="10">
        <v>37.1</v>
      </c>
      <c r="I6" s="1">
        <v>44</v>
      </c>
      <c r="J6" s="10">
        <v>58</v>
      </c>
      <c r="K6" s="1">
        <v>5</v>
      </c>
      <c r="L6" s="10">
        <v>60.5</v>
      </c>
      <c r="M6" s="1">
        <v>6</v>
      </c>
      <c r="N6" s="10">
        <v>261.7</v>
      </c>
      <c r="O6" s="1">
        <v>14</v>
      </c>
    </row>
    <row r="7" spans="1:15">
      <c r="A7" s="1">
        <v>2018</v>
      </c>
      <c r="B7" s="9" t="s">
        <v>31</v>
      </c>
      <c r="C7" s="1" t="s">
        <v>142</v>
      </c>
      <c r="D7" s="10">
        <v>66</v>
      </c>
      <c r="E7" s="1">
        <v>2</v>
      </c>
      <c r="F7" s="10">
        <v>59.6</v>
      </c>
      <c r="G7" s="1">
        <v>5</v>
      </c>
      <c r="H7" s="10">
        <v>40.1</v>
      </c>
      <c r="I7" s="1">
        <v>39</v>
      </c>
      <c r="J7" s="10">
        <v>46.1</v>
      </c>
      <c r="K7" s="1">
        <v>33</v>
      </c>
      <c r="L7" s="10">
        <v>61.2</v>
      </c>
      <c r="M7" s="1">
        <v>5</v>
      </c>
      <c r="N7" s="10">
        <v>273</v>
      </c>
      <c r="O7" s="1">
        <v>6</v>
      </c>
    </row>
    <row r="8" spans="1:15">
      <c r="A8" s="1">
        <v>2018</v>
      </c>
      <c r="B8" s="9" t="s">
        <v>33</v>
      </c>
      <c r="C8" s="1" t="s">
        <v>143</v>
      </c>
      <c r="D8" s="10">
        <v>49.8</v>
      </c>
      <c r="E8" s="1">
        <v>24</v>
      </c>
      <c r="F8" s="10">
        <v>54.6</v>
      </c>
      <c r="G8" s="1">
        <v>15</v>
      </c>
      <c r="H8" s="10">
        <v>56.1</v>
      </c>
      <c r="I8" s="1">
        <v>16</v>
      </c>
      <c r="J8" s="10">
        <v>47.7</v>
      </c>
      <c r="K8" s="1">
        <v>25</v>
      </c>
      <c r="L8" s="10">
        <v>56.3</v>
      </c>
      <c r="M8" s="1">
        <v>11</v>
      </c>
      <c r="N8" s="10">
        <v>264.60000000000002</v>
      </c>
      <c r="O8" s="1">
        <v>10</v>
      </c>
    </row>
    <row r="9" spans="1:15">
      <c r="A9" s="1">
        <v>2018</v>
      </c>
      <c r="B9" s="9" t="s">
        <v>35</v>
      </c>
      <c r="C9" s="1" t="s">
        <v>144</v>
      </c>
      <c r="D9" s="10">
        <v>49.5</v>
      </c>
      <c r="E9" s="1">
        <v>25</v>
      </c>
      <c r="F9" s="10">
        <v>46.5</v>
      </c>
      <c r="G9" s="1">
        <v>34</v>
      </c>
      <c r="H9" s="10">
        <v>39.1</v>
      </c>
      <c r="I9" s="1">
        <v>42</v>
      </c>
      <c r="J9" s="10">
        <v>55</v>
      </c>
      <c r="K9" s="1">
        <v>10</v>
      </c>
      <c r="L9" s="10">
        <v>47.1</v>
      </c>
      <c r="M9" s="1">
        <v>29</v>
      </c>
      <c r="N9" s="10">
        <v>237.1</v>
      </c>
      <c r="O9" s="1">
        <v>34</v>
      </c>
    </row>
    <row r="10" spans="1:15">
      <c r="A10" s="1">
        <v>2018</v>
      </c>
      <c r="B10" s="9" t="s">
        <v>37</v>
      </c>
      <c r="C10" s="1" t="s">
        <v>145</v>
      </c>
      <c r="D10" s="10">
        <v>48.3</v>
      </c>
      <c r="E10" s="1">
        <v>28</v>
      </c>
      <c r="F10" s="10">
        <v>55.1</v>
      </c>
      <c r="G10" s="1">
        <v>13</v>
      </c>
      <c r="H10" s="10">
        <v>51.7</v>
      </c>
      <c r="I10" s="1">
        <v>23</v>
      </c>
      <c r="J10" s="10">
        <v>41</v>
      </c>
      <c r="K10" s="1">
        <v>45</v>
      </c>
      <c r="L10" s="10">
        <v>51.4</v>
      </c>
      <c r="M10" s="1">
        <v>21</v>
      </c>
      <c r="N10" s="10">
        <v>247.5</v>
      </c>
      <c r="O10" s="1">
        <v>27</v>
      </c>
    </row>
    <row r="11" spans="1:15">
      <c r="A11" s="1">
        <v>2018</v>
      </c>
      <c r="B11" s="9" t="s">
        <v>39</v>
      </c>
      <c r="C11" s="1" t="s">
        <v>146</v>
      </c>
      <c r="D11" s="10">
        <v>49.9</v>
      </c>
      <c r="E11" s="1">
        <v>23</v>
      </c>
      <c r="F11" s="10">
        <v>46.8</v>
      </c>
      <c r="G11" s="1">
        <v>32</v>
      </c>
      <c r="H11" s="10">
        <v>40.700000000000003</v>
      </c>
      <c r="I11" s="1">
        <v>37</v>
      </c>
      <c r="J11" s="10">
        <v>51.2</v>
      </c>
      <c r="K11" s="1">
        <v>13</v>
      </c>
      <c r="L11" s="10">
        <v>48.9</v>
      </c>
      <c r="M11" s="1">
        <v>28</v>
      </c>
      <c r="N11" s="10">
        <v>237.5</v>
      </c>
      <c r="O11" s="1">
        <v>33</v>
      </c>
    </row>
    <row r="12" spans="1:15">
      <c r="A12" s="1">
        <v>2018</v>
      </c>
      <c r="B12" s="9" t="s">
        <v>41</v>
      </c>
      <c r="C12" s="1" t="s">
        <v>147</v>
      </c>
      <c r="D12" s="10">
        <v>44</v>
      </c>
      <c r="E12" s="1">
        <v>37</v>
      </c>
      <c r="F12" s="10">
        <v>42.1</v>
      </c>
      <c r="G12" s="1">
        <v>42</v>
      </c>
      <c r="H12" s="10">
        <v>38.700000000000003</v>
      </c>
      <c r="I12" s="1">
        <v>43</v>
      </c>
      <c r="J12" s="10">
        <v>55.1</v>
      </c>
      <c r="K12" s="1">
        <v>8</v>
      </c>
      <c r="L12" s="10">
        <v>49.8</v>
      </c>
      <c r="M12" s="1">
        <v>26</v>
      </c>
      <c r="N12" s="10">
        <v>229.8</v>
      </c>
      <c r="O12" s="1">
        <v>41</v>
      </c>
    </row>
    <row r="13" spans="1:15">
      <c r="A13" s="1">
        <v>2018</v>
      </c>
      <c r="B13" s="9" t="s">
        <v>43</v>
      </c>
      <c r="C13" s="1" t="s">
        <v>148</v>
      </c>
      <c r="D13" s="10">
        <v>35.4</v>
      </c>
      <c r="E13" s="1">
        <v>47</v>
      </c>
      <c r="F13" s="10">
        <v>47.7</v>
      </c>
      <c r="G13" s="1">
        <v>28</v>
      </c>
      <c r="H13" s="10">
        <v>53.9</v>
      </c>
      <c r="I13" s="1">
        <v>20</v>
      </c>
      <c r="J13" s="10">
        <v>46.4</v>
      </c>
      <c r="K13" s="1">
        <v>31</v>
      </c>
      <c r="L13" s="10">
        <v>52.1</v>
      </c>
      <c r="M13" s="1">
        <v>19</v>
      </c>
      <c r="N13" s="10">
        <v>235.4</v>
      </c>
      <c r="O13" s="1">
        <v>35</v>
      </c>
    </row>
    <row r="14" spans="1:15">
      <c r="A14" s="1">
        <v>2018</v>
      </c>
      <c r="B14" s="9" t="s">
        <v>45</v>
      </c>
      <c r="C14" s="1" t="s">
        <v>149</v>
      </c>
      <c r="D14" s="10">
        <v>46.6</v>
      </c>
      <c r="E14" s="1">
        <v>33</v>
      </c>
      <c r="F14" s="10">
        <v>31.8</v>
      </c>
      <c r="G14" s="1">
        <v>47</v>
      </c>
      <c r="H14" s="10">
        <v>50.8</v>
      </c>
      <c r="I14" s="1">
        <v>24</v>
      </c>
      <c r="J14" s="10">
        <v>49.7</v>
      </c>
      <c r="K14" s="1">
        <v>19</v>
      </c>
      <c r="L14" s="10">
        <v>45.3</v>
      </c>
      <c r="M14" s="1">
        <v>35</v>
      </c>
      <c r="N14" s="10">
        <v>224.3</v>
      </c>
      <c r="O14" s="1">
        <v>44</v>
      </c>
    </row>
    <row r="15" spans="1:15">
      <c r="A15" s="1">
        <v>2018</v>
      </c>
      <c r="B15" s="9" t="s">
        <v>47</v>
      </c>
      <c r="C15" s="1" t="s">
        <v>150</v>
      </c>
      <c r="D15" s="10">
        <v>40.4</v>
      </c>
      <c r="E15" s="1">
        <v>42</v>
      </c>
      <c r="F15" s="10">
        <v>36.6</v>
      </c>
      <c r="G15" s="1">
        <v>46</v>
      </c>
      <c r="H15" s="10">
        <v>46.7</v>
      </c>
      <c r="I15" s="1">
        <v>32</v>
      </c>
      <c r="J15" s="10">
        <v>47.1</v>
      </c>
      <c r="K15" s="1">
        <v>27</v>
      </c>
      <c r="L15" s="10">
        <v>46.8</v>
      </c>
      <c r="M15" s="1">
        <v>31</v>
      </c>
      <c r="N15" s="10">
        <v>217.5</v>
      </c>
      <c r="O15" s="1">
        <v>46</v>
      </c>
    </row>
    <row r="16" spans="1:15">
      <c r="A16" s="1">
        <v>2018</v>
      </c>
      <c r="B16" s="9" t="s">
        <v>49</v>
      </c>
      <c r="C16" s="1" t="s">
        <v>151</v>
      </c>
      <c r="D16" s="10">
        <v>67.2</v>
      </c>
      <c r="E16" s="1">
        <v>1</v>
      </c>
      <c r="F16" s="10">
        <v>47.8</v>
      </c>
      <c r="G16" s="1">
        <v>27</v>
      </c>
      <c r="H16" s="10">
        <v>55.4</v>
      </c>
      <c r="I16" s="1">
        <v>17</v>
      </c>
      <c r="J16" s="10">
        <v>49</v>
      </c>
      <c r="K16" s="1">
        <v>21</v>
      </c>
      <c r="L16" s="10">
        <v>56.3</v>
      </c>
      <c r="M16" s="1">
        <v>10</v>
      </c>
      <c r="N16" s="10">
        <v>275.7</v>
      </c>
      <c r="O16" s="1">
        <v>5</v>
      </c>
    </row>
    <row r="17" spans="1:15">
      <c r="A17" s="1">
        <v>2018</v>
      </c>
      <c r="B17" s="9" t="s">
        <v>51</v>
      </c>
      <c r="C17" s="1" t="s">
        <v>152</v>
      </c>
      <c r="D17" s="10">
        <v>57.8</v>
      </c>
      <c r="E17" s="1">
        <v>9</v>
      </c>
      <c r="F17" s="10">
        <v>61.4</v>
      </c>
      <c r="G17" s="1">
        <v>4</v>
      </c>
      <c r="H17" s="10">
        <v>37</v>
      </c>
      <c r="I17" s="1">
        <v>45</v>
      </c>
      <c r="J17" s="10">
        <v>52.3</v>
      </c>
      <c r="K17" s="1">
        <v>12</v>
      </c>
      <c r="L17" s="10">
        <v>50</v>
      </c>
      <c r="M17" s="1">
        <v>25</v>
      </c>
      <c r="N17" s="10">
        <v>258.5</v>
      </c>
      <c r="O17" s="1">
        <v>18</v>
      </c>
    </row>
    <row r="18" spans="1:15">
      <c r="A18" s="1">
        <v>2018</v>
      </c>
      <c r="B18" s="9" t="s">
        <v>53</v>
      </c>
      <c r="C18" s="1" t="s">
        <v>153</v>
      </c>
      <c r="D18" s="10">
        <v>58.2</v>
      </c>
      <c r="E18" s="1">
        <v>6</v>
      </c>
      <c r="F18" s="10">
        <v>55.1</v>
      </c>
      <c r="G18" s="1">
        <v>14</v>
      </c>
      <c r="H18" s="10">
        <v>40.5</v>
      </c>
      <c r="I18" s="1">
        <v>38</v>
      </c>
      <c r="J18" s="10">
        <v>56.7</v>
      </c>
      <c r="K18" s="1">
        <v>7</v>
      </c>
      <c r="L18" s="10">
        <v>50.3</v>
      </c>
      <c r="M18" s="1">
        <v>24</v>
      </c>
      <c r="N18" s="10">
        <v>260.89999999999998</v>
      </c>
      <c r="O18" s="1">
        <v>15</v>
      </c>
    </row>
    <row r="19" spans="1:15">
      <c r="A19" s="1">
        <v>2018</v>
      </c>
      <c r="B19" s="9" t="s">
        <v>55</v>
      </c>
      <c r="C19" s="1" t="s">
        <v>154</v>
      </c>
      <c r="D19" s="10">
        <v>54.8</v>
      </c>
      <c r="E19" s="1">
        <v>11</v>
      </c>
      <c r="F19" s="10">
        <v>43.6</v>
      </c>
      <c r="G19" s="1">
        <v>41</v>
      </c>
      <c r="H19" s="10">
        <v>46.6</v>
      </c>
      <c r="I19" s="1">
        <v>33</v>
      </c>
      <c r="J19" s="10">
        <v>91.7</v>
      </c>
      <c r="K19" s="1">
        <v>1</v>
      </c>
      <c r="L19" s="10">
        <v>44.4</v>
      </c>
      <c r="M19" s="1">
        <v>37</v>
      </c>
      <c r="N19" s="10">
        <v>281.2</v>
      </c>
      <c r="O19" s="1">
        <v>4</v>
      </c>
    </row>
    <row r="20" spans="1:15">
      <c r="A20" s="1">
        <v>2018</v>
      </c>
      <c r="B20" s="9" t="s">
        <v>57</v>
      </c>
      <c r="C20" s="1" t="s">
        <v>155</v>
      </c>
      <c r="D20" s="10">
        <v>58</v>
      </c>
      <c r="E20" s="1">
        <v>8</v>
      </c>
      <c r="F20" s="10">
        <v>46.4</v>
      </c>
      <c r="G20" s="1">
        <v>35</v>
      </c>
      <c r="H20" s="10">
        <v>40</v>
      </c>
      <c r="I20" s="1">
        <v>40</v>
      </c>
      <c r="J20" s="10">
        <v>43</v>
      </c>
      <c r="K20" s="1">
        <v>40</v>
      </c>
      <c r="L20" s="10">
        <v>46.2</v>
      </c>
      <c r="M20" s="1">
        <v>33</v>
      </c>
      <c r="N20" s="10">
        <v>233.6</v>
      </c>
      <c r="O20" s="1">
        <v>37</v>
      </c>
    </row>
    <row r="21" spans="1:15">
      <c r="A21" s="1">
        <v>2018</v>
      </c>
      <c r="B21" s="9" t="s">
        <v>59</v>
      </c>
      <c r="C21" s="1" t="s">
        <v>156</v>
      </c>
      <c r="D21" s="10">
        <v>52.2</v>
      </c>
      <c r="E21" s="1">
        <v>13</v>
      </c>
      <c r="F21" s="10">
        <v>56.9</v>
      </c>
      <c r="G21" s="1">
        <v>10</v>
      </c>
      <c r="H21" s="10">
        <v>41.9</v>
      </c>
      <c r="I21" s="1">
        <v>36</v>
      </c>
      <c r="J21" s="10">
        <v>50.9</v>
      </c>
      <c r="K21" s="1">
        <v>14</v>
      </c>
      <c r="L21" s="10">
        <v>55</v>
      </c>
      <c r="M21" s="1">
        <v>12</v>
      </c>
      <c r="N21" s="10">
        <v>256.89999999999998</v>
      </c>
      <c r="O21" s="1">
        <v>20</v>
      </c>
    </row>
    <row r="22" spans="1:15">
      <c r="A22" s="1">
        <v>2018</v>
      </c>
      <c r="B22" s="9" t="s">
        <v>61</v>
      </c>
      <c r="C22" s="1" t="s">
        <v>157</v>
      </c>
      <c r="D22" s="10">
        <v>52</v>
      </c>
      <c r="E22" s="1">
        <v>14</v>
      </c>
      <c r="F22" s="10">
        <v>47.4</v>
      </c>
      <c r="G22" s="1">
        <v>30</v>
      </c>
      <c r="H22" s="10">
        <v>58.3</v>
      </c>
      <c r="I22" s="1">
        <v>10</v>
      </c>
      <c r="J22" s="10">
        <v>50.4</v>
      </c>
      <c r="K22" s="1">
        <v>18</v>
      </c>
      <c r="L22" s="10">
        <v>41.2</v>
      </c>
      <c r="M22" s="1">
        <v>39</v>
      </c>
      <c r="N22" s="10">
        <v>249.3</v>
      </c>
      <c r="O22" s="1">
        <v>25</v>
      </c>
    </row>
    <row r="23" spans="1:15">
      <c r="A23" s="1">
        <v>2018</v>
      </c>
      <c r="B23" s="9" t="s">
        <v>63</v>
      </c>
      <c r="C23" s="1" t="s">
        <v>158</v>
      </c>
      <c r="D23" s="10">
        <v>43</v>
      </c>
      <c r="E23" s="1">
        <v>40</v>
      </c>
      <c r="F23" s="10">
        <v>43.8</v>
      </c>
      <c r="G23" s="1">
        <v>40</v>
      </c>
      <c r="H23" s="10">
        <v>68.3</v>
      </c>
      <c r="I23" s="1">
        <v>1</v>
      </c>
      <c r="J23" s="10">
        <v>43.3</v>
      </c>
      <c r="K23" s="1">
        <v>39</v>
      </c>
      <c r="L23" s="10">
        <v>52</v>
      </c>
      <c r="M23" s="1">
        <v>20</v>
      </c>
      <c r="N23" s="10">
        <v>250.4</v>
      </c>
      <c r="O23" s="1">
        <v>23</v>
      </c>
    </row>
    <row r="24" spans="1:15">
      <c r="A24" s="1">
        <v>2018</v>
      </c>
      <c r="B24" s="9" t="s">
        <v>65</v>
      </c>
      <c r="C24" s="1" t="s">
        <v>159</v>
      </c>
      <c r="D24" s="10">
        <v>48.6</v>
      </c>
      <c r="E24" s="1">
        <v>26</v>
      </c>
      <c r="F24" s="10">
        <v>38.200000000000003</v>
      </c>
      <c r="G24" s="1">
        <v>44</v>
      </c>
      <c r="H24" s="10">
        <v>50.6</v>
      </c>
      <c r="I24" s="1">
        <v>25</v>
      </c>
      <c r="J24" s="10">
        <v>48.7</v>
      </c>
      <c r="K24" s="1">
        <v>23</v>
      </c>
      <c r="L24" s="10">
        <v>44.9</v>
      </c>
      <c r="M24" s="1">
        <v>36</v>
      </c>
      <c r="N24" s="10">
        <v>231.1</v>
      </c>
      <c r="O24" s="1">
        <v>40</v>
      </c>
    </row>
    <row r="25" spans="1:15">
      <c r="A25" s="1">
        <v>2018</v>
      </c>
      <c r="B25" s="9" t="s">
        <v>67</v>
      </c>
      <c r="C25" s="1" t="s">
        <v>160</v>
      </c>
      <c r="D25" s="10">
        <v>47.3</v>
      </c>
      <c r="E25" s="1">
        <v>31</v>
      </c>
      <c r="F25" s="10">
        <v>45</v>
      </c>
      <c r="G25" s="1">
        <v>37</v>
      </c>
      <c r="H25" s="10">
        <v>57.6</v>
      </c>
      <c r="I25" s="1">
        <v>13</v>
      </c>
      <c r="J25" s="10">
        <v>60.1</v>
      </c>
      <c r="K25" s="1">
        <v>4</v>
      </c>
      <c r="L25" s="10">
        <v>47</v>
      </c>
      <c r="M25" s="1">
        <v>30</v>
      </c>
      <c r="N25" s="10">
        <v>257.10000000000002</v>
      </c>
      <c r="O25" s="1">
        <v>19</v>
      </c>
    </row>
    <row r="26" spans="1:15">
      <c r="A26" s="1">
        <v>2018</v>
      </c>
      <c r="B26" s="9" t="s">
        <v>69</v>
      </c>
      <c r="C26" s="1" t="s">
        <v>161</v>
      </c>
      <c r="D26" s="10">
        <v>53.2</v>
      </c>
      <c r="E26" s="1">
        <v>12</v>
      </c>
      <c r="F26" s="10">
        <v>49.9</v>
      </c>
      <c r="G26" s="1">
        <v>21</v>
      </c>
      <c r="H26" s="10">
        <v>62.4</v>
      </c>
      <c r="I26" s="1">
        <v>4</v>
      </c>
      <c r="J26" s="10">
        <v>44.9</v>
      </c>
      <c r="K26" s="1">
        <v>36</v>
      </c>
      <c r="L26" s="10">
        <v>49.8</v>
      </c>
      <c r="M26" s="1">
        <v>27</v>
      </c>
      <c r="N26" s="10">
        <v>260.2</v>
      </c>
      <c r="O26" s="1">
        <v>16</v>
      </c>
    </row>
    <row r="27" spans="1:15">
      <c r="A27" s="1">
        <v>2018</v>
      </c>
      <c r="B27" s="9" t="s">
        <v>71</v>
      </c>
      <c r="C27" s="1" t="s">
        <v>162</v>
      </c>
      <c r="D27" s="10">
        <v>50.2</v>
      </c>
      <c r="E27" s="1">
        <v>22</v>
      </c>
      <c r="F27" s="10">
        <v>47.5</v>
      </c>
      <c r="G27" s="1">
        <v>29</v>
      </c>
      <c r="H27" s="10">
        <v>61.3</v>
      </c>
      <c r="I27" s="1">
        <v>5</v>
      </c>
      <c r="J27" s="10">
        <v>44.5</v>
      </c>
      <c r="K27" s="1">
        <v>38</v>
      </c>
      <c r="L27" s="10">
        <v>36.6</v>
      </c>
      <c r="M27" s="1">
        <v>43</v>
      </c>
      <c r="N27" s="10">
        <v>240.1</v>
      </c>
      <c r="O27" s="1">
        <v>30</v>
      </c>
    </row>
    <row r="28" spans="1:15">
      <c r="A28" s="1">
        <v>2018</v>
      </c>
      <c r="B28" s="9" t="s">
        <v>73</v>
      </c>
      <c r="C28" s="1" t="s">
        <v>163</v>
      </c>
      <c r="D28" s="10">
        <v>40.1</v>
      </c>
      <c r="E28" s="1">
        <v>45</v>
      </c>
      <c r="F28" s="10">
        <v>37.1</v>
      </c>
      <c r="G28" s="1">
        <v>45</v>
      </c>
      <c r="H28" s="10">
        <v>55.2</v>
      </c>
      <c r="I28" s="1">
        <v>18</v>
      </c>
      <c r="J28" s="10">
        <v>48.9</v>
      </c>
      <c r="K28" s="1">
        <v>22</v>
      </c>
      <c r="L28" s="10">
        <v>39.6</v>
      </c>
      <c r="M28" s="1">
        <v>41</v>
      </c>
      <c r="N28" s="10">
        <v>220.9</v>
      </c>
      <c r="O28" s="1">
        <v>45</v>
      </c>
    </row>
    <row r="29" spans="1:15">
      <c r="A29" s="1">
        <v>2018</v>
      </c>
      <c r="B29" s="9" t="s">
        <v>75</v>
      </c>
      <c r="C29" s="1" t="s">
        <v>164</v>
      </c>
      <c r="D29" s="10">
        <v>40.700000000000003</v>
      </c>
      <c r="E29" s="1">
        <v>41</v>
      </c>
      <c r="F29" s="10">
        <v>46.8</v>
      </c>
      <c r="G29" s="1">
        <v>33</v>
      </c>
      <c r="H29" s="10">
        <v>49.8</v>
      </c>
      <c r="I29" s="1">
        <v>26</v>
      </c>
      <c r="J29" s="10">
        <v>44.9</v>
      </c>
      <c r="K29" s="1">
        <v>35</v>
      </c>
      <c r="L29" s="10">
        <v>46.6</v>
      </c>
      <c r="M29" s="1">
        <v>32</v>
      </c>
      <c r="N29" s="10">
        <v>228.8</v>
      </c>
      <c r="O29" s="1">
        <v>42</v>
      </c>
    </row>
    <row r="30" spans="1:15">
      <c r="A30" s="1">
        <v>2018</v>
      </c>
      <c r="B30" s="9" t="s">
        <v>77</v>
      </c>
      <c r="C30" s="1" t="s">
        <v>165</v>
      </c>
      <c r="D30" s="10">
        <v>43.1</v>
      </c>
      <c r="E30" s="1">
        <v>39</v>
      </c>
      <c r="F30" s="10">
        <v>44</v>
      </c>
      <c r="G30" s="1">
        <v>39</v>
      </c>
      <c r="H30" s="10">
        <v>64.8</v>
      </c>
      <c r="I30" s="1">
        <v>2</v>
      </c>
      <c r="J30" s="10">
        <v>47.7</v>
      </c>
      <c r="K30" s="1">
        <v>26</v>
      </c>
      <c r="L30" s="10">
        <v>32.700000000000003</v>
      </c>
      <c r="M30" s="1">
        <v>45</v>
      </c>
      <c r="N30" s="10">
        <v>232.3</v>
      </c>
      <c r="O30" s="1">
        <v>39</v>
      </c>
    </row>
    <row r="31" spans="1:15">
      <c r="A31" s="1">
        <v>2018</v>
      </c>
      <c r="B31" s="9" t="s">
        <v>79</v>
      </c>
      <c r="C31" s="1" t="s">
        <v>166</v>
      </c>
      <c r="D31" s="10">
        <v>51.6</v>
      </c>
      <c r="E31" s="1">
        <v>17</v>
      </c>
      <c r="F31" s="10">
        <v>50.2</v>
      </c>
      <c r="G31" s="1">
        <v>20</v>
      </c>
      <c r="H31" s="10">
        <v>60.6</v>
      </c>
      <c r="I31" s="1">
        <v>7</v>
      </c>
      <c r="J31" s="10">
        <v>46.4</v>
      </c>
      <c r="K31" s="1">
        <v>30</v>
      </c>
      <c r="L31" s="10">
        <v>36</v>
      </c>
      <c r="M31" s="1">
        <v>44</v>
      </c>
      <c r="N31" s="10">
        <v>244.7</v>
      </c>
      <c r="O31" s="1">
        <v>28</v>
      </c>
    </row>
    <row r="32" spans="1:15">
      <c r="A32" s="1">
        <v>2018</v>
      </c>
      <c r="B32" s="9" t="s">
        <v>81</v>
      </c>
      <c r="C32" s="1" t="s">
        <v>167</v>
      </c>
      <c r="D32" s="10">
        <v>39.6</v>
      </c>
      <c r="E32" s="1">
        <v>46</v>
      </c>
      <c r="F32" s="10">
        <v>55.9</v>
      </c>
      <c r="G32" s="1">
        <v>12</v>
      </c>
      <c r="H32" s="10">
        <v>52.3</v>
      </c>
      <c r="I32" s="1">
        <v>21</v>
      </c>
      <c r="J32" s="10">
        <v>41.9</v>
      </c>
      <c r="K32" s="1">
        <v>44</v>
      </c>
      <c r="L32" s="10">
        <v>53.8</v>
      </c>
      <c r="M32" s="1">
        <v>17</v>
      </c>
      <c r="N32" s="10">
        <v>243.5</v>
      </c>
      <c r="O32" s="1">
        <v>29</v>
      </c>
    </row>
    <row r="33" spans="1:15">
      <c r="A33" s="1">
        <v>2018</v>
      </c>
      <c r="B33" s="9" t="s">
        <v>83</v>
      </c>
      <c r="C33" s="1" t="s">
        <v>168</v>
      </c>
      <c r="D33" s="10">
        <v>63.2</v>
      </c>
      <c r="E33" s="1">
        <v>3</v>
      </c>
      <c r="F33" s="10">
        <v>47.3</v>
      </c>
      <c r="G33" s="1">
        <v>31</v>
      </c>
      <c r="H33" s="10">
        <v>48.1</v>
      </c>
      <c r="I33" s="1">
        <v>29</v>
      </c>
      <c r="J33" s="10">
        <v>42.2</v>
      </c>
      <c r="K33" s="1">
        <v>42</v>
      </c>
      <c r="L33" s="10">
        <v>59.5</v>
      </c>
      <c r="M33" s="1">
        <v>8</v>
      </c>
      <c r="N33" s="10">
        <v>260.2</v>
      </c>
      <c r="O33" s="1">
        <v>17</v>
      </c>
    </row>
    <row r="34" spans="1:15">
      <c r="A34" s="1">
        <v>2018</v>
      </c>
      <c r="B34" s="9" t="s">
        <v>85</v>
      </c>
      <c r="C34" s="1" t="s">
        <v>169</v>
      </c>
      <c r="D34" s="10">
        <v>61</v>
      </c>
      <c r="E34" s="1">
        <v>5</v>
      </c>
      <c r="F34" s="10">
        <v>54.2</v>
      </c>
      <c r="G34" s="1">
        <v>16</v>
      </c>
      <c r="H34" s="10">
        <v>45.1</v>
      </c>
      <c r="I34" s="1">
        <v>34</v>
      </c>
      <c r="J34" s="10">
        <v>46.8</v>
      </c>
      <c r="K34" s="1">
        <v>29</v>
      </c>
      <c r="L34" s="10">
        <v>45.8</v>
      </c>
      <c r="M34" s="1">
        <v>34</v>
      </c>
      <c r="N34" s="10">
        <v>252.9</v>
      </c>
      <c r="O34" s="1">
        <v>21</v>
      </c>
    </row>
    <row r="35" spans="1:15">
      <c r="A35" s="1">
        <v>2018</v>
      </c>
      <c r="B35" s="9" t="s">
        <v>87</v>
      </c>
      <c r="C35" s="1" t="s">
        <v>170</v>
      </c>
      <c r="D35" s="10">
        <v>50.7</v>
      </c>
      <c r="E35" s="1">
        <v>21</v>
      </c>
      <c r="F35" s="10">
        <v>48.8</v>
      </c>
      <c r="G35" s="1">
        <v>24</v>
      </c>
      <c r="H35" s="10">
        <v>44.2</v>
      </c>
      <c r="I35" s="1">
        <v>35</v>
      </c>
      <c r="J35" s="10">
        <v>46.2</v>
      </c>
      <c r="K35" s="1">
        <v>32</v>
      </c>
      <c r="L35" s="10">
        <v>43.7</v>
      </c>
      <c r="M35" s="1">
        <v>38</v>
      </c>
      <c r="N35" s="10">
        <v>233.6</v>
      </c>
      <c r="O35" s="1">
        <v>38</v>
      </c>
    </row>
    <row r="36" spans="1:15">
      <c r="A36" s="1">
        <v>2018</v>
      </c>
      <c r="B36" s="9" t="s">
        <v>89</v>
      </c>
      <c r="C36" s="1" t="s">
        <v>171</v>
      </c>
      <c r="D36" s="10">
        <v>40.4</v>
      </c>
      <c r="E36" s="1">
        <v>43</v>
      </c>
      <c r="F36" s="10">
        <v>58.1</v>
      </c>
      <c r="G36" s="1">
        <v>8</v>
      </c>
      <c r="H36" s="10">
        <v>46.9</v>
      </c>
      <c r="I36" s="1">
        <v>31</v>
      </c>
      <c r="J36" s="10">
        <v>42.1</v>
      </c>
      <c r="K36" s="1">
        <v>43</v>
      </c>
      <c r="L36" s="10">
        <v>50.9</v>
      </c>
      <c r="M36" s="1">
        <v>22</v>
      </c>
      <c r="N36" s="10">
        <v>238.3</v>
      </c>
      <c r="O36" s="1">
        <v>31</v>
      </c>
    </row>
    <row r="37" spans="1:15">
      <c r="A37" s="1">
        <v>2018</v>
      </c>
      <c r="B37" s="9" t="s">
        <v>91</v>
      </c>
      <c r="C37" s="1" t="s">
        <v>172</v>
      </c>
      <c r="D37" s="10">
        <v>62.8</v>
      </c>
      <c r="E37" s="1">
        <v>4</v>
      </c>
      <c r="F37" s="10">
        <v>44.9</v>
      </c>
      <c r="G37" s="1">
        <v>38</v>
      </c>
      <c r="H37" s="10">
        <v>63.7</v>
      </c>
      <c r="I37" s="1">
        <v>3</v>
      </c>
      <c r="J37" s="10">
        <v>37.4</v>
      </c>
      <c r="K37" s="1">
        <v>46</v>
      </c>
      <c r="L37" s="10">
        <v>26.3</v>
      </c>
      <c r="M37" s="1">
        <v>47</v>
      </c>
      <c r="N37" s="10">
        <v>235</v>
      </c>
      <c r="O37" s="1">
        <v>36</v>
      </c>
    </row>
    <row r="38" spans="1:15">
      <c r="A38" s="1">
        <v>2018</v>
      </c>
      <c r="B38" s="9" t="s">
        <v>93</v>
      </c>
      <c r="C38" s="1" t="s">
        <v>173</v>
      </c>
      <c r="D38" s="10">
        <v>47.1</v>
      </c>
      <c r="E38" s="1">
        <v>32</v>
      </c>
      <c r="F38" s="10">
        <v>63</v>
      </c>
      <c r="G38" s="1">
        <v>2</v>
      </c>
      <c r="H38" s="10">
        <v>54.9</v>
      </c>
      <c r="I38" s="1">
        <v>19</v>
      </c>
      <c r="J38" s="10">
        <v>45.2</v>
      </c>
      <c r="K38" s="1">
        <v>34</v>
      </c>
      <c r="L38" s="10">
        <v>37.799999999999997</v>
      </c>
      <c r="M38" s="1">
        <v>42</v>
      </c>
      <c r="N38" s="10">
        <v>248.1</v>
      </c>
      <c r="O38" s="1">
        <v>26</v>
      </c>
    </row>
    <row r="39" spans="1:15">
      <c r="A39" s="1">
        <v>2018</v>
      </c>
      <c r="B39" s="9" t="s">
        <v>95</v>
      </c>
      <c r="C39" s="1" t="s">
        <v>174</v>
      </c>
      <c r="D39" s="10">
        <v>51.8</v>
      </c>
      <c r="E39" s="1">
        <v>15</v>
      </c>
      <c r="F39" s="10">
        <v>51.5</v>
      </c>
      <c r="G39" s="1">
        <v>17</v>
      </c>
      <c r="H39" s="10">
        <v>39.5</v>
      </c>
      <c r="I39" s="1">
        <v>41</v>
      </c>
      <c r="J39" s="10">
        <v>42.4</v>
      </c>
      <c r="K39" s="1">
        <v>41</v>
      </c>
      <c r="L39" s="10">
        <v>39.9</v>
      </c>
      <c r="M39" s="1">
        <v>40</v>
      </c>
      <c r="N39" s="10">
        <v>225.1</v>
      </c>
      <c r="O39" s="1">
        <v>43</v>
      </c>
    </row>
    <row r="40" spans="1:15">
      <c r="A40" s="1">
        <v>2018</v>
      </c>
      <c r="B40" s="9" t="s">
        <v>97</v>
      </c>
      <c r="C40" s="1" t="s">
        <v>175</v>
      </c>
      <c r="D40" s="10">
        <v>58.2</v>
      </c>
      <c r="E40" s="1">
        <v>7</v>
      </c>
      <c r="F40" s="10">
        <v>48.3</v>
      </c>
      <c r="G40" s="1">
        <v>26</v>
      </c>
      <c r="H40" s="10">
        <v>15.5</v>
      </c>
      <c r="I40" s="1">
        <v>47</v>
      </c>
      <c r="J40" s="10">
        <v>35.200000000000003</v>
      </c>
      <c r="K40" s="1">
        <v>47</v>
      </c>
      <c r="L40" s="10">
        <v>32.200000000000003</v>
      </c>
      <c r="M40" s="1">
        <v>46</v>
      </c>
      <c r="N40" s="10">
        <v>189.4</v>
      </c>
      <c r="O40" s="1">
        <v>47</v>
      </c>
    </row>
    <row r="41" spans="1:15">
      <c r="A41" s="1">
        <v>2018</v>
      </c>
      <c r="B41" s="9" t="s">
        <v>99</v>
      </c>
      <c r="C41" s="1" t="s">
        <v>176</v>
      </c>
      <c r="D41" s="10">
        <v>45.5</v>
      </c>
      <c r="E41" s="1">
        <v>36</v>
      </c>
      <c r="F41" s="10">
        <v>41.8</v>
      </c>
      <c r="G41" s="1">
        <v>43</v>
      </c>
      <c r="H41" s="10">
        <v>51.8</v>
      </c>
      <c r="I41" s="1">
        <v>22</v>
      </c>
      <c r="J41" s="10">
        <v>57.4</v>
      </c>
      <c r="K41" s="1">
        <v>6</v>
      </c>
      <c r="L41" s="10">
        <v>53.5</v>
      </c>
      <c r="M41" s="1">
        <v>18</v>
      </c>
      <c r="N41" s="10">
        <v>250</v>
      </c>
      <c r="O41" s="1">
        <v>24</v>
      </c>
    </row>
    <row r="42" spans="1:15">
      <c r="A42" s="1">
        <v>2018</v>
      </c>
      <c r="B42" s="9" t="s">
        <v>101</v>
      </c>
      <c r="C42" s="1" t="s">
        <v>177</v>
      </c>
      <c r="D42" s="10">
        <v>46.3</v>
      </c>
      <c r="E42" s="1">
        <v>34</v>
      </c>
      <c r="F42" s="10">
        <v>49.8</v>
      </c>
      <c r="G42" s="1">
        <v>22</v>
      </c>
      <c r="H42" s="10">
        <v>58.2</v>
      </c>
      <c r="I42" s="1">
        <v>11</v>
      </c>
      <c r="J42" s="10">
        <v>81.099999999999994</v>
      </c>
      <c r="K42" s="1">
        <v>2</v>
      </c>
      <c r="L42" s="10">
        <v>62.4</v>
      </c>
      <c r="M42" s="1">
        <v>4</v>
      </c>
      <c r="N42" s="10">
        <v>297.8</v>
      </c>
      <c r="O42" s="1">
        <v>1</v>
      </c>
    </row>
    <row r="43" spans="1:15">
      <c r="A43" s="1">
        <v>2018</v>
      </c>
      <c r="B43" s="9" t="s">
        <v>103</v>
      </c>
      <c r="C43" s="1" t="s">
        <v>178</v>
      </c>
      <c r="D43" s="10">
        <v>51.4</v>
      </c>
      <c r="E43" s="1">
        <v>18</v>
      </c>
      <c r="F43" s="10">
        <v>59.6</v>
      </c>
      <c r="G43" s="1">
        <v>6</v>
      </c>
      <c r="H43" s="10">
        <v>58.5</v>
      </c>
      <c r="I43" s="1">
        <v>9</v>
      </c>
      <c r="J43" s="10">
        <v>46.9</v>
      </c>
      <c r="K43" s="1">
        <v>28</v>
      </c>
      <c r="L43" s="10">
        <v>54.4</v>
      </c>
      <c r="M43" s="1">
        <v>14</v>
      </c>
      <c r="N43" s="10">
        <v>270.89999999999998</v>
      </c>
      <c r="O43" s="1">
        <v>7</v>
      </c>
    </row>
    <row r="44" spans="1:15">
      <c r="A44" s="1">
        <v>2018</v>
      </c>
      <c r="B44" s="9" t="s">
        <v>105</v>
      </c>
      <c r="C44" s="1" t="s">
        <v>179</v>
      </c>
      <c r="D44" s="10">
        <v>55.6</v>
      </c>
      <c r="E44" s="1">
        <v>10</v>
      </c>
      <c r="F44" s="10">
        <v>58.3</v>
      </c>
      <c r="G44" s="1">
        <v>7</v>
      </c>
      <c r="H44" s="10">
        <v>49.1</v>
      </c>
      <c r="I44" s="1">
        <v>27</v>
      </c>
      <c r="J44" s="10">
        <v>52.7</v>
      </c>
      <c r="K44" s="1">
        <v>11</v>
      </c>
      <c r="L44" s="10">
        <v>54.8</v>
      </c>
      <c r="M44" s="1">
        <v>13</v>
      </c>
      <c r="N44" s="10">
        <v>270.5</v>
      </c>
      <c r="O44" s="1">
        <v>8</v>
      </c>
    </row>
    <row r="45" spans="1:15">
      <c r="A45" s="1">
        <v>2018</v>
      </c>
      <c r="B45" s="9" t="s">
        <v>107</v>
      </c>
      <c r="C45" s="1" t="s">
        <v>180</v>
      </c>
      <c r="D45" s="10">
        <v>48.3</v>
      </c>
      <c r="E45" s="1">
        <v>29</v>
      </c>
      <c r="F45" s="10">
        <v>45.5</v>
      </c>
      <c r="G45" s="1">
        <v>36</v>
      </c>
      <c r="H45" s="10">
        <v>58.7</v>
      </c>
      <c r="I45" s="1">
        <v>8</v>
      </c>
      <c r="J45" s="10">
        <v>49</v>
      </c>
      <c r="K45" s="1">
        <v>20</v>
      </c>
      <c r="L45" s="10">
        <v>50.4</v>
      </c>
      <c r="M45" s="1">
        <v>23</v>
      </c>
      <c r="N45" s="10">
        <v>251.9</v>
      </c>
      <c r="O45" s="1">
        <v>22</v>
      </c>
    </row>
    <row r="46" spans="1:15">
      <c r="A46" s="1">
        <v>2018</v>
      </c>
      <c r="B46" s="9" t="s">
        <v>109</v>
      </c>
      <c r="C46" s="1" t="s">
        <v>181</v>
      </c>
      <c r="D46" s="10">
        <v>45.6</v>
      </c>
      <c r="E46" s="1">
        <v>35</v>
      </c>
      <c r="F46" s="10">
        <v>51.1</v>
      </c>
      <c r="G46" s="1">
        <v>18</v>
      </c>
      <c r="H46" s="10">
        <v>57.2</v>
      </c>
      <c r="I46" s="1">
        <v>14</v>
      </c>
      <c r="J46" s="10">
        <v>50.7</v>
      </c>
      <c r="K46" s="1">
        <v>17</v>
      </c>
      <c r="L46" s="10">
        <v>57.6</v>
      </c>
      <c r="M46" s="1">
        <v>9</v>
      </c>
      <c r="N46" s="10">
        <v>262.2</v>
      </c>
      <c r="O46" s="1">
        <v>12</v>
      </c>
    </row>
    <row r="47" spans="1:15">
      <c r="A47" s="1">
        <v>2018</v>
      </c>
      <c r="B47" s="9" t="s">
        <v>111</v>
      </c>
      <c r="C47" s="1" t="s">
        <v>182</v>
      </c>
      <c r="D47" s="10">
        <v>40.200000000000003</v>
      </c>
      <c r="E47" s="1">
        <v>44</v>
      </c>
      <c r="F47" s="10">
        <v>49.6</v>
      </c>
      <c r="G47" s="1">
        <v>23</v>
      </c>
      <c r="H47" s="10">
        <v>57.9</v>
      </c>
      <c r="I47" s="1">
        <v>12</v>
      </c>
      <c r="J47" s="10">
        <v>50.8</v>
      </c>
      <c r="K47" s="1">
        <v>15</v>
      </c>
      <c r="L47" s="10">
        <v>63.4</v>
      </c>
      <c r="M47" s="1">
        <v>3</v>
      </c>
      <c r="N47" s="10">
        <v>262</v>
      </c>
      <c r="O47" s="1">
        <v>13</v>
      </c>
    </row>
    <row r="48" spans="1:15">
      <c r="A48" s="1">
        <v>2018</v>
      </c>
      <c r="B48" s="9" t="s">
        <v>113</v>
      </c>
      <c r="C48" s="1" t="s">
        <v>183</v>
      </c>
      <c r="D48" s="10">
        <v>51.3</v>
      </c>
      <c r="E48" s="1">
        <v>20</v>
      </c>
      <c r="F48" s="10">
        <v>62.7</v>
      </c>
      <c r="G48" s="1">
        <v>3</v>
      </c>
      <c r="H48" s="10">
        <v>48.6</v>
      </c>
      <c r="I48" s="1">
        <v>28</v>
      </c>
      <c r="J48" s="10">
        <v>55.1</v>
      </c>
      <c r="K48" s="1">
        <v>9</v>
      </c>
      <c r="L48" s="10">
        <v>76.900000000000006</v>
      </c>
      <c r="M48" s="1">
        <v>1</v>
      </c>
      <c r="N48" s="10">
        <v>294.60000000000002</v>
      </c>
      <c r="O48" s="1">
        <v>2</v>
      </c>
    </row>
    <row r="49" spans="1:15">
      <c r="A49" s="1">
        <v>2019</v>
      </c>
      <c r="B49" s="9" t="s">
        <v>21</v>
      </c>
      <c r="C49" s="1" t="s">
        <v>22</v>
      </c>
      <c r="D49" s="10">
        <v>42.7</v>
      </c>
      <c r="E49" s="1">
        <v>42</v>
      </c>
      <c r="F49" s="10">
        <v>40.4</v>
      </c>
      <c r="G49" s="1">
        <v>43</v>
      </c>
      <c r="H49" s="10">
        <v>44.1</v>
      </c>
      <c r="I49" s="1">
        <v>34</v>
      </c>
      <c r="J49" s="10">
        <v>51.4</v>
      </c>
      <c r="K49" s="1">
        <v>18</v>
      </c>
      <c r="L49" s="10">
        <v>55.5</v>
      </c>
      <c r="M49" s="1">
        <v>15</v>
      </c>
      <c r="N49" s="10">
        <v>234.1</v>
      </c>
      <c r="O49" s="1">
        <v>38</v>
      </c>
    </row>
    <row r="50" spans="1:15">
      <c r="A50" s="1">
        <v>2019</v>
      </c>
      <c r="B50" s="9" t="s">
        <v>23</v>
      </c>
      <c r="C50" s="1" t="s">
        <v>138</v>
      </c>
      <c r="D50" s="10">
        <v>49.4</v>
      </c>
      <c r="E50" s="1">
        <v>20</v>
      </c>
      <c r="F50" s="10">
        <v>42.4</v>
      </c>
      <c r="G50" s="1">
        <v>39</v>
      </c>
      <c r="H50" s="10">
        <v>41.6</v>
      </c>
      <c r="I50" s="1">
        <v>39</v>
      </c>
      <c r="J50" s="10">
        <v>51.1</v>
      </c>
      <c r="K50" s="1">
        <v>20</v>
      </c>
      <c r="L50" s="10">
        <v>52.3</v>
      </c>
      <c r="M50" s="1">
        <v>18</v>
      </c>
      <c r="N50" s="10">
        <v>236.9</v>
      </c>
      <c r="O50" s="1">
        <v>35</v>
      </c>
    </row>
    <row r="51" spans="1:15">
      <c r="A51" s="1">
        <v>2019</v>
      </c>
      <c r="B51" s="9" t="s">
        <v>25</v>
      </c>
      <c r="C51" s="1" t="s">
        <v>139</v>
      </c>
      <c r="D51" s="10">
        <v>57.4</v>
      </c>
      <c r="E51" s="1">
        <v>8</v>
      </c>
      <c r="F51" s="10">
        <v>40.4</v>
      </c>
      <c r="G51" s="1">
        <v>42</v>
      </c>
      <c r="H51" s="10">
        <v>41.9</v>
      </c>
      <c r="I51" s="1">
        <v>38</v>
      </c>
      <c r="J51" s="10">
        <v>53.8</v>
      </c>
      <c r="K51" s="1">
        <v>11</v>
      </c>
      <c r="L51" s="10">
        <v>62.2</v>
      </c>
      <c r="M51" s="1">
        <v>3</v>
      </c>
      <c r="N51" s="10">
        <v>255.7</v>
      </c>
      <c r="O51" s="1">
        <v>19</v>
      </c>
    </row>
    <row r="52" spans="1:15">
      <c r="A52" s="1">
        <v>2019</v>
      </c>
      <c r="B52" s="9" t="s">
        <v>27</v>
      </c>
      <c r="C52" s="1" t="s">
        <v>140</v>
      </c>
      <c r="D52" s="10">
        <v>53.8</v>
      </c>
      <c r="E52" s="1">
        <v>16</v>
      </c>
      <c r="F52" s="10">
        <v>57.1</v>
      </c>
      <c r="G52" s="1">
        <v>10</v>
      </c>
      <c r="H52" s="10">
        <v>46.4</v>
      </c>
      <c r="I52" s="1">
        <v>32</v>
      </c>
      <c r="J52" s="10">
        <v>40.5</v>
      </c>
      <c r="K52" s="1">
        <v>42</v>
      </c>
      <c r="L52" s="10">
        <v>61.9</v>
      </c>
      <c r="M52" s="1">
        <v>4</v>
      </c>
      <c r="N52" s="10">
        <v>259.8</v>
      </c>
      <c r="O52" s="1">
        <v>14</v>
      </c>
    </row>
    <row r="53" spans="1:15">
      <c r="A53" s="1">
        <v>2019</v>
      </c>
      <c r="B53" s="9" t="s">
        <v>29</v>
      </c>
      <c r="C53" s="1" t="s">
        <v>141</v>
      </c>
      <c r="D53" s="10">
        <v>47.3</v>
      </c>
      <c r="E53" s="1">
        <v>25</v>
      </c>
      <c r="F53" s="10">
        <v>56.7</v>
      </c>
      <c r="G53" s="1">
        <v>11</v>
      </c>
      <c r="H53" s="10">
        <v>41.6</v>
      </c>
      <c r="I53" s="1">
        <v>40</v>
      </c>
      <c r="J53" s="10">
        <v>33.6</v>
      </c>
      <c r="K53" s="1">
        <v>46</v>
      </c>
      <c r="L53" s="10">
        <v>56.7</v>
      </c>
      <c r="M53" s="1">
        <v>12</v>
      </c>
      <c r="N53" s="10">
        <v>235.8</v>
      </c>
      <c r="O53" s="1">
        <v>36</v>
      </c>
    </row>
    <row r="54" spans="1:15">
      <c r="A54" s="1">
        <v>2019</v>
      </c>
      <c r="B54" s="9" t="s">
        <v>31</v>
      </c>
      <c r="C54" s="1" t="s">
        <v>142</v>
      </c>
      <c r="D54" s="10">
        <v>68.3</v>
      </c>
      <c r="E54" s="1">
        <v>1</v>
      </c>
      <c r="F54" s="10">
        <v>47.6</v>
      </c>
      <c r="G54" s="1">
        <v>29</v>
      </c>
      <c r="H54" s="10">
        <v>55.3</v>
      </c>
      <c r="I54" s="1">
        <v>15</v>
      </c>
      <c r="J54" s="10">
        <v>54.6</v>
      </c>
      <c r="K54" s="1">
        <v>8</v>
      </c>
      <c r="L54" s="10">
        <v>60.1</v>
      </c>
      <c r="M54" s="1">
        <v>7</v>
      </c>
      <c r="N54" s="10">
        <v>285.8</v>
      </c>
      <c r="O54" s="1">
        <v>3</v>
      </c>
    </row>
    <row r="55" spans="1:15">
      <c r="A55" s="1">
        <v>2019</v>
      </c>
      <c r="B55" s="9" t="s">
        <v>33</v>
      </c>
      <c r="C55" s="1" t="s">
        <v>143</v>
      </c>
      <c r="D55" s="10">
        <v>45.8</v>
      </c>
      <c r="E55" s="1">
        <v>32</v>
      </c>
      <c r="F55" s="10">
        <v>51.3</v>
      </c>
      <c r="G55" s="1">
        <v>20</v>
      </c>
      <c r="H55" s="10">
        <v>58.1</v>
      </c>
      <c r="I55" s="1">
        <v>9</v>
      </c>
      <c r="J55" s="10">
        <v>49.9</v>
      </c>
      <c r="K55" s="1">
        <v>25</v>
      </c>
      <c r="L55" s="10">
        <v>60.6</v>
      </c>
      <c r="M55" s="1">
        <v>6</v>
      </c>
      <c r="N55" s="10">
        <v>265.7</v>
      </c>
      <c r="O55" s="1">
        <v>10</v>
      </c>
    </row>
    <row r="56" spans="1:15">
      <c r="A56" s="1">
        <v>2019</v>
      </c>
      <c r="B56" s="9" t="s">
        <v>35</v>
      </c>
      <c r="C56" s="1" t="s">
        <v>144</v>
      </c>
      <c r="D56" s="10">
        <v>42.6</v>
      </c>
      <c r="E56" s="1">
        <v>43</v>
      </c>
      <c r="F56" s="10">
        <v>51.4</v>
      </c>
      <c r="G56" s="1">
        <v>19</v>
      </c>
      <c r="H56" s="10">
        <v>42.6</v>
      </c>
      <c r="I56" s="1">
        <v>37</v>
      </c>
      <c r="J56" s="10">
        <v>51.4</v>
      </c>
      <c r="K56" s="1">
        <v>19</v>
      </c>
      <c r="L56" s="10">
        <v>46.4</v>
      </c>
      <c r="M56" s="1">
        <v>31</v>
      </c>
      <c r="N56" s="10">
        <v>234.4</v>
      </c>
      <c r="O56" s="1">
        <v>37</v>
      </c>
    </row>
    <row r="57" spans="1:15">
      <c r="A57" s="1">
        <v>2019</v>
      </c>
      <c r="B57" s="9" t="s">
        <v>37</v>
      </c>
      <c r="C57" s="1" t="s">
        <v>145</v>
      </c>
      <c r="D57" s="10">
        <v>45.6</v>
      </c>
      <c r="E57" s="1">
        <v>34</v>
      </c>
      <c r="F57" s="10">
        <v>52.7</v>
      </c>
      <c r="G57" s="1">
        <v>15</v>
      </c>
      <c r="H57" s="10">
        <v>57.8</v>
      </c>
      <c r="I57" s="1">
        <v>10</v>
      </c>
      <c r="J57" s="10">
        <v>46.3</v>
      </c>
      <c r="K57" s="1">
        <v>33</v>
      </c>
      <c r="L57" s="10">
        <v>49</v>
      </c>
      <c r="M57" s="1">
        <v>23</v>
      </c>
      <c r="N57" s="10">
        <v>251.5</v>
      </c>
      <c r="O57" s="1">
        <v>21</v>
      </c>
    </row>
    <row r="58" spans="1:15">
      <c r="A58" s="1">
        <v>2019</v>
      </c>
      <c r="B58" s="9" t="s">
        <v>39</v>
      </c>
      <c r="C58" s="1" t="s">
        <v>146</v>
      </c>
      <c r="D58" s="10">
        <v>45</v>
      </c>
      <c r="E58" s="1">
        <v>37</v>
      </c>
      <c r="F58" s="10">
        <v>44.3</v>
      </c>
      <c r="G58" s="1">
        <v>35</v>
      </c>
      <c r="H58" s="10">
        <v>48.6</v>
      </c>
      <c r="I58" s="1">
        <v>27</v>
      </c>
      <c r="J58" s="10">
        <v>42</v>
      </c>
      <c r="K58" s="1">
        <v>41</v>
      </c>
      <c r="L58" s="10">
        <v>47.7</v>
      </c>
      <c r="M58" s="1">
        <v>26</v>
      </c>
      <c r="N58" s="10">
        <v>227.6</v>
      </c>
      <c r="O58" s="1">
        <v>42</v>
      </c>
    </row>
    <row r="59" spans="1:15">
      <c r="A59" s="1">
        <v>2019</v>
      </c>
      <c r="B59" s="9" t="s">
        <v>41</v>
      </c>
      <c r="C59" s="1" t="s">
        <v>147</v>
      </c>
      <c r="D59" s="10">
        <v>48.2</v>
      </c>
      <c r="E59" s="1">
        <v>22</v>
      </c>
      <c r="F59" s="10">
        <v>38.200000000000003</v>
      </c>
      <c r="G59" s="1">
        <v>44</v>
      </c>
      <c r="H59" s="10">
        <v>35.6</v>
      </c>
      <c r="I59" s="1">
        <v>44</v>
      </c>
      <c r="J59" s="10">
        <v>44.1</v>
      </c>
      <c r="K59" s="1">
        <v>37</v>
      </c>
      <c r="L59" s="10">
        <v>49.1</v>
      </c>
      <c r="M59" s="1">
        <v>22</v>
      </c>
      <c r="N59" s="10">
        <v>215.2</v>
      </c>
      <c r="O59" s="1">
        <v>45</v>
      </c>
    </row>
    <row r="60" spans="1:15">
      <c r="A60" s="1">
        <v>2019</v>
      </c>
      <c r="B60" s="9" t="s">
        <v>43</v>
      </c>
      <c r="C60" s="1" t="s">
        <v>148</v>
      </c>
      <c r="D60" s="10">
        <v>35.9</v>
      </c>
      <c r="E60" s="1">
        <v>47</v>
      </c>
      <c r="F60" s="10">
        <v>36.5</v>
      </c>
      <c r="G60" s="1">
        <v>46</v>
      </c>
      <c r="H60" s="10">
        <v>42.7</v>
      </c>
      <c r="I60" s="1">
        <v>36</v>
      </c>
      <c r="J60" s="10">
        <v>47</v>
      </c>
      <c r="K60" s="1">
        <v>32</v>
      </c>
      <c r="L60" s="10">
        <v>49.4</v>
      </c>
      <c r="M60" s="1">
        <v>21</v>
      </c>
      <c r="N60" s="10">
        <v>211.6</v>
      </c>
      <c r="O60" s="1">
        <v>47</v>
      </c>
    </row>
    <row r="61" spans="1:15">
      <c r="A61" s="1">
        <v>2019</v>
      </c>
      <c r="B61" s="9" t="s">
        <v>45</v>
      </c>
      <c r="C61" s="1" t="s">
        <v>149</v>
      </c>
      <c r="D61" s="10">
        <v>53.9</v>
      </c>
      <c r="E61" s="1">
        <v>15</v>
      </c>
      <c r="F61" s="10">
        <v>38</v>
      </c>
      <c r="G61" s="1">
        <v>45</v>
      </c>
      <c r="H61" s="10">
        <v>48.1</v>
      </c>
      <c r="I61" s="1">
        <v>28</v>
      </c>
      <c r="J61" s="10">
        <v>44.7</v>
      </c>
      <c r="K61" s="1">
        <v>35</v>
      </c>
      <c r="L61" s="10">
        <v>47.7</v>
      </c>
      <c r="M61" s="1">
        <v>28</v>
      </c>
      <c r="N61" s="10">
        <v>232.4</v>
      </c>
      <c r="O61" s="1">
        <v>39</v>
      </c>
    </row>
    <row r="62" spans="1:15">
      <c r="A62" s="1">
        <v>2019</v>
      </c>
      <c r="B62" s="9" t="s">
        <v>47</v>
      </c>
      <c r="C62" s="1" t="s">
        <v>150</v>
      </c>
      <c r="D62" s="10">
        <v>46.1</v>
      </c>
      <c r="E62" s="1">
        <v>30</v>
      </c>
      <c r="F62" s="10">
        <v>44.8</v>
      </c>
      <c r="G62" s="1">
        <v>34</v>
      </c>
      <c r="H62" s="10">
        <v>39.799999999999997</v>
      </c>
      <c r="I62" s="1">
        <v>42</v>
      </c>
      <c r="J62" s="10">
        <v>45.7</v>
      </c>
      <c r="K62" s="1">
        <v>34</v>
      </c>
      <c r="L62" s="10">
        <v>46.9</v>
      </c>
      <c r="M62" s="1">
        <v>30</v>
      </c>
      <c r="N62" s="10">
        <v>223.3</v>
      </c>
      <c r="O62" s="1">
        <v>44</v>
      </c>
    </row>
    <row r="63" spans="1:15">
      <c r="A63" s="1">
        <v>2019</v>
      </c>
      <c r="B63" s="9" t="s">
        <v>49</v>
      </c>
      <c r="C63" s="1" t="s">
        <v>151</v>
      </c>
      <c r="D63" s="10">
        <v>59.2</v>
      </c>
      <c r="E63" s="1">
        <v>4</v>
      </c>
      <c r="F63" s="10">
        <v>45.7</v>
      </c>
      <c r="G63" s="1">
        <v>33</v>
      </c>
      <c r="H63" s="10">
        <v>53.4</v>
      </c>
      <c r="I63" s="1">
        <v>17</v>
      </c>
      <c r="J63" s="10">
        <v>49.9</v>
      </c>
      <c r="K63" s="1">
        <v>24</v>
      </c>
      <c r="L63" s="10">
        <v>58.2</v>
      </c>
      <c r="M63" s="1">
        <v>10</v>
      </c>
      <c r="N63" s="10">
        <v>266.39999999999998</v>
      </c>
      <c r="O63" s="1">
        <v>9</v>
      </c>
    </row>
    <row r="64" spans="1:15">
      <c r="A64" s="1">
        <v>2019</v>
      </c>
      <c r="B64" s="9" t="s">
        <v>51</v>
      </c>
      <c r="C64" s="1" t="s">
        <v>152</v>
      </c>
      <c r="D64" s="10">
        <v>60.6</v>
      </c>
      <c r="E64" s="1">
        <v>3</v>
      </c>
      <c r="F64" s="10">
        <v>61.4</v>
      </c>
      <c r="G64" s="1">
        <v>5</v>
      </c>
      <c r="H64" s="10">
        <v>32.799999999999997</v>
      </c>
      <c r="I64" s="1">
        <v>46</v>
      </c>
      <c r="J64" s="10">
        <v>78.8</v>
      </c>
      <c r="K64" s="1">
        <v>1</v>
      </c>
      <c r="L64" s="10">
        <v>55.9</v>
      </c>
      <c r="M64" s="1">
        <v>13</v>
      </c>
      <c r="N64" s="10">
        <v>289.5</v>
      </c>
      <c r="O64" s="1">
        <v>2</v>
      </c>
    </row>
    <row r="65" spans="1:15">
      <c r="A65" s="1">
        <v>2019</v>
      </c>
      <c r="B65" s="9" t="s">
        <v>53</v>
      </c>
      <c r="C65" s="1" t="s">
        <v>153</v>
      </c>
      <c r="D65" s="10">
        <v>57.2</v>
      </c>
      <c r="E65" s="1">
        <v>10</v>
      </c>
      <c r="F65" s="10">
        <v>49.8</v>
      </c>
      <c r="G65" s="1">
        <v>23</v>
      </c>
      <c r="H65" s="10">
        <v>34.299999999999997</v>
      </c>
      <c r="I65" s="1">
        <v>45</v>
      </c>
      <c r="J65" s="10">
        <v>54.3</v>
      </c>
      <c r="K65" s="1">
        <v>10</v>
      </c>
      <c r="L65" s="10">
        <v>47.6</v>
      </c>
      <c r="M65" s="1">
        <v>29</v>
      </c>
      <c r="N65" s="10">
        <v>243.2</v>
      </c>
      <c r="O65" s="1">
        <v>29</v>
      </c>
    </row>
    <row r="66" spans="1:15">
      <c r="A66" s="1">
        <v>2019</v>
      </c>
      <c r="B66" s="9" t="s">
        <v>55</v>
      </c>
      <c r="C66" s="1" t="s">
        <v>154</v>
      </c>
      <c r="D66" s="10">
        <v>53.2</v>
      </c>
      <c r="E66" s="1">
        <v>18</v>
      </c>
      <c r="F66" s="10">
        <v>51.2</v>
      </c>
      <c r="G66" s="1">
        <v>21</v>
      </c>
      <c r="H66" s="10">
        <v>56.2</v>
      </c>
      <c r="I66" s="1">
        <v>12</v>
      </c>
      <c r="J66" s="10">
        <v>75.5</v>
      </c>
      <c r="K66" s="1">
        <v>2</v>
      </c>
      <c r="L66" s="10">
        <v>45</v>
      </c>
      <c r="M66" s="1">
        <v>35</v>
      </c>
      <c r="N66" s="10">
        <v>281.2</v>
      </c>
      <c r="O66" s="1">
        <v>5</v>
      </c>
    </row>
    <row r="67" spans="1:15">
      <c r="A67" s="1">
        <v>2019</v>
      </c>
      <c r="B67" s="9" t="s">
        <v>57</v>
      </c>
      <c r="C67" s="1" t="s">
        <v>155</v>
      </c>
      <c r="D67" s="10">
        <v>58.9</v>
      </c>
      <c r="E67" s="1">
        <v>5</v>
      </c>
      <c r="F67" s="10">
        <v>51.7</v>
      </c>
      <c r="G67" s="1">
        <v>17</v>
      </c>
      <c r="H67" s="10">
        <v>35.700000000000003</v>
      </c>
      <c r="I67" s="1">
        <v>43</v>
      </c>
      <c r="J67" s="10">
        <v>39.1</v>
      </c>
      <c r="K67" s="1">
        <v>45</v>
      </c>
      <c r="L67" s="10">
        <v>63.3</v>
      </c>
      <c r="M67" s="1">
        <v>2</v>
      </c>
      <c r="N67" s="10">
        <v>248.8</v>
      </c>
      <c r="O67" s="1">
        <v>24</v>
      </c>
    </row>
    <row r="68" spans="1:15">
      <c r="A68" s="1">
        <v>2019</v>
      </c>
      <c r="B68" s="9" t="s">
        <v>59</v>
      </c>
      <c r="C68" s="1" t="s">
        <v>156</v>
      </c>
      <c r="D68" s="10">
        <v>55.1</v>
      </c>
      <c r="E68" s="1">
        <v>12</v>
      </c>
      <c r="F68" s="10">
        <v>48.6</v>
      </c>
      <c r="G68" s="1">
        <v>27</v>
      </c>
      <c r="H68" s="10">
        <v>50.4</v>
      </c>
      <c r="I68" s="1">
        <v>23</v>
      </c>
      <c r="J68" s="10">
        <v>39.299999999999997</v>
      </c>
      <c r="K68" s="1">
        <v>44</v>
      </c>
      <c r="L68" s="10">
        <v>46.2</v>
      </c>
      <c r="M68" s="1">
        <v>32</v>
      </c>
      <c r="N68" s="10">
        <v>239.7</v>
      </c>
      <c r="O68" s="1">
        <v>33</v>
      </c>
    </row>
    <row r="69" spans="1:15">
      <c r="A69" s="1">
        <v>2019</v>
      </c>
      <c r="B69" s="9" t="s">
        <v>61</v>
      </c>
      <c r="C69" s="1" t="s">
        <v>157</v>
      </c>
      <c r="D69" s="10">
        <v>45.4</v>
      </c>
      <c r="E69" s="1">
        <v>36</v>
      </c>
      <c r="F69" s="10">
        <v>64.2</v>
      </c>
      <c r="G69" s="1">
        <v>2</v>
      </c>
      <c r="H69" s="10">
        <v>55.4</v>
      </c>
      <c r="I69" s="1">
        <v>14</v>
      </c>
      <c r="J69" s="10">
        <v>39.700000000000003</v>
      </c>
      <c r="K69" s="1">
        <v>43</v>
      </c>
      <c r="L69" s="10">
        <v>42.1</v>
      </c>
      <c r="M69" s="1">
        <v>40</v>
      </c>
      <c r="N69" s="10">
        <v>246.7</v>
      </c>
      <c r="O69" s="1">
        <v>26</v>
      </c>
    </row>
    <row r="70" spans="1:15">
      <c r="A70" s="1">
        <v>2019</v>
      </c>
      <c r="B70" s="9" t="s">
        <v>63</v>
      </c>
      <c r="C70" s="1" t="s">
        <v>158</v>
      </c>
      <c r="D70" s="10">
        <v>51.7</v>
      </c>
      <c r="E70" s="1">
        <v>19</v>
      </c>
      <c r="F70" s="10">
        <v>42</v>
      </c>
      <c r="G70" s="1">
        <v>40</v>
      </c>
      <c r="H70" s="10">
        <v>56.2</v>
      </c>
      <c r="I70" s="1">
        <v>11</v>
      </c>
      <c r="J70" s="10">
        <v>48.3</v>
      </c>
      <c r="K70" s="1">
        <v>27</v>
      </c>
      <c r="L70" s="10">
        <v>47.7</v>
      </c>
      <c r="M70" s="1">
        <v>27</v>
      </c>
      <c r="N70" s="10">
        <v>245.9</v>
      </c>
      <c r="O70" s="1">
        <v>28</v>
      </c>
    </row>
    <row r="71" spans="1:15">
      <c r="A71" s="1">
        <v>2019</v>
      </c>
      <c r="B71" s="9" t="s">
        <v>65</v>
      </c>
      <c r="C71" s="1" t="s">
        <v>159</v>
      </c>
      <c r="D71" s="10">
        <v>47</v>
      </c>
      <c r="E71" s="1">
        <v>27</v>
      </c>
      <c r="F71" s="10">
        <v>43.3</v>
      </c>
      <c r="G71" s="1">
        <v>37</v>
      </c>
      <c r="H71" s="10">
        <v>51.6</v>
      </c>
      <c r="I71" s="1">
        <v>18</v>
      </c>
      <c r="J71" s="10">
        <v>44.5</v>
      </c>
      <c r="K71" s="1">
        <v>36</v>
      </c>
      <c r="L71" s="10">
        <v>42.6</v>
      </c>
      <c r="M71" s="1">
        <v>38</v>
      </c>
      <c r="N71" s="10">
        <v>229</v>
      </c>
      <c r="O71" s="1">
        <v>41</v>
      </c>
    </row>
    <row r="72" spans="1:15">
      <c r="A72" s="1">
        <v>2019</v>
      </c>
      <c r="B72" s="9" t="s">
        <v>67</v>
      </c>
      <c r="C72" s="1" t="s">
        <v>160</v>
      </c>
      <c r="D72" s="10">
        <v>58.1</v>
      </c>
      <c r="E72" s="1">
        <v>6</v>
      </c>
      <c r="F72" s="10">
        <v>41.7</v>
      </c>
      <c r="G72" s="1">
        <v>41</v>
      </c>
      <c r="H72" s="10">
        <v>47.4</v>
      </c>
      <c r="I72" s="1">
        <v>30</v>
      </c>
      <c r="J72" s="10">
        <v>57.4</v>
      </c>
      <c r="K72" s="1">
        <v>7</v>
      </c>
      <c r="L72" s="10">
        <v>43.4</v>
      </c>
      <c r="M72" s="1">
        <v>37</v>
      </c>
      <c r="N72" s="10">
        <v>248.1</v>
      </c>
      <c r="O72" s="1">
        <v>25</v>
      </c>
    </row>
    <row r="73" spans="1:15">
      <c r="A73" s="1">
        <v>2019</v>
      </c>
      <c r="B73" s="9" t="s">
        <v>69</v>
      </c>
      <c r="C73" s="1" t="s">
        <v>161</v>
      </c>
      <c r="D73" s="10">
        <v>56.5</v>
      </c>
      <c r="E73" s="1">
        <v>11</v>
      </c>
      <c r="F73" s="10">
        <v>55.2</v>
      </c>
      <c r="G73" s="1">
        <v>13</v>
      </c>
      <c r="H73" s="10">
        <v>73.8</v>
      </c>
      <c r="I73" s="1">
        <v>1</v>
      </c>
      <c r="J73" s="10">
        <v>47.2</v>
      </c>
      <c r="K73" s="1">
        <v>31</v>
      </c>
      <c r="L73" s="10">
        <v>50.9</v>
      </c>
      <c r="M73" s="1">
        <v>20</v>
      </c>
      <c r="N73" s="10">
        <v>283.60000000000002</v>
      </c>
      <c r="O73" s="1">
        <v>4</v>
      </c>
    </row>
    <row r="74" spans="1:15">
      <c r="A74" s="1">
        <v>2019</v>
      </c>
      <c r="B74" s="9" t="s">
        <v>71</v>
      </c>
      <c r="C74" s="1" t="s">
        <v>162</v>
      </c>
      <c r="D74" s="10">
        <v>47.9</v>
      </c>
      <c r="E74" s="1">
        <v>24</v>
      </c>
      <c r="F74" s="10">
        <v>49.6</v>
      </c>
      <c r="G74" s="1">
        <v>24</v>
      </c>
      <c r="H74" s="10">
        <v>62.1</v>
      </c>
      <c r="I74" s="1">
        <v>4</v>
      </c>
      <c r="J74" s="10">
        <v>50.3</v>
      </c>
      <c r="K74" s="1">
        <v>21</v>
      </c>
      <c r="L74" s="10">
        <v>41</v>
      </c>
      <c r="M74" s="1">
        <v>41</v>
      </c>
      <c r="N74" s="10">
        <v>250.9</v>
      </c>
      <c r="O74" s="1">
        <v>22</v>
      </c>
    </row>
    <row r="75" spans="1:15">
      <c r="A75" s="1">
        <v>2019</v>
      </c>
      <c r="B75" s="9" t="s">
        <v>73</v>
      </c>
      <c r="C75" s="1" t="s">
        <v>163</v>
      </c>
      <c r="D75" s="10">
        <v>39.799999999999997</v>
      </c>
      <c r="E75" s="1">
        <v>46</v>
      </c>
      <c r="F75" s="10">
        <v>45.8</v>
      </c>
      <c r="G75" s="1">
        <v>32</v>
      </c>
      <c r="H75" s="10">
        <v>53.8</v>
      </c>
      <c r="I75" s="1">
        <v>16</v>
      </c>
      <c r="J75" s="10">
        <v>48.3</v>
      </c>
      <c r="K75" s="1">
        <v>28</v>
      </c>
      <c r="L75" s="10">
        <v>40</v>
      </c>
      <c r="M75" s="1">
        <v>42</v>
      </c>
      <c r="N75" s="10">
        <v>227.6</v>
      </c>
      <c r="O75" s="1">
        <v>43</v>
      </c>
    </row>
    <row r="76" spans="1:15">
      <c r="A76" s="1">
        <v>2019</v>
      </c>
      <c r="B76" s="9" t="s">
        <v>75</v>
      </c>
      <c r="C76" s="1" t="s">
        <v>164</v>
      </c>
      <c r="D76" s="10">
        <v>48.1</v>
      </c>
      <c r="E76" s="1">
        <v>23</v>
      </c>
      <c r="F76" s="10">
        <v>46.6</v>
      </c>
      <c r="G76" s="1">
        <v>30</v>
      </c>
      <c r="H76" s="10">
        <v>51.2</v>
      </c>
      <c r="I76" s="1">
        <v>20</v>
      </c>
      <c r="J76" s="10">
        <v>51.7</v>
      </c>
      <c r="K76" s="1">
        <v>16</v>
      </c>
      <c r="L76" s="10">
        <v>45.6</v>
      </c>
      <c r="M76" s="1">
        <v>34</v>
      </c>
      <c r="N76" s="10">
        <v>243.2</v>
      </c>
      <c r="O76" s="1">
        <v>30</v>
      </c>
    </row>
    <row r="77" spans="1:15">
      <c r="A77" s="1">
        <v>2019</v>
      </c>
      <c r="B77" s="9" t="s">
        <v>77</v>
      </c>
      <c r="C77" s="1" t="s">
        <v>165</v>
      </c>
      <c r="D77" s="10">
        <v>42.8</v>
      </c>
      <c r="E77" s="1">
        <v>41</v>
      </c>
      <c r="F77" s="10">
        <v>63.2</v>
      </c>
      <c r="G77" s="1">
        <v>4</v>
      </c>
      <c r="H77" s="10">
        <v>73</v>
      </c>
      <c r="I77" s="1">
        <v>2</v>
      </c>
      <c r="J77" s="10">
        <v>47.6</v>
      </c>
      <c r="K77" s="1">
        <v>29</v>
      </c>
      <c r="L77" s="10">
        <v>31.2</v>
      </c>
      <c r="M77" s="1">
        <v>47</v>
      </c>
      <c r="N77" s="10">
        <v>257.8</v>
      </c>
      <c r="O77" s="1">
        <v>16</v>
      </c>
    </row>
    <row r="78" spans="1:15">
      <c r="A78" s="1">
        <v>2019</v>
      </c>
      <c r="B78" s="9" t="s">
        <v>79</v>
      </c>
      <c r="C78" s="1" t="s">
        <v>166</v>
      </c>
      <c r="D78" s="10">
        <v>44.8</v>
      </c>
      <c r="E78" s="1">
        <v>38</v>
      </c>
      <c r="F78" s="10">
        <v>51.5</v>
      </c>
      <c r="G78" s="1">
        <v>18</v>
      </c>
      <c r="H78" s="10">
        <v>58.7</v>
      </c>
      <c r="I78" s="1">
        <v>7</v>
      </c>
      <c r="J78" s="10">
        <v>65.900000000000006</v>
      </c>
      <c r="K78" s="1">
        <v>4</v>
      </c>
      <c r="L78" s="10">
        <v>35.700000000000003</v>
      </c>
      <c r="M78" s="1">
        <v>45</v>
      </c>
      <c r="N78" s="10">
        <v>256.60000000000002</v>
      </c>
      <c r="O78" s="1">
        <v>17</v>
      </c>
    </row>
    <row r="79" spans="1:15">
      <c r="A79" s="1">
        <v>2019</v>
      </c>
      <c r="B79" s="9" t="s">
        <v>81</v>
      </c>
      <c r="C79" s="1" t="s">
        <v>167</v>
      </c>
      <c r="D79" s="10">
        <v>47.2</v>
      </c>
      <c r="E79" s="1">
        <v>26</v>
      </c>
      <c r="F79" s="10">
        <v>35.200000000000003</v>
      </c>
      <c r="G79" s="1">
        <v>47</v>
      </c>
      <c r="H79" s="10">
        <v>46.8</v>
      </c>
      <c r="I79" s="1">
        <v>31</v>
      </c>
      <c r="J79" s="10">
        <v>47.4</v>
      </c>
      <c r="K79" s="1">
        <v>30</v>
      </c>
      <c r="L79" s="10">
        <v>53.1</v>
      </c>
      <c r="M79" s="1">
        <v>17</v>
      </c>
      <c r="N79" s="10">
        <v>229.6</v>
      </c>
      <c r="O79" s="1">
        <v>40</v>
      </c>
    </row>
    <row r="80" spans="1:15">
      <c r="A80" s="1">
        <v>2019</v>
      </c>
      <c r="B80" s="9" t="s">
        <v>83</v>
      </c>
      <c r="C80" s="1" t="s">
        <v>168</v>
      </c>
      <c r="D80" s="10">
        <v>57.6</v>
      </c>
      <c r="E80" s="1">
        <v>7</v>
      </c>
      <c r="F80" s="10">
        <v>56.3</v>
      </c>
      <c r="G80" s="1">
        <v>12</v>
      </c>
      <c r="H80" s="10">
        <v>61.2</v>
      </c>
      <c r="I80" s="1">
        <v>6</v>
      </c>
      <c r="J80" s="10">
        <v>53.4</v>
      </c>
      <c r="K80" s="1">
        <v>12</v>
      </c>
      <c r="L80" s="10">
        <v>61.7</v>
      </c>
      <c r="M80" s="1">
        <v>5</v>
      </c>
      <c r="N80" s="10">
        <v>290.3</v>
      </c>
      <c r="O80" s="1">
        <v>1</v>
      </c>
    </row>
    <row r="81" spans="1:15">
      <c r="A81" s="1">
        <v>2019</v>
      </c>
      <c r="B81" s="9" t="s">
        <v>85</v>
      </c>
      <c r="C81" s="1" t="s">
        <v>169</v>
      </c>
      <c r="D81" s="10">
        <v>44.4</v>
      </c>
      <c r="E81" s="1">
        <v>39</v>
      </c>
      <c r="F81" s="10">
        <v>63.7</v>
      </c>
      <c r="G81" s="1">
        <v>3</v>
      </c>
      <c r="H81" s="10">
        <v>43.3</v>
      </c>
      <c r="I81" s="1">
        <v>35</v>
      </c>
      <c r="J81" s="10">
        <v>58.9</v>
      </c>
      <c r="K81" s="1">
        <v>5</v>
      </c>
      <c r="L81" s="10">
        <v>48.8</v>
      </c>
      <c r="M81" s="1">
        <v>24</v>
      </c>
      <c r="N81" s="10">
        <v>259.10000000000002</v>
      </c>
      <c r="O81" s="1">
        <v>15</v>
      </c>
    </row>
    <row r="82" spans="1:15">
      <c r="A82" s="1">
        <v>2019</v>
      </c>
      <c r="B82" s="9" t="s">
        <v>87</v>
      </c>
      <c r="C82" s="1" t="s">
        <v>170</v>
      </c>
      <c r="D82" s="10">
        <v>46.1</v>
      </c>
      <c r="E82" s="1">
        <v>31</v>
      </c>
      <c r="F82" s="10">
        <v>49.2</v>
      </c>
      <c r="G82" s="1">
        <v>25</v>
      </c>
      <c r="H82" s="10">
        <v>48</v>
      </c>
      <c r="I82" s="1">
        <v>29</v>
      </c>
      <c r="J82" s="10">
        <v>51.6</v>
      </c>
      <c r="K82" s="1">
        <v>17</v>
      </c>
      <c r="L82" s="10">
        <v>45.6</v>
      </c>
      <c r="M82" s="1">
        <v>33</v>
      </c>
      <c r="N82" s="10">
        <v>240.5</v>
      </c>
      <c r="O82" s="1">
        <v>32</v>
      </c>
    </row>
    <row r="83" spans="1:15">
      <c r="A83" s="1">
        <v>2019</v>
      </c>
      <c r="B83" s="9" t="s">
        <v>89</v>
      </c>
      <c r="C83" s="1" t="s">
        <v>171</v>
      </c>
      <c r="D83" s="10">
        <v>46.4</v>
      </c>
      <c r="E83" s="1">
        <v>29</v>
      </c>
      <c r="F83" s="10">
        <v>44.2</v>
      </c>
      <c r="G83" s="1">
        <v>36</v>
      </c>
      <c r="H83" s="10">
        <v>50.3</v>
      </c>
      <c r="I83" s="1">
        <v>25</v>
      </c>
      <c r="J83" s="10">
        <v>50.1</v>
      </c>
      <c r="K83" s="1">
        <v>22</v>
      </c>
      <c r="L83" s="10">
        <v>48</v>
      </c>
      <c r="M83" s="1">
        <v>25</v>
      </c>
      <c r="N83" s="10">
        <v>239</v>
      </c>
      <c r="O83" s="1">
        <v>34</v>
      </c>
    </row>
    <row r="84" spans="1:15">
      <c r="A84" s="1">
        <v>2019</v>
      </c>
      <c r="B84" s="9" t="s">
        <v>91</v>
      </c>
      <c r="C84" s="1" t="s">
        <v>172</v>
      </c>
      <c r="D84" s="10">
        <v>46.5</v>
      </c>
      <c r="E84" s="1">
        <v>28</v>
      </c>
      <c r="F84" s="10">
        <v>57.7</v>
      </c>
      <c r="G84" s="1">
        <v>9</v>
      </c>
      <c r="H84" s="10">
        <v>58.5</v>
      </c>
      <c r="I84" s="1">
        <v>8</v>
      </c>
      <c r="J84" s="10">
        <v>52.4</v>
      </c>
      <c r="K84" s="1">
        <v>14</v>
      </c>
      <c r="L84" s="10">
        <v>33.799999999999997</v>
      </c>
      <c r="M84" s="1">
        <v>46</v>
      </c>
      <c r="N84" s="10">
        <v>248.9</v>
      </c>
      <c r="O84" s="1">
        <v>23</v>
      </c>
    </row>
    <row r="85" spans="1:15">
      <c r="A85" s="1">
        <v>2019</v>
      </c>
      <c r="B85" s="9" t="s">
        <v>93</v>
      </c>
      <c r="C85" s="1" t="s">
        <v>173</v>
      </c>
      <c r="D85" s="10">
        <v>42.2</v>
      </c>
      <c r="E85" s="1">
        <v>44</v>
      </c>
      <c r="F85" s="10">
        <v>68.7</v>
      </c>
      <c r="G85" s="1">
        <v>1</v>
      </c>
      <c r="H85" s="10">
        <v>44.3</v>
      </c>
      <c r="I85" s="1">
        <v>33</v>
      </c>
      <c r="J85" s="10">
        <v>57.8</v>
      </c>
      <c r="K85" s="1">
        <v>6</v>
      </c>
      <c r="L85" s="10">
        <v>39.4</v>
      </c>
      <c r="M85" s="1">
        <v>44</v>
      </c>
      <c r="N85" s="10">
        <v>252.5</v>
      </c>
      <c r="O85" s="1">
        <v>20</v>
      </c>
    </row>
    <row r="86" spans="1:15">
      <c r="A86" s="1">
        <v>2019</v>
      </c>
      <c r="B86" s="9" t="s">
        <v>95</v>
      </c>
      <c r="C86" s="1" t="s">
        <v>174</v>
      </c>
      <c r="D86" s="10">
        <v>57.3</v>
      </c>
      <c r="E86" s="1">
        <v>9</v>
      </c>
      <c r="F86" s="10">
        <v>54.4</v>
      </c>
      <c r="G86" s="1">
        <v>14</v>
      </c>
      <c r="H86" s="10">
        <v>40.799999999999997</v>
      </c>
      <c r="I86" s="1">
        <v>41</v>
      </c>
      <c r="J86" s="10">
        <v>51.9</v>
      </c>
      <c r="K86" s="1">
        <v>15</v>
      </c>
      <c r="L86" s="10">
        <v>42.1</v>
      </c>
      <c r="M86" s="1">
        <v>39</v>
      </c>
      <c r="N86" s="10">
        <v>246.5</v>
      </c>
      <c r="O86" s="1">
        <v>27</v>
      </c>
    </row>
    <row r="87" spans="1:15">
      <c r="A87" s="1">
        <v>2019</v>
      </c>
      <c r="B87" s="9" t="s">
        <v>97</v>
      </c>
      <c r="C87" s="1" t="s">
        <v>175</v>
      </c>
      <c r="D87" s="10">
        <v>54.6</v>
      </c>
      <c r="E87" s="1">
        <v>14</v>
      </c>
      <c r="F87" s="10">
        <v>51.2</v>
      </c>
      <c r="G87" s="1">
        <v>22</v>
      </c>
      <c r="H87" s="10">
        <v>25</v>
      </c>
      <c r="I87" s="1">
        <v>47</v>
      </c>
      <c r="J87" s="10">
        <v>44</v>
      </c>
      <c r="K87" s="1">
        <v>38</v>
      </c>
      <c r="L87" s="10">
        <v>39.5</v>
      </c>
      <c r="M87" s="1">
        <v>43</v>
      </c>
      <c r="N87" s="10">
        <v>214.3</v>
      </c>
      <c r="O87" s="1">
        <v>46</v>
      </c>
    </row>
    <row r="88" spans="1:15">
      <c r="A88" s="1">
        <v>2019</v>
      </c>
      <c r="B88" s="9" t="s">
        <v>99</v>
      </c>
      <c r="C88" s="1" t="s">
        <v>176</v>
      </c>
      <c r="D88" s="10">
        <v>41.3</v>
      </c>
      <c r="E88" s="1">
        <v>45</v>
      </c>
      <c r="F88" s="10">
        <v>51.9</v>
      </c>
      <c r="G88" s="1">
        <v>16</v>
      </c>
      <c r="H88" s="10">
        <v>49.3</v>
      </c>
      <c r="I88" s="1">
        <v>26</v>
      </c>
      <c r="J88" s="10">
        <v>66.3</v>
      </c>
      <c r="K88" s="1">
        <v>3</v>
      </c>
      <c r="L88" s="10">
        <v>51.3</v>
      </c>
      <c r="M88" s="1">
        <v>19</v>
      </c>
      <c r="N88" s="10">
        <v>260.10000000000002</v>
      </c>
      <c r="O88" s="1">
        <v>13</v>
      </c>
    </row>
    <row r="89" spans="1:15">
      <c r="A89" s="1">
        <v>2019</v>
      </c>
      <c r="B89" s="9" t="s">
        <v>101</v>
      </c>
      <c r="C89" s="1" t="s">
        <v>177</v>
      </c>
      <c r="D89" s="10">
        <v>45.7</v>
      </c>
      <c r="E89" s="1">
        <v>33</v>
      </c>
      <c r="F89" s="10">
        <v>46</v>
      </c>
      <c r="G89" s="1">
        <v>31</v>
      </c>
      <c r="H89" s="10">
        <v>72.2</v>
      </c>
      <c r="I89" s="1">
        <v>3</v>
      </c>
      <c r="J89" s="10">
        <v>52.8</v>
      </c>
      <c r="K89" s="1">
        <v>13</v>
      </c>
      <c r="L89" s="10">
        <v>54.2</v>
      </c>
      <c r="M89" s="1">
        <v>16</v>
      </c>
      <c r="N89" s="10">
        <v>270.89999999999998</v>
      </c>
      <c r="O89" s="1">
        <v>8</v>
      </c>
    </row>
    <row r="90" spans="1:15">
      <c r="A90" s="1">
        <v>2019</v>
      </c>
      <c r="B90" s="9" t="s">
        <v>103</v>
      </c>
      <c r="C90" s="1" t="s">
        <v>178</v>
      </c>
      <c r="D90" s="10">
        <v>53.5</v>
      </c>
      <c r="E90" s="1">
        <v>17</v>
      </c>
      <c r="F90" s="10">
        <v>48.9</v>
      </c>
      <c r="G90" s="1">
        <v>26</v>
      </c>
      <c r="H90" s="10">
        <v>51.6</v>
      </c>
      <c r="I90" s="1">
        <v>19</v>
      </c>
      <c r="J90" s="10">
        <v>50</v>
      </c>
      <c r="K90" s="1">
        <v>23</v>
      </c>
      <c r="L90" s="10">
        <v>59.7</v>
      </c>
      <c r="M90" s="1">
        <v>8</v>
      </c>
      <c r="N90" s="10">
        <v>263.7</v>
      </c>
      <c r="O90" s="1">
        <v>11</v>
      </c>
    </row>
    <row r="91" spans="1:15">
      <c r="A91" s="1">
        <v>2019</v>
      </c>
      <c r="B91" s="9" t="s">
        <v>105</v>
      </c>
      <c r="C91" s="1" t="s">
        <v>179</v>
      </c>
      <c r="D91" s="10">
        <v>54.7</v>
      </c>
      <c r="E91" s="1">
        <v>13</v>
      </c>
      <c r="F91" s="10">
        <v>59.9</v>
      </c>
      <c r="G91" s="1">
        <v>7</v>
      </c>
      <c r="H91" s="10">
        <v>50.6</v>
      </c>
      <c r="I91" s="1">
        <v>21</v>
      </c>
      <c r="J91" s="10">
        <v>49.5</v>
      </c>
      <c r="K91" s="1">
        <v>26</v>
      </c>
      <c r="L91" s="10">
        <v>59.7</v>
      </c>
      <c r="M91" s="1">
        <v>9</v>
      </c>
      <c r="N91" s="10">
        <v>274.39999999999998</v>
      </c>
      <c r="O91" s="1">
        <v>6</v>
      </c>
    </row>
    <row r="92" spans="1:15">
      <c r="A92" s="1">
        <v>2019</v>
      </c>
      <c r="B92" s="9" t="s">
        <v>107</v>
      </c>
      <c r="C92" s="1" t="s">
        <v>180</v>
      </c>
      <c r="D92" s="10">
        <v>66.099999999999994</v>
      </c>
      <c r="E92" s="1">
        <v>2</v>
      </c>
      <c r="F92" s="10">
        <v>60.2</v>
      </c>
      <c r="G92" s="1">
        <v>6</v>
      </c>
      <c r="H92" s="10">
        <v>56.1</v>
      </c>
      <c r="I92" s="1">
        <v>13</v>
      </c>
      <c r="J92" s="10">
        <v>29.4</v>
      </c>
      <c r="K92" s="1">
        <v>47</v>
      </c>
      <c r="L92" s="10">
        <v>44.3</v>
      </c>
      <c r="M92" s="1">
        <v>36</v>
      </c>
      <c r="N92" s="10">
        <v>256.10000000000002</v>
      </c>
      <c r="O92" s="1">
        <v>18</v>
      </c>
    </row>
    <row r="93" spans="1:15">
      <c r="A93" s="1">
        <v>2019</v>
      </c>
      <c r="B93" s="9" t="s">
        <v>109</v>
      </c>
      <c r="C93" s="1" t="s">
        <v>181</v>
      </c>
      <c r="D93" s="10">
        <v>43.1</v>
      </c>
      <c r="E93" s="1">
        <v>40</v>
      </c>
      <c r="F93" s="10">
        <v>48.2</v>
      </c>
      <c r="G93" s="1">
        <v>28</v>
      </c>
      <c r="H93" s="10">
        <v>61.3</v>
      </c>
      <c r="I93" s="1">
        <v>5</v>
      </c>
      <c r="J93" s="10">
        <v>54.6</v>
      </c>
      <c r="K93" s="1">
        <v>9</v>
      </c>
      <c r="L93" s="10">
        <v>55.5</v>
      </c>
      <c r="M93" s="1">
        <v>14</v>
      </c>
      <c r="N93" s="10">
        <v>262.7</v>
      </c>
      <c r="O93" s="1">
        <v>12</v>
      </c>
    </row>
    <row r="94" spans="1:15">
      <c r="A94" s="1">
        <v>2019</v>
      </c>
      <c r="B94" s="9" t="s">
        <v>111</v>
      </c>
      <c r="C94" s="1" t="s">
        <v>182</v>
      </c>
      <c r="D94" s="10">
        <v>49.2</v>
      </c>
      <c r="E94" s="1">
        <v>21</v>
      </c>
      <c r="F94" s="10">
        <v>42.5</v>
      </c>
      <c r="G94" s="1">
        <v>38</v>
      </c>
      <c r="H94" s="10">
        <v>50.4</v>
      </c>
      <c r="I94" s="1">
        <v>24</v>
      </c>
      <c r="J94" s="10">
        <v>42.7</v>
      </c>
      <c r="K94" s="1">
        <v>40</v>
      </c>
      <c r="L94" s="10">
        <v>56.7</v>
      </c>
      <c r="M94" s="1">
        <v>11</v>
      </c>
      <c r="N94" s="10">
        <v>241.5</v>
      </c>
      <c r="O94" s="1">
        <v>31</v>
      </c>
    </row>
    <row r="95" spans="1:15">
      <c r="A95" s="1">
        <v>2019</v>
      </c>
      <c r="B95" s="9" t="s">
        <v>113</v>
      </c>
      <c r="C95" s="1" t="s">
        <v>183</v>
      </c>
      <c r="D95" s="10">
        <v>45.4</v>
      </c>
      <c r="E95" s="1">
        <v>35</v>
      </c>
      <c r="F95" s="10">
        <v>58.1</v>
      </c>
      <c r="G95" s="1">
        <v>8</v>
      </c>
      <c r="H95" s="10">
        <v>50.5</v>
      </c>
      <c r="I95" s="1">
        <v>22</v>
      </c>
      <c r="J95" s="10">
        <v>43.1</v>
      </c>
      <c r="K95" s="1">
        <v>39</v>
      </c>
      <c r="L95" s="10">
        <v>74.400000000000006</v>
      </c>
      <c r="M95" s="1">
        <v>1</v>
      </c>
      <c r="N95" s="10">
        <v>271.60000000000002</v>
      </c>
      <c r="O95" s="1">
        <v>7</v>
      </c>
    </row>
    <row r="96" spans="1:15">
      <c r="A96" s="1">
        <v>2020</v>
      </c>
      <c r="B96" s="9" t="s">
        <v>21</v>
      </c>
      <c r="C96" s="1" t="s">
        <v>22</v>
      </c>
      <c r="D96" s="10">
        <v>36.200000000000003</v>
      </c>
      <c r="E96" s="1">
        <v>44</v>
      </c>
      <c r="F96" s="10">
        <v>46.9</v>
      </c>
      <c r="G96" s="1">
        <v>29</v>
      </c>
      <c r="H96" s="10">
        <v>42.2</v>
      </c>
      <c r="I96" s="1">
        <v>35</v>
      </c>
      <c r="J96" s="10">
        <v>45.7</v>
      </c>
      <c r="K96" s="1">
        <v>33</v>
      </c>
      <c r="L96" s="10">
        <v>51.8</v>
      </c>
      <c r="M96" s="1">
        <v>20</v>
      </c>
      <c r="N96" s="10">
        <v>222.8</v>
      </c>
      <c r="O96" s="1">
        <v>41</v>
      </c>
    </row>
    <row r="97" spans="1:15">
      <c r="A97" s="1">
        <v>2020</v>
      </c>
      <c r="B97" s="9" t="s">
        <v>23</v>
      </c>
      <c r="C97" s="1" t="s">
        <v>138</v>
      </c>
      <c r="D97" s="10">
        <v>56</v>
      </c>
      <c r="E97" s="1">
        <v>9</v>
      </c>
      <c r="F97" s="10">
        <v>56.8</v>
      </c>
      <c r="G97" s="1">
        <v>7</v>
      </c>
      <c r="H97" s="10">
        <v>38.700000000000003</v>
      </c>
      <c r="I97" s="1">
        <v>45</v>
      </c>
      <c r="J97" s="10">
        <v>45.6</v>
      </c>
      <c r="K97" s="1">
        <v>34</v>
      </c>
      <c r="L97" s="10">
        <v>52.9</v>
      </c>
      <c r="M97" s="1">
        <v>17</v>
      </c>
      <c r="N97" s="10">
        <v>250</v>
      </c>
      <c r="O97" s="1">
        <v>23</v>
      </c>
    </row>
    <row r="98" spans="1:15">
      <c r="A98" s="1">
        <v>2020</v>
      </c>
      <c r="B98" s="9" t="s">
        <v>25</v>
      </c>
      <c r="C98" s="1" t="s">
        <v>139</v>
      </c>
      <c r="D98" s="10">
        <v>47.7</v>
      </c>
      <c r="E98" s="1">
        <v>33</v>
      </c>
      <c r="F98" s="10">
        <v>49.7</v>
      </c>
      <c r="G98" s="1">
        <v>26</v>
      </c>
      <c r="H98" s="10">
        <v>39.4</v>
      </c>
      <c r="I98" s="1">
        <v>43</v>
      </c>
      <c r="J98" s="10">
        <v>39.299999999999997</v>
      </c>
      <c r="K98" s="1">
        <v>44</v>
      </c>
      <c r="L98" s="10">
        <v>60.3</v>
      </c>
      <c r="M98" s="1">
        <v>4</v>
      </c>
      <c r="N98" s="10">
        <v>236.5</v>
      </c>
      <c r="O98" s="1">
        <v>32</v>
      </c>
    </row>
    <row r="99" spans="1:15">
      <c r="A99" s="1">
        <v>2020</v>
      </c>
      <c r="B99" s="9" t="s">
        <v>27</v>
      </c>
      <c r="C99" s="1" t="s">
        <v>140</v>
      </c>
      <c r="D99" s="10">
        <v>52.9</v>
      </c>
      <c r="E99" s="1">
        <v>18</v>
      </c>
      <c r="F99" s="10">
        <v>53.4</v>
      </c>
      <c r="G99" s="1">
        <v>17</v>
      </c>
      <c r="H99" s="10">
        <v>40.9</v>
      </c>
      <c r="I99" s="1">
        <v>41</v>
      </c>
      <c r="J99" s="10">
        <v>64.2</v>
      </c>
      <c r="K99" s="1">
        <v>3</v>
      </c>
      <c r="L99" s="10">
        <v>57.8</v>
      </c>
      <c r="M99" s="1">
        <v>9</v>
      </c>
      <c r="N99" s="10">
        <v>269.3</v>
      </c>
      <c r="O99" s="1">
        <v>13</v>
      </c>
    </row>
    <row r="100" spans="1:15">
      <c r="A100" s="1">
        <v>2020</v>
      </c>
      <c r="B100" s="9" t="s">
        <v>29</v>
      </c>
      <c r="C100" s="1" t="s">
        <v>141</v>
      </c>
      <c r="D100" s="10">
        <v>59.6</v>
      </c>
      <c r="E100" s="1">
        <v>4</v>
      </c>
      <c r="F100" s="10">
        <v>56.4</v>
      </c>
      <c r="G100" s="1">
        <v>8</v>
      </c>
      <c r="H100" s="10">
        <v>55.7</v>
      </c>
      <c r="I100" s="1">
        <v>12</v>
      </c>
      <c r="J100" s="10">
        <v>49.5</v>
      </c>
      <c r="K100" s="1">
        <v>26</v>
      </c>
      <c r="L100" s="10">
        <v>57.7</v>
      </c>
      <c r="M100" s="1">
        <v>10</v>
      </c>
      <c r="N100" s="10">
        <v>278.8</v>
      </c>
      <c r="O100" s="1">
        <v>5</v>
      </c>
    </row>
    <row r="101" spans="1:15">
      <c r="A101" s="1">
        <v>2020</v>
      </c>
      <c r="B101" s="9" t="s">
        <v>31</v>
      </c>
      <c r="C101" s="1" t="s">
        <v>142</v>
      </c>
      <c r="D101" s="10">
        <v>67.099999999999994</v>
      </c>
      <c r="E101" s="1">
        <v>1</v>
      </c>
      <c r="F101" s="10">
        <v>55.8</v>
      </c>
      <c r="G101" s="1">
        <v>9</v>
      </c>
      <c r="H101" s="10">
        <v>56.8</v>
      </c>
      <c r="I101" s="1">
        <v>10</v>
      </c>
      <c r="J101" s="10">
        <v>53</v>
      </c>
      <c r="K101" s="1">
        <v>16</v>
      </c>
      <c r="L101" s="10">
        <v>60.4</v>
      </c>
      <c r="M101" s="1">
        <v>3</v>
      </c>
      <c r="N101" s="10">
        <v>293.2</v>
      </c>
      <c r="O101" s="1">
        <v>2</v>
      </c>
    </row>
    <row r="102" spans="1:15">
      <c r="A102" s="1">
        <v>2020</v>
      </c>
      <c r="B102" s="9" t="s">
        <v>33</v>
      </c>
      <c r="C102" s="1" t="s">
        <v>143</v>
      </c>
      <c r="D102" s="10">
        <v>46.6</v>
      </c>
      <c r="E102" s="1">
        <v>36</v>
      </c>
      <c r="F102" s="10">
        <v>57.9</v>
      </c>
      <c r="G102" s="1">
        <v>5</v>
      </c>
      <c r="H102" s="10">
        <v>58.7</v>
      </c>
      <c r="I102" s="1">
        <v>8</v>
      </c>
      <c r="J102" s="10">
        <v>53.2</v>
      </c>
      <c r="K102" s="1">
        <v>15</v>
      </c>
      <c r="L102" s="10">
        <v>58</v>
      </c>
      <c r="M102" s="1">
        <v>7</v>
      </c>
      <c r="N102" s="10">
        <v>274.39999999999998</v>
      </c>
      <c r="O102" s="1">
        <v>7</v>
      </c>
    </row>
    <row r="103" spans="1:15">
      <c r="A103" s="1">
        <v>2020</v>
      </c>
      <c r="B103" s="9" t="s">
        <v>35</v>
      </c>
      <c r="C103" s="1" t="s">
        <v>144</v>
      </c>
      <c r="D103" s="10">
        <v>51.1</v>
      </c>
      <c r="E103" s="1">
        <v>24</v>
      </c>
      <c r="F103" s="10">
        <v>39.6</v>
      </c>
      <c r="G103" s="1">
        <v>44</v>
      </c>
      <c r="H103" s="10">
        <v>41.4</v>
      </c>
      <c r="I103" s="1">
        <v>38</v>
      </c>
      <c r="J103" s="10">
        <v>61.9</v>
      </c>
      <c r="K103" s="1">
        <v>4</v>
      </c>
      <c r="L103" s="10">
        <v>47.2</v>
      </c>
      <c r="M103" s="1">
        <v>31</v>
      </c>
      <c r="N103" s="10">
        <v>241.2</v>
      </c>
      <c r="O103" s="1">
        <v>29</v>
      </c>
    </row>
    <row r="104" spans="1:15">
      <c r="A104" s="1">
        <v>2020</v>
      </c>
      <c r="B104" s="9" t="s">
        <v>37</v>
      </c>
      <c r="C104" s="1" t="s">
        <v>145</v>
      </c>
      <c r="D104" s="10">
        <v>52.8</v>
      </c>
      <c r="E104" s="1">
        <v>19</v>
      </c>
      <c r="F104" s="10">
        <v>61</v>
      </c>
      <c r="G104" s="1">
        <v>3</v>
      </c>
      <c r="H104" s="10">
        <v>48.3</v>
      </c>
      <c r="I104" s="1">
        <v>27</v>
      </c>
      <c r="J104" s="10">
        <v>56.6</v>
      </c>
      <c r="K104" s="1">
        <v>10</v>
      </c>
      <c r="L104" s="10">
        <v>57.1</v>
      </c>
      <c r="M104" s="1">
        <v>11</v>
      </c>
      <c r="N104" s="10">
        <v>275.8</v>
      </c>
      <c r="O104" s="1">
        <v>6</v>
      </c>
    </row>
    <row r="105" spans="1:15">
      <c r="A105" s="1">
        <v>2020</v>
      </c>
      <c r="B105" s="9" t="s">
        <v>39</v>
      </c>
      <c r="C105" s="1" t="s">
        <v>146</v>
      </c>
      <c r="D105" s="10">
        <v>50.2</v>
      </c>
      <c r="E105" s="1">
        <v>29</v>
      </c>
      <c r="F105" s="10">
        <v>40.5</v>
      </c>
      <c r="G105" s="1">
        <v>43</v>
      </c>
      <c r="H105" s="10">
        <v>41.5</v>
      </c>
      <c r="I105" s="1">
        <v>37</v>
      </c>
      <c r="J105" s="10">
        <v>47.3</v>
      </c>
      <c r="K105" s="1">
        <v>31</v>
      </c>
      <c r="L105" s="10">
        <v>54.5</v>
      </c>
      <c r="M105" s="1">
        <v>14</v>
      </c>
      <c r="N105" s="10">
        <v>233.9</v>
      </c>
      <c r="O105" s="1">
        <v>35</v>
      </c>
    </row>
    <row r="106" spans="1:15">
      <c r="A106" s="1">
        <v>2020</v>
      </c>
      <c r="B106" s="9" t="s">
        <v>41</v>
      </c>
      <c r="C106" s="1" t="s">
        <v>147</v>
      </c>
      <c r="D106" s="10">
        <v>33.1</v>
      </c>
      <c r="E106" s="1">
        <v>45</v>
      </c>
      <c r="F106" s="10">
        <v>38.1</v>
      </c>
      <c r="G106" s="1">
        <v>47</v>
      </c>
      <c r="H106" s="10">
        <v>42.4</v>
      </c>
      <c r="I106" s="1">
        <v>34</v>
      </c>
      <c r="J106" s="10">
        <v>42.5</v>
      </c>
      <c r="K106" s="1">
        <v>37</v>
      </c>
      <c r="L106" s="10">
        <v>49.5</v>
      </c>
      <c r="M106" s="1">
        <v>26</v>
      </c>
      <c r="N106" s="10">
        <v>205.6</v>
      </c>
      <c r="O106" s="1">
        <v>47</v>
      </c>
    </row>
    <row r="107" spans="1:15">
      <c r="A107" s="1">
        <v>2020</v>
      </c>
      <c r="B107" s="9" t="s">
        <v>43</v>
      </c>
      <c r="C107" s="1" t="s">
        <v>148</v>
      </c>
      <c r="D107" s="10">
        <v>31.1</v>
      </c>
      <c r="E107" s="1">
        <v>47</v>
      </c>
      <c r="F107" s="10">
        <v>45.8</v>
      </c>
      <c r="G107" s="1">
        <v>32</v>
      </c>
      <c r="H107" s="10">
        <v>39</v>
      </c>
      <c r="I107" s="1">
        <v>44</v>
      </c>
      <c r="J107" s="10">
        <v>50.5</v>
      </c>
      <c r="K107" s="1">
        <v>24</v>
      </c>
      <c r="L107" s="10">
        <v>49.6</v>
      </c>
      <c r="M107" s="1">
        <v>25</v>
      </c>
      <c r="N107" s="10">
        <v>216</v>
      </c>
      <c r="O107" s="1">
        <v>46</v>
      </c>
    </row>
    <row r="108" spans="1:15">
      <c r="A108" s="1">
        <v>2020</v>
      </c>
      <c r="B108" s="9" t="s">
        <v>45</v>
      </c>
      <c r="C108" s="1" t="s">
        <v>149</v>
      </c>
      <c r="D108" s="10">
        <v>39.1</v>
      </c>
      <c r="E108" s="1">
        <v>41</v>
      </c>
      <c r="F108" s="10">
        <v>45.3</v>
      </c>
      <c r="G108" s="1">
        <v>34</v>
      </c>
      <c r="H108" s="10">
        <v>48</v>
      </c>
      <c r="I108" s="1">
        <v>28</v>
      </c>
      <c r="J108" s="10">
        <v>47.7</v>
      </c>
      <c r="K108" s="1">
        <v>30</v>
      </c>
      <c r="L108" s="10">
        <v>44.8</v>
      </c>
      <c r="M108" s="1">
        <v>36</v>
      </c>
      <c r="N108" s="10">
        <v>224.9</v>
      </c>
      <c r="O108" s="1">
        <v>39</v>
      </c>
    </row>
    <row r="109" spans="1:15">
      <c r="A109" s="1">
        <v>2020</v>
      </c>
      <c r="B109" s="9" t="s">
        <v>47</v>
      </c>
      <c r="C109" s="1" t="s">
        <v>150</v>
      </c>
      <c r="D109" s="10">
        <v>31.1</v>
      </c>
      <c r="E109" s="1">
        <v>46</v>
      </c>
      <c r="F109" s="10">
        <v>45.9</v>
      </c>
      <c r="G109" s="1">
        <v>31</v>
      </c>
      <c r="H109" s="10">
        <v>41.8</v>
      </c>
      <c r="I109" s="1">
        <v>36</v>
      </c>
      <c r="J109" s="10">
        <v>52.7</v>
      </c>
      <c r="K109" s="1">
        <v>18</v>
      </c>
      <c r="L109" s="10">
        <v>47.2</v>
      </c>
      <c r="M109" s="1">
        <v>29</v>
      </c>
      <c r="N109" s="10">
        <v>218.7</v>
      </c>
      <c r="O109" s="1">
        <v>44</v>
      </c>
    </row>
    <row r="110" spans="1:15">
      <c r="A110" s="1">
        <v>2020</v>
      </c>
      <c r="B110" s="9" t="s">
        <v>49</v>
      </c>
      <c r="C110" s="1" t="s">
        <v>151</v>
      </c>
      <c r="D110" s="10">
        <v>59.2</v>
      </c>
      <c r="E110" s="1">
        <v>5</v>
      </c>
      <c r="F110" s="10">
        <v>53.7</v>
      </c>
      <c r="G110" s="1">
        <v>16</v>
      </c>
      <c r="H110" s="10">
        <v>55.1</v>
      </c>
      <c r="I110" s="1">
        <v>13</v>
      </c>
      <c r="J110" s="10">
        <v>58.5</v>
      </c>
      <c r="K110" s="1">
        <v>6</v>
      </c>
      <c r="L110" s="10">
        <v>56</v>
      </c>
      <c r="M110" s="1">
        <v>12</v>
      </c>
      <c r="N110" s="10">
        <v>282.5</v>
      </c>
      <c r="O110" s="1">
        <v>4</v>
      </c>
    </row>
    <row r="111" spans="1:15">
      <c r="A111" s="1">
        <v>2020</v>
      </c>
      <c r="B111" s="9" t="s">
        <v>51</v>
      </c>
      <c r="C111" s="1" t="s">
        <v>152</v>
      </c>
      <c r="D111" s="10">
        <v>66.7</v>
      </c>
      <c r="E111" s="1">
        <v>2</v>
      </c>
      <c r="F111" s="10">
        <v>64.400000000000006</v>
      </c>
      <c r="G111" s="1">
        <v>2</v>
      </c>
      <c r="H111" s="10">
        <v>41.1</v>
      </c>
      <c r="I111" s="1">
        <v>39</v>
      </c>
      <c r="J111" s="10">
        <v>78</v>
      </c>
      <c r="K111" s="1">
        <v>1</v>
      </c>
      <c r="L111" s="10">
        <v>50.4</v>
      </c>
      <c r="M111" s="1">
        <v>22</v>
      </c>
      <c r="N111" s="10">
        <v>300.60000000000002</v>
      </c>
      <c r="O111" s="1">
        <v>1</v>
      </c>
    </row>
    <row r="112" spans="1:15">
      <c r="A112" s="1">
        <v>2020</v>
      </c>
      <c r="B112" s="9" t="s">
        <v>53</v>
      </c>
      <c r="C112" s="1" t="s">
        <v>153</v>
      </c>
      <c r="D112" s="10">
        <v>51.8</v>
      </c>
      <c r="E112" s="1">
        <v>23</v>
      </c>
      <c r="F112" s="10">
        <v>44.2</v>
      </c>
      <c r="G112" s="1">
        <v>37</v>
      </c>
      <c r="H112" s="10">
        <v>35.799999999999997</v>
      </c>
      <c r="I112" s="1">
        <v>46</v>
      </c>
      <c r="J112" s="10">
        <v>67</v>
      </c>
      <c r="K112" s="1">
        <v>2</v>
      </c>
      <c r="L112" s="10">
        <v>43.6</v>
      </c>
      <c r="M112" s="1">
        <v>39</v>
      </c>
      <c r="N112" s="10">
        <v>242.4</v>
      </c>
      <c r="O112" s="1">
        <v>27</v>
      </c>
    </row>
    <row r="113" spans="1:15">
      <c r="A113" s="1">
        <v>2020</v>
      </c>
      <c r="B113" s="9" t="s">
        <v>55</v>
      </c>
      <c r="C113" s="1" t="s">
        <v>154</v>
      </c>
      <c r="D113" s="10">
        <v>48.5</v>
      </c>
      <c r="E113" s="1">
        <v>32</v>
      </c>
      <c r="F113" s="10">
        <v>50.4</v>
      </c>
      <c r="G113" s="1">
        <v>25</v>
      </c>
      <c r="H113" s="10">
        <v>51.4</v>
      </c>
      <c r="I113" s="1">
        <v>22</v>
      </c>
      <c r="J113" s="10">
        <v>52.8</v>
      </c>
      <c r="K113" s="1">
        <v>17</v>
      </c>
      <c r="L113" s="10">
        <v>40.5</v>
      </c>
      <c r="M113" s="1">
        <v>43</v>
      </c>
      <c r="N113" s="10">
        <v>243.5</v>
      </c>
      <c r="O113" s="1">
        <v>26</v>
      </c>
    </row>
    <row r="114" spans="1:15">
      <c r="A114" s="1">
        <v>2020</v>
      </c>
      <c r="B114" s="9" t="s">
        <v>57</v>
      </c>
      <c r="C114" s="1" t="s">
        <v>155</v>
      </c>
      <c r="D114" s="10">
        <v>54.3</v>
      </c>
      <c r="E114" s="1">
        <v>15</v>
      </c>
      <c r="F114" s="10">
        <v>49.5</v>
      </c>
      <c r="G114" s="1">
        <v>27</v>
      </c>
      <c r="H114" s="10">
        <v>40.5</v>
      </c>
      <c r="I114" s="1">
        <v>42</v>
      </c>
      <c r="J114" s="10">
        <v>60</v>
      </c>
      <c r="K114" s="1">
        <v>5</v>
      </c>
      <c r="L114" s="10">
        <v>68.099999999999994</v>
      </c>
      <c r="M114" s="1">
        <v>1</v>
      </c>
      <c r="N114" s="10">
        <v>272.39999999999998</v>
      </c>
      <c r="O114" s="1">
        <v>11</v>
      </c>
    </row>
    <row r="115" spans="1:15">
      <c r="A115" s="1">
        <v>2020</v>
      </c>
      <c r="B115" s="9" t="s">
        <v>59</v>
      </c>
      <c r="C115" s="1" t="s">
        <v>156</v>
      </c>
      <c r="D115" s="10">
        <v>57.8</v>
      </c>
      <c r="E115" s="1">
        <v>6</v>
      </c>
      <c r="F115" s="10">
        <v>50.5</v>
      </c>
      <c r="G115" s="1">
        <v>24</v>
      </c>
      <c r="H115" s="10">
        <v>47.9</v>
      </c>
      <c r="I115" s="1">
        <v>29</v>
      </c>
      <c r="J115" s="10">
        <v>52.7</v>
      </c>
      <c r="K115" s="1">
        <v>19</v>
      </c>
      <c r="L115" s="10">
        <v>54.3</v>
      </c>
      <c r="M115" s="1">
        <v>15</v>
      </c>
      <c r="N115" s="10">
        <v>263.2</v>
      </c>
      <c r="O115" s="1">
        <v>17</v>
      </c>
    </row>
    <row r="116" spans="1:15">
      <c r="A116" s="1">
        <v>2020</v>
      </c>
      <c r="B116" s="9" t="s">
        <v>61</v>
      </c>
      <c r="C116" s="1" t="s">
        <v>157</v>
      </c>
      <c r="D116" s="10">
        <v>53.1</v>
      </c>
      <c r="E116" s="1">
        <v>17</v>
      </c>
      <c r="F116" s="10">
        <v>51.9</v>
      </c>
      <c r="G116" s="1">
        <v>19</v>
      </c>
      <c r="H116" s="10">
        <v>56.3</v>
      </c>
      <c r="I116" s="1">
        <v>11</v>
      </c>
      <c r="J116" s="10">
        <v>47.1</v>
      </c>
      <c r="K116" s="1">
        <v>32</v>
      </c>
      <c r="L116" s="10">
        <v>47.2</v>
      </c>
      <c r="M116" s="1">
        <v>30</v>
      </c>
      <c r="N116" s="10">
        <v>255.7</v>
      </c>
      <c r="O116" s="1">
        <v>19</v>
      </c>
    </row>
    <row r="117" spans="1:15">
      <c r="A117" s="1">
        <v>2020</v>
      </c>
      <c r="B117" s="9" t="s">
        <v>63</v>
      </c>
      <c r="C117" s="1" t="s">
        <v>158</v>
      </c>
      <c r="D117" s="10">
        <v>51.9</v>
      </c>
      <c r="E117" s="1">
        <v>22</v>
      </c>
      <c r="F117" s="10">
        <v>53.8</v>
      </c>
      <c r="G117" s="1">
        <v>15</v>
      </c>
      <c r="H117" s="10">
        <v>58.7</v>
      </c>
      <c r="I117" s="1">
        <v>7</v>
      </c>
      <c r="J117" s="10">
        <v>55.5</v>
      </c>
      <c r="K117" s="1">
        <v>11</v>
      </c>
      <c r="L117" s="10">
        <v>52.2</v>
      </c>
      <c r="M117" s="1">
        <v>19</v>
      </c>
      <c r="N117" s="10">
        <v>272.10000000000002</v>
      </c>
      <c r="O117" s="1">
        <v>12</v>
      </c>
    </row>
    <row r="118" spans="1:15">
      <c r="A118" s="1">
        <v>2020</v>
      </c>
      <c r="B118" s="9" t="s">
        <v>65</v>
      </c>
      <c r="C118" s="1" t="s">
        <v>159</v>
      </c>
      <c r="D118" s="10">
        <v>47.1</v>
      </c>
      <c r="E118" s="1">
        <v>35</v>
      </c>
      <c r="F118" s="10">
        <v>51.2</v>
      </c>
      <c r="G118" s="1">
        <v>22</v>
      </c>
      <c r="H118" s="10">
        <v>42.6</v>
      </c>
      <c r="I118" s="1">
        <v>33</v>
      </c>
      <c r="J118" s="10">
        <v>51.3</v>
      </c>
      <c r="K118" s="1">
        <v>21</v>
      </c>
      <c r="L118" s="10">
        <v>44.8</v>
      </c>
      <c r="M118" s="1">
        <v>35</v>
      </c>
      <c r="N118" s="10">
        <v>236.8</v>
      </c>
      <c r="O118" s="1">
        <v>30</v>
      </c>
    </row>
    <row r="119" spans="1:15">
      <c r="A119" s="1">
        <v>2020</v>
      </c>
      <c r="B119" s="9" t="s">
        <v>67</v>
      </c>
      <c r="C119" s="1" t="s">
        <v>160</v>
      </c>
      <c r="D119" s="10">
        <v>54.6</v>
      </c>
      <c r="E119" s="1">
        <v>14</v>
      </c>
      <c r="F119" s="10">
        <v>47.3</v>
      </c>
      <c r="G119" s="1">
        <v>28</v>
      </c>
      <c r="H119" s="10">
        <v>48.4</v>
      </c>
      <c r="I119" s="1">
        <v>26</v>
      </c>
      <c r="J119" s="10">
        <v>40.700000000000003</v>
      </c>
      <c r="K119" s="1">
        <v>39</v>
      </c>
      <c r="L119" s="10">
        <v>41.2</v>
      </c>
      <c r="M119" s="1">
        <v>42</v>
      </c>
      <c r="N119" s="10">
        <v>232.3</v>
      </c>
      <c r="O119" s="1">
        <v>36</v>
      </c>
    </row>
    <row r="120" spans="1:15">
      <c r="A120" s="1">
        <v>2020</v>
      </c>
      <c r="B120" s="9" t="s">
        <v>69</v>
      </c>
      <c r="C120" s="1" t="s">
        <v>161</v>
      </c>
      <c r="D120" s="10">
        <v>53.6</v>
      </c>
      <c r="E120" s="1">
        <v>16</v>
      </c>
      <c r="F120" s="10">
        <v>52.1</v>
      </c>
      <c r="G120" s="1">
        <v>18</v>
      </c>
      <c r="H120" s="10">
        <v>62.3</v>
      </c>
      <c r="I120" s="1">
        <v>5</v>
      </c>
      <c r="J120" s="10">
        <v>56.7</v>
      </c>
      <c r="K120" s="1">
        <v>9</v>
      </c>
      <c r="L120" s="10">
        <v>49.7</v>
      </c>
      <c r="M120" s="1">
        <v>24</v>
      </c>
      <c r="N120" s="10">
        <v>274.39999999999998</v>
      </c>
      <c r="O120" s="1">
        <v>8</v>
      </c>
    </row>
    <row r="121" spans="1:15">
      <c r="A121" s="1">
        <v>2020</v>
      </c>
      <c r="B121" s="9" t="s">
        <v>71</v>
      </c>
      <c r="C121" s="1" t="s">
        <v>162</v>
      </c>
      <c r="D121" s="10">
        <v>55.1</v>
      </c>
      <c r="E121" s="1">
        <v>11</v>
      </c>
      <c r="F121" s="10">
        <v>39.200000000000003</v>
      </c>
      <c r="G121" s="1">
        <v>46</v>
      </c>
      <c r="H121" s="10">
        <v>60.7</v>
      </c>
      <c r="I121" s="1">
        <v>6</v>
      </c>
      <c r="J121" s="10">
        <v>43</v>
      </c>
      <c r="K121" s="1">
        <v>36</v>
      </c>
      <c r="L121" s="10">
        <v>38.299999999999997</v>
      </c>
      <c r="M121" s="1">
        <v>45</v>
      </c>
      <c r="N121" s="10">
        <v>236.3</v>
      </c>
      <c r="O121" s="1">
        <v>33</v>
      </c>
    </row>
    <row r="122" spans="1:15">
      <c r="A122" s="1">
        <v>2020</v>
      </c>
      <c r="B122" s="9" t="s">
        <v>73</v>
      </c>
      <c r="C122" s="1" t="s">
        <v>163</v>
      </c>
      <c r="D122" s="10">
        <v>36.299999999999997</v>
      </c>
      <c r="E122" s="1">
        <v>43</v>
      </c>
      <c r="F122" s="10">
        <v>43.9</v>
      </c>
      <c r="G122" s="1">
        <v>39</v>
      </c>
      <c r="H122" s="10">
        <v>53.5</v>
      </c>
      <c r="I122" s="1">
        <v>18</v>
      </c>
      <c r="J122" s="10">
        <v>51.2</v>
      </c>
      <c r="K122" s="1">
        <v>22</v>
      </c>
      <c r="L122" s="10">
        <v>39.799999999999997</v>
      </c>
      <c r="M122" s="1">
        <v>44</v>
      </c>
      <c r="N122" s="10">
        <v>224.6</v>
      </c>
      <c r="O122" s="1">
        <v>40</v>
      </c>
    </row>
    <row r="123" spans="1:15">
      <c r="A123" s="1">
        <v>2020</v>
      </c>
      <c r="B123" s="9" t="s">
        <v>75</v>
      </c>
      <c r="C123" s="1" t="s">
        <v>164</v>
      </c>
      <c r="D123" s="10">
        <v>43.6</v>
      </c>
      <c r="E123" s="1">
        <v>39</v>
      </c>
      <c r="F123" s="10">
        <v>43</v>
      </c>
      <c r="G123" s="1">
        <v>40</v>
      </c>
      <c r="H123" s="10">
        <v>49.9</v>
      </c>
      <c r="I123" s="1">
        <v>24</v>
      </c>
      <c r="J123" s="10">
        <v>53.8</v>
      </c>
      <c r="K123" s="1">
        <v>14</v>
      </c>
      <c r="L123" s="10">
        <v>44.2</v>
      </c>
      <c r="M123" s="1">
        <v>37</v>
      </c>
      <c r="N123" s="10">
        <v>234.6</v>
      </c>
      <c r="O123" s="1">
        <v>34</v>
      </c>
    </row>
    <row r="124" spans="1:15">
      <c r="A124" s="1">
        <v>2020</v>
      </c>
      <c r="B124" s="9" t="s">
        <v>77</v>
      </c>
      <c r="C124" s="1" t="s">
        <v>165</v>
      </c>
      <c r="D124" s="10">
        <v>50.7</v>
      </c>
      <c r="E124" s="1">
        <v>26</v>
      </c>
      <c r="F124" s="10">
        <v>46.2</v>
      </c>
      <c r="G124" s="1">
        <v>30</v>
      </c>
      <c r="H124" s="10">
        <v>73.5</v>
      </c>
      <c r="I124" s="1">
        <v>1</v>
      </c>
      <c r="J124" s="10">
        <v>58.2</v>
      </c>
      <c r="K124" s="1">
        <v>7</v>
      </c>
      <c r="L124" s="10">
        <v>35.5</v>
      </c>
      <c r="M124" s="1">
        <v>46</v>
      </c>
      <c r="N124" s="10">
        <v>264</v>
      </c>
      <c r="O124" s="1">
        <v>15</v>
      </c>
    </row>
    <row r="125" spans="1:15">
      <c r="A125" s="1">
        <v>2020</v>
      </c>
      <c r="B125" s="9" t="s">
        <v>79</v>
      </c>
      <c r="C125" s="1" t="s">
        <v>166</v>
      </c>
      <c r="D125" s="10">
        <v>50.3</v>
      </c>
      <c r="E125" s="1">
        <v>27</v>
      </c>
      <c r="F125" s="10">
        <v>41.3</v>
      </c>
      <c r="G125" s="1">
        <v>42</v>
      </c>
      <c r="H125" s="10">
        <v>70.7</v>
      </c>
      <c r="I125" s="1">
        <v>2</v>
      </c>
      <c r="J125" s="10">
        <v>53.9</v>
      </c>
      <c r="K125" s="1">
        <v>13</v>
      </c>
      <c r="L125" s="10">
        <v>34.5</v>
      </c>
      <c r="M125" s="1">
        <v>47</v>
      </c>
      <c r="N125" s="10">
        <v>250.7</v>
      </c>
      <c r="O125" s="1">
        <v>22</v>
      </c>
    </row>
    <row r="126" spans="1:15">
      <c r="A126" s="1">
        <v>2020</v>
      </c>
      <c r="B126" s="9" t="s">
        <v>81</v>
      </c>
      <c r="C126" s="1" t="s">
        <v>167</v>
      </c>
      <c r="D126" s="10">
        <v>40.700000000000003</v>
      </c>
      <c r="E126" s="1">
        <v>40</v>
      </c>
      <c r="F126" s="10">
        <v>54.4</v>
      </c>
      <c r="G126" s="1">
        <v>14</v>
      </c>
      <c r="H126" s="10">
        <v>50.2</v>
      </c>
      <c r="I126" s="1">
        <v>23</v>
      </c>
      <c r="J126" s="10">
        <v>47.8</v>
      </c>
      <c r="K126" s="1">
        <v>29</v>
      </c>
      <c r="L126" s="10">
        <v>53.8</v>
      </c>
      <c r="M126" s="1">
        <v>16</v>
      </c>
      <c r="N126" s="10">
        <v>246.9</v>
      </c>
      <c r="O126" s="1">
        <v>24</v>
      </c>
    </row>
    <row r="127" spans="1:15">
      <c r="A127" s="1">
        <v>2020</v>
      </c>
      <c r="B127" s="9" t="s">
        <v>83</v>
      </c>
      <c r="C127" s="1" t="s">
        <v>168</v>
      </c>
      <c r="D127" s="10">
        <v>60.7</v>
      </c>
      <c r="E127" s="1">
        <v>3</v>
      </c>
      <c r="F127" s="10">
        <v>57.6</v>
      </c>
      <c r="G127" s="1">
        <v>6</v>
      </c>
      <c r="H127" s="10">
        <v>52.3</v>
      </c>
      <c r="I127" s="1">
        <v>20</v>
      </c>
      <c r="J127" s="10">
        <v>39.299999999999997</v>
      </c>
      <c r="K127" s="1">
        <v>43</v>
      </c>
      <c r="L127" s="10">
        <v>58</v>
      </c>
      <c r="M127" s="1">
        <v>8</v>
      </c>
      <c r="N127" s="10">
        <v>268</v>
      </c>
      <c r="O127" s="1">
        <v>14</v>
      </c>
    </row>
    <row r="128" spans="1:15">
      <c r="A128" s="1">
        <v>2020</v>
      </c>
      <c r="B128" s="9" t="s">
        <v>85</v>
      </c>
      <c r="C128" s="1" t="s">
        <v>169</v>
      </c>
      <c r="D128" s="10">
        <v>52.5</v>
      </c>
      <c r="E128" s="1">
        <v>20</v>
      </c>
      <c r="F128" s="10">
        <v>58.9</v>
      </c>
      <c r="G128" s="1">
        <v>4</v>
      </c>
      <c r="H128" s="10">
        <v>41.1</v>
      </c>
      <c r="I128" s="1">
        <v>40</v>
      </c>
      <c r="J128" s="10">
        <v>33.5</v>
      </c>
      <c r="K128" s="1">
        <v>47</v>
      </c>
      <c r="L128" s="10">
        <v>43.2</v>
      </c>
      <c r="M128" s="1">
        <v>40</v>
      </c>
      <c r="N128" s="10">
        <v>229.1</v>
      </c>
      <c r="O128" s="1">
        <v>37</v>
      </c>
    </row>
    <row r="129" spans="1:15">
      <c r="A129" s="1">
        <v>2020</v>
      </c>
      <c r="B129" s="9" t="s">
        <v>87</v>
      </c>
      <c r="C129" s="1" t="s">
        <v>170</v>
      </c>
      <c r="D129" s="10">
        <v>48.8</v>
      </c>
      <c r="E129" s="1">
        <v>31</v>
      </c>
      <c r="F129" s="10">
        <v>45.4</v>
      </c>
      <c r="G129" s="1">
        <v>33</v>
      </c>
      <c r="H129" s="10">
        <v>43.1</v>
      </c>
      <c r="I129" s="1">
        <v>32</v>
      </c>
      <c r="J129" s="10">
        <v>39.9</v>
      </c>
      <c r="K129" s="1">
        <v>41</v>
      </c>
      <c r="L129" s="10">
        <v>43.7</v>
      </c>
      <c r="M129" s="1">
        <v>38</v>
      </c>
      <c r="N129" s="10">
        <v>220.9</v>
      </c>
      <c r="O129" s="1">
        <v>43</v>
      </c>
    </row>
    <row r="130" spans="1:15">
      <c r="A130" s="1">
        <v>2020</v>
      </c>
      <c r="B130" s="9" t="s">
        <v>89</v>
      </c>
      <c r="C130" s="1" t="s">
        <v>171</v>
      </c>
      <c r="D130" s="10">
        <v>57.3</v>
      </c>
      <c r="E130" s="1">
        <v>8</v>
      </c>
      <c r="F130" s="10">
        <v>51</v>
      </c>
      <c r="G130" s="1">
        <v>23</v>
      </c>
      <c r="H130" s="10">
        <v>54</v>
      </c>
      <c r="I130" s="1">
        <v>17</v>
      </c>
      <c r="J130" s="10">
        <v>40.5</v>
      </c>
      <c r="K130" s="1">
        <v>40</v>
      </c>
      <c r="L130" s="10">
        <v>60.7</v>
      </c>
      <c r="M130" s="1">
        <v>2</v>
      </c>
      <c r="N130" s="10">
        <v>263.5</v>
      </c>
      <c r="O130" s="1">
        <v>16</v>
      </c>
    </row>
    <row r="131" spans="1:15">
      <c r="A131" s="1">
        <v>2020</v>
      </c>
      <c r="B131" s="9" t="s">
        <v>91</v>
      </c>
      <c r="C131" s="1" t="s">
        <v>172</v>
      </c>
      <c r="D131" s="10">
        <v>54.9</v>
      </c>
      <c r="E131" s="1">
        <v>13</v>
      </c>
      <c r="F131" s="10">
        <v>51.6</v>
      </c>
      <c r="G131" s="1">
        <v>20</v>
      </c>
      <c r="H131" s="10">
        <v>70.099999999999994</v>
      </c>
      <c r="I131" s="1">
        <v>3</v>
      </c>
      <c r="J131" s="10">
        <v>51.5</v>
      </c>
      <c r="K131" s="1">
        <v>20</v>
      </c>
      <c r="L131" s="10">
        <v>46.3</v>
      </c>
      <c r="M131" s="1">
        <v>32</v>
      </c>
      <c r="N131" s="10">
        <v>274.3</v>
      </c>
      <c r="O131" s="1">
        <v>9</v>
      </c>
    </row>
    <row r="132" spans="1:15">
      <c r="A132" s="1">
        <v>2020</v>
      </c>
      <c r="B132" s="9" t="s">
        <v>93</v>
      </c>
      <c r="C132" s="1" t="s">
        <v>173</v>
      </c>
      <c r="D132" s="10">
        <v>47.6</v>
      </c>
      <c r="E132" s="1">
        <v>34</v>
      </c>
      <c r="F132" s="10">
        <v>55.4</v>
      </c>
      <c r="G132" s="1">
        <v>11</v>
      </c>
      <c r="H132" s="10">
        <v>49.4</v>
      </c>
      <c r="I132" s="1">
        <v>25</v>
      </c>
      <c r="J132" s="10">
        <v>39.4</v>
      </c>
      <c r="K132" s="1">
        <v>42</v>
      </c>
      <c r="L132" s="10">
        <v>44.9</v>
      </c>
      <c r="M132" s="1">
        <v>34</v>
      </c>
      <c r="N132" s="10">
        <v>236.6</v>
      </c>
      <c r="O132" s="1">
        <v>31</v>
      </c>
    </row>
    <row r="133" spans="1:15">
      <c r="A133" s="1">
        <v>2020</v>
      </c>
      <c r="B133" s="9" t="s">
        <v>95</v>
      </c>
      <c r="C133" s="1" t="s">
        <v>174</v>
      </c>
      <c r="D133" s="10">
        <v>51.1</v>
      </c>
      <c r="E133" s="1">
        <v>25</v>
      </c>
      <c r="F133" s="10">
        <v>43.9</v>
      </c>
      <c r="G133" s="1">
        <v>38</v>
      </c>
      <c r="H133" s="10">
        <v>46.9</v>
      </c>
      <c r="I133" s="1">
        <v>30</v>
      </c>
      <c r="J133" s="10">
        <v>38.799999999999997</v>
      </c>
      <c r="K133" s="1">
        <v>45</v>
      </c>
      <c r="L133" s="10">
        <v>41.5</v>
      </c>
      <c r="M133" s="1">
        <v>41</v>
      </c>
      <c r="N133" s="10">
        <v>222.2</v>
      </c>
      <c r="O133" s="1">
        <v>42</v>
      </c>
    </row>
    <row r="134" spans="1:15">
      <c r="A134" s="1">
        <v>2020</v>
      </c>
      <c r="B134" s="9" t="s">
        <v>97</v>
      </c>
      <c r="C134" s="1" t="s">
        <v>175</v>
      </c>
      <c r="D134" s="10">
        <v>57.3</v>
      </c>
      <c r="E134" s="1">
        <v>7</v>
      </c>
      <c r="F134" s="10">
        <v>44.9</v>
      </c>
      <c r="G134" s="1">
        <v>35</v>
      </c>
      <c r="H134" s="10">
        <v>19.399999999999999</v>
      </c>
      <c r="I134" s="1">
        <v>47</v>
      </c>
      <c r="J134" s="10">
        <v>49.9</v>
      </c>
      <c r="K134" s="1">
        <v>25</v>
      </c>
      <c r="L134" s="10">
        <v>46.2</v>
      </c>
      <c r="M134" s="1">
        <v>33</v>
      </c>
      <c r="N134" s="10">
        <v>217.7</v>
      </c>
      <c r="O134" s="1">
        <v>45</v>
      </c>
    </row>
    <row r="135" spans="1:15">
      <c r="A135" s="1">
        <v>2020</v>
      </c>
      <c r="B135" s="9" t="s">
        <v>99</v>
      </c>
      <c r="C135" s="1" t="s">
        <v>176</v>
      </c>
      <c r="D135" s="10">
        <v>45.9</v>
      </c>
      <c r="E135" s="1">
        <v>37</v>
      </c>
      <c r="F135" s="10">
        <v>44.9</v>
      </c>
      <c r="G135" s="1">
        <v>36</v>
      </c>
      <c r="H135" s="10">
        <v>53.1</v>
      </c>
      <c r="I135" s="1">
        <v>19</v>
      </c>
      <c r="J135" s="10">
        <v>54</v>
      </c>
      <c r="K135" s="1">
        <v>12</v>
      </c>
      <c r="L135" s="10">
        <v>48</v>
      </c>
      <c r="M135" s="1">
        <v>28</v>
      </c>
      <c r="N135" s="10">
        <v>245.8</v>
      </c>
      <c r="O135" s="1">
        <v>25</v>
      </c>
    </row>
    <row r="136" spans="1:15">
      <c r="A136" s="1">
        <v>2020</v>
      </c>
      <c r="B136" s="9" t="s">
        <v>101</v>
      </c>
      <c r="C136" s="1" t="s">
        <v>177</v>
      </c>
      <c r="D136" s="10">
        <v>37.6</v>
      </c>
      <c r="E136" s="1">
        <v>42</v>
      </c>
      <c r="F136" s="10">
        <v>51.3</v>
      </c>
      <c r="G136" s="1">
        <v>21</v>
      </c>
      <c r="H136" s="10">
        <v>57.4</v>
      </c>
      <c r="I136" s="1">
        <v>9</v>
      </c>
      <c r="J136" s="10">
        <v>33.799999999999997</v>
      </c>
      <c r="K136" s="1">
        <v>46</v>
      </c>
      <c r="L136" s="10">
        <v>48</v>
      </c>
      <c r="M136" s="1">
        <v>27</v>
      </c>
      <c r="N136" s="10">
        <v>228.1</v>
      </c>
      <c r="O136" s="1">
        <v>38</v>
      </c>
    </row>
    <row r="137" spans="1:15">
      <c r="A137" s="1">
        <v>2020</v>
      </c>
      <c r="B137" s="9" t="s">
        <v>103</v>
      </c>
      <c r="C137" s="1" t="s">
        <v>178</v>
      </c>
      <c r="D137" s="10">
        <v>49.1</v>
      </c>
      <c r="E137" s="1">
        <v>30</v>
      </c>
      <c r="F137" s="10">
        <v>55.6</v>
      </c>
      <c r="G137" s="1">
        <v>10</v>
      </c>
      <c r="H137" s="10">
        <v>54.8</v>
      </c>
      <c r="I137" s="1">
        <v>15</v>
      </c>
      <c r="J137" s="10">
        <v>44.4</v>
      </c>
      <c r="K137" s="1">
        <v>35</v>
      </c>
      <c r="L137" s="10">
        <v>50.8</v>
      </c>
      <c r="M137" s="1">
        <v>21</v>
      </c>
      <c r="N137" s="10">
        <v>254.7</v>
      </c>
      <c r="O137" s="1">
        <v>20</v>
      </c>
    </row>
    <row r="138" spans="1:15">
      <c r="A138" s="1">
        <v>2020</v>
      </c>
      <c r="B138" s="9" t="s">
        <v>105</v>
      </c>
      <c r="C138" s="1" t="s">
        <v>179</v>
      </c>
      <c r="D138" s="10">
        <v>55</v>
      </c>
      <c r="E138" s="1">
        <v>12</v>
      </c>
      <c r="F138" s="10">
        <v>67.3</v>
      </c>
      <c r="G138" s="1">
        <v>1</v>
      </c>
      <c r="H138" s="10">
        <v>52.2</v>
      </c>
      <c r="I138" s="1">
        <v>21</v>
      </c>
      <c r="J138" s="10">
        <v>57.4</v>
      </c>
      <c r="K138" s="1">
        <v>8</v>
      </c>
      <c r="L138" s="10">
        <v>55.6</v>
      </c>
      <c r="M138" s="1">
        <v>13</v>
      </c>
      <c r="N138" s="10">
        <v>287.39999999999998</v>
      </c>
      <c r="O138" s="1">
        <v>3</v>
      </c>
    </row>
    <row r="139" spans="1:15">
      <c r="A139" s="1">
        <v>2020</v>
      </c>
      <c r="B139" s="9" t="s">
        <v>107</v>
      </c>
      <c r="C139" s="1" t="s">
        <v>180</v>
      </c>
      <c r="D139" s="10">
        <v>50.3</v>
      </c>
      <c r="E139" s="1">
        <v>28</v>
      </c>
      <c r="F139" s="10">
        <v>55.3</v>
      </c>
      <c r="G139" s="1">
        <v>12</v>
      </c>
      <c r="H139" s="10">
        <v>54.7</v>
      </c>
      <c r="I139" s="1">
        <v>16</v>
      </c>
      <c r="J139" s="10">
        <v>51</v>
      </c>
      <c r="K139" s="1">
        <v>23</v>
      </c>
      <c r="L139" s="10">
        <v>50.4</v>
      </c>
      <c r="M139" s="1">
        <v>23</v>
      </c>
      <c r="N139" s="10">
        <v>261.7</v>
      </c>
      <c r="O139" s="1">
        <v>18</v>
      </c>
    </row>
    <row r="140" spans="1:15">
      <c r="A140" s="1">
        <v>2020</v>
      </c>
      <c r="B140" s="9" t="s">
        <v>109</v>
      </c>
      <c r="C140" s="1" t="s">
        <v>181</v>
      </c>
      <c r="D140" s="10">
        <v>52</v>
      </c>
      <c r="E140" s="1">
        <v>21</v>
      </c>
      <c r="F140" s="10">
        <v>39.200000000000003</v>
      </c>
      <c r="G140" s="1">
        <v>45</v>
      </c>
      <c r="H140" s="10">
        <v>66.599999999999994</v>
      </c>
      <c r="I140" s="1">
        <v>4</v>
      </c>
      <c r="J140" s="10">
        <v>40.799999999999997</v>
      </c>
      <c r="K140" s="1">
        <v>38</v>
      </c>
      <c r="L140" s="10">
        <v>52.6</v>
      </c>
      <c r="M140" s="1">
        <v>18</v>
      </c>
      <c r="N140" s="10">
        <v>251.2</v>
      </c>
      <c r="O140" s="1">
        <v>21</v>
      </c>
    </row>
    <row r="141" spans="1:15">
      <c r="A141" s="1">
        <v>2020</v>
      </c>
      <c r="B141" s="9" t="s">
        <v>111</v>
      </c>
      <c r="C141" s="1" t="s">
        <v>182</v>
      </c>
      <c r="D141" s="10">
        <v>45.1</v>
      </c>
      <c r="E141" s="1">
        <v>38</v>
      </c>
      <c r="F141" s="10">
        <v>42.9</v>
      </c>
      <c r="G141" s="1">
        <v>41</v>
      </c>
      <c r="H141" s="10">
        <v>46.4</v>
      </c>
      <c r="I141" s="1">
        <v>31</v>
      </c>
      <c r="J141" s="10">
        <v>48.7</v>
      </c>
      <c r="K141" s="1">
        <v>28</v>
      </c>
      <c r="L141" s="10">
        <v>58.6</v>
      </c>
      <c r="M141" s="1">
        <v>6</v>
      </c>
      <c r="N141" s="10">
        <v>241.6</v>
      </c>
      <c r="O141" s="1">
        <v>28</v>
      </c>
    </row>
    <row r="142" spans="1:15">
      <c r="A142" s="1">
        <v>2020</v>
      </c>
      <c r="B142" s="9" t="s">
        <v>113</v>
      </c>
      <c r="C142" s="1" t="s">
        <v>183</v>
      </c>
      <c r="D142" s="10">
        <v>55.1</v>
      </c>
      <c r="E142" s="1">
        <v>10</v>
      </c>
      <c r="F142" s="10">
        <v>54.9</v>
      </c>
      <c r="G142" s="1">
        <v>13</v>
      </c>
      <c r="H142" s="10">
        <v>54.9</v>
      </c>
      <c r="I142" s="1">
        <v>14</v>
      </c>
      <c r="J142" s="10">
        <v>49.2</v>
      </c>
      <c r="K142" s="1">
        <v>27</v>
      </c>
      <c r="L142" s="10">
        <v>58.8</v>
      </c>
      <c r="M142" s="1">
        <v>5</v>
      </c>
      <c r="N142" s="10">
        <v>272.89999999999998</v>
      </c>
      <c r="O142" s="1">
        <v>10</v>
      </c>
    </row>
    <row r="143" spans="1:15">
      <c r="A143" s="1">
        <v>2021</v>
      </c>
      <c r="B143" s="9" t="s">
        <v>21</v>
      </c>
      <c r="C143" s="1" t="s">
        <v>22</v>
      </c>
      <c r="D143" s="10">
        <v>37.200000000000003</v>
      </c>
      <c r="E143" s="1">
        <v>46</v>
      </c>
      <c r="F143" s="10">
        <v>40.200000000000003</v>
      </c>
      <c r="G143" s="1">
        <v>43</v>
      </c>
      <c r="H143" s="10">
        <v>48.3</v>
      </c>
      <c r="I143" s="1">
        <v>29</v>
      </c>
      <c r="J143" s="10">
        <v>48.2</v>
      </c>
      <c r="K143" s="1">
        <v>23</v>
      </c>
      <c r="L143" s="10">
        <v>54.5</v>
      </c>
      <c r="M143" s="1">
        <v>8</v>
      </c>
      <c r="N143" s="10">
        <v>228.4</v>
      </c>
      <c r="O143" s="1">
        <v>42</v>
      </c>
    </row>
    <row r="144" spans="1:15">
      <c r="A144" s="1">
        <v>2021</v>
      </c>
      <c r="B144" s="9" t="s">
        <v>23</v>
      </c>
      <c r="C144" s="1" t="s">
        <v>138</v>
      </c>
      <c r="D144" s="10">
        <v>47.9</v>
      </c>
      <c r="E144" s="1">
        <v>27</v>
      </c>
      <c r="F144" s="10">
        <v>45.5</v>
      </c>
      <c r="G144" s="1">
        <v>31</v>
      </c>
      <c r="H144" s="10">
        <v>45.4</v>
      </c>
      <c r="I144" s="1">
        <v>38</v>
      </c>
      <c r="J144" s="10">
        <v>45.8</v>
      </c>
      <c r="K144" s="1">
        <v>32</v>
      </c>
      <c r="L144" s="10">
        <v>46.3</v>
      </c>
      <c r="M144" s="1">
        <v>36</v>
      </c>
      <c r="N144" s="10">
        <v>230.8</v>
      </c>
      <c r="O144" s="1">
        <v>38</v>
      </c>
    </row>
    <row r="145" spans="1:15">
      <c r="A145" s="1">
        <v>2021</v>
      </c>
      <c r="B145" s="9" t="s">
        <v>25</v>
      </c>
      <c r="C145" s="1" t="s">
        <v>139</v>
      </c>
      <c r="D145" s="10">
        <v>57.7</v>
      </c>
      <c r="E145" s="1">
        <v>8</v>
      </c>
      <c r="F145" s="10">
        <v>45</v>
      </c>
      <c r="G145" s="1">
        <v>33</v>
      </c>
      <c r="H145" s="10">
        <v>34.9</v>
      </c>
      <c r="I145" s="1">
        <v>45</v>
      </c>
      <c r="J145" s="10">
        <v>54.7</v>
      </c>
      <c r="K145" s="1">
        <v>9</v>
      </c>
      <c r="L145" s="10">
        <v>51.9</v>
      </c>
      <c r="M145" s="1">
        <v>21</v>
      </c>
      <c r="N145" s="10">
        <v>244.1</v>
      </c>
      <c r="O145" s="1">
        <v>27</v>
      </c>
    </row>
    <row r="146" spans="1:15">
      <c r="A146" s="1">
        <v>2021</v>
      </c>
      <c r="B146" s="9" t="s">
        <v>27</v>
      </c>
      <c r="C146" s="1" t="s">
        <v>140</v>
      </c>
      <c r="D146" s="10">
        <v>50.2</v>
      </c>
      <c r="E146" s="1">
        <v>20</v>
      </c>
      <c r="F146" s="10">
        <v>50</v>
      </c>
      <c r="G146" s="1">
        <v>20</v>
      </c>
      <c r="H146" s="10">
        <v>52.8</v>
      </c>
      <c r="I146" s="1">
        <v>19</v>
      </c>
      <c r="J146" s="10">
        <v>54.4</v>
      </c>
      <c r="K146" s="1">
        <v>10</v>
      </c>
      <c r="L146" s="10">
        <v>51.3</v>
      </c>
      <c r="M146" s="1">
        <v>22</v>
      </c>
      <c r="N146" s="10">
        <v>258.8</v>
      </c>
      <c r="O146" s="1">
        <v>17</v>
      </c>
    </row>
    <row r="147" spans="1:15">
      <c r="A147" s="1">
        <v>2021</v>
      </c>
      <c r="B147" s="9" t="s">
        <v>29</v>
      </c>
      <c r="C147" s="1" t="s">
        <v>141</v>
      </c>
      <c r="D147" s="10">
        <v>51.1</v>
      </c>
      <c r="E147" s="1">
        <v>19</v>
      </c>
      <c r="F147" s="10">
        <v>73.900000000000006</v>
      </c>
      <c r="G147" s="1">
        <v>1</v>
      </c>
      <c r="H147" s="10">
        <v>48</v>
      </c>
      <c r="I147" s="1">
        <v>30</v>
      </c>
      <c r="J147" s="10">
        <v>44.6</v>
      </c>
      <c r="K147" s="1">
        <v>34</v>
      </c>
      <c r="L147" s="10">
        <v>55.8</v>
      </c>
      <c r="M147" s="1">
        <v>6</v>
      </c>
      <c r="N147" s="10">
        <v>273.3</v>
      </c>
      <c r="O147" s="1">
        <v>6</v>
      </c>
    </row>
    <row r="148" spans="1:15">
      <c r="A148" s="1">
        <v>2021</v>
      </c>
      <c r="B148" s="9" t="s">
        <v>31</v>
      </c>
      <c r="C148" s="1" t="s">
        <v>142</v>
      </c>
      <c r="D148" s="10">
        <v>64.900000000000006</v>
      </c>
      <c r="E148" s="1">
        <v>1</v>
      </c>
      <c r="F148" s="10">
        <v>55.6</v>
      </c>
      <c r="G148" s="1">
        <v>11</v>
      </c>
      <c r="H148" s="10">
        <v>50.3</v>
      </c>
      <c r="I148" s="1">
        <v>25</v>
      </c>
      <c r="J148" s="10">
        <v>48.2</v>
      </c>
      <c r="K148" s="1">
        <v>25</v>
      </c>
      <c r="L148" s="10">
        <v>57</v>
      </c>
      <c r="M148" s="1">
        <v>5</v>
      </c>
      <c r="N148" s="10">
        <v>276.10000000000002</v>
      </c>
      <c r="O148" s="1">
        <v>5</v>
      </c>
    </row>
    <row r="149" spans="1:15">
      <c r="A149" s="1">
        <v>2021</v>
      </c>
      <c r="B149" s="9" t="s">
        <v>33</v>
      </c>
      <c r="C149" s="1" t="s">
        <v>143</v>
      </c>
      <c r="D149" s="10">
        <v>51.7</v>
      </c>
      <c r="E149" s="1">
        <v>17</v>
      </c>
      <c r="F149" s="10">
        <v>51.7</v>
      </c>
      <c r="G149" s="1">
        <v>16</v>
      </c>
      <c r="H149" s="10">
        <v>54.1</v>
      </c>
      <c r="I149" s="1">
        <v>14</v>
      </c>
      <c r="J149" s="10">
        <v>52.3</v>
      </c>
      <c r="K149" s="1">
        <v>15</v>
      </c>
      <c r="L149" s="10">
        <v>53.3</v>
      </c>
      <c r="M149" s="1">
        <v>16</v>
      </c>
      <c r="N149" s="10">
        <v>263</v>
      </c>
      <c r="O149" s="1">
        <v>11</v>
      </c>
    </row>
    <row r="150" spans="1:15">
      <c r="A150" s="1">
        <v>2021</v>
      </c>
      <c r="B150" s="9" t="s">
        <v>35</v>
      </c>
      <c r="C150" s="1" t="s">
        <v>144</v>
      </c>
      <c r="D150" s="10">
        <v>49.7</v>
      </c>
      <c r="E150" s="1">
        <v>24</v>
      </c>
      <c r="F150" s="10">
        <v>41.3</v>
      </c>
      <c r="G150" s="1">
        <v>41</v>
      </c>
      <c r="H150" s="10">
        <v>31</v>
      </c>
      <c r="I150" s="1">
        <v>46</v>
      </c>
      <c r="J150" s="10">
        <v>53.6</v>
      </c>
      <c r="K150" s="1">
        <v>12</v>
      </c>
      <c r="L150" s="10">
        <v>46.8</v>
      </c>
      <c r="M150" s="1">
        <v>32</v>
      </c>
      <c r="N150" s="10">
        <v>222.4</v>
      </c>
      <c r="O150" s="1">
        <v>46</v>
      </c>
    </row>
    <row r="151" spans="1:15">
      <c r="A151" s="1">
        <v>2021</v>
      </c>
      <c r="B151" s="9" t="s">
        <v>37</v>
      </c>
      <c r="C151" s="1" t="s">
        <v>145</v>
      </c>
      <c r="D151" s="10">
        <v>54.6</v>
      </c>
      <c r="E151" s="1">
        <v>13</v>
      </c>
      <c r="F151" s="10">
        <v>48</v>
      </c>
      <c r="G151" s="1">
        <v>26</v>
      </c>
      <c r="H151" s="10">
        <v>51.9</v>
      </c>
      <c r="I151" s="1">
        <v>22</v>
      </c>
      <c r="J151" s="10">
        <v>52.1</v>
      </c>
      <c r="K151" s="1">
        <v>16</v>
      </c>
      <c r="L151" s="10">
        <v>52.4</v>
      </c>
      <c r="M151" s="1">
        <v>20</v>
      </c>
      <c r="N151" s="10">
        <v>258.89999999999998</v>
      </c>
      <c r="O151" s="1">
        <v>16</v>
      </c>
    </row>
    <row r="152" spans="1:15">
      <c r="A152" s="1">
        <v>2021</v>
      </c>
      <c r="B152" s="9" t="s">
        <v>39</v>
      </c>
      <c r="C152" s="1" t="s">
        <v>146</v>
      </c>
      <c r="D152" s="10">
        <v>46.3</v>
      </c>
      <c r="E152" s="1">
        <v>34</v>
      </c>
      <c r="F152" s="10">
        <v>41</v>
      </c>
      <c r="G152" s="1">
        <v>42</v>
      </c>
      <c r="H152" s="10">
        <v>37.6</v>
      </c>
      <c r="I152" s="1">
        <v>42</v>
      </c>
      <c r="J152" s="10">
        <v>46</v>
      </c>
      <c r="K152" s="1">
        <v>29</v>
      </c>
      <c r="L152" s="10">
        <v>55</v>
      </c>
      <c r="M152" s="1">
        <v>7</v>
      </c>
      <c r="N152" s="10">
        <v>225.9</v>
      </c>
      <c r="O152" s="1">
        <v>45</v>
      </c>
    </row>
    <row r="153" spans="1:15">
      <c r="A153" s="1">
        <v>2021</v>
      </c>
      <c r="B153" s="9" t="s">
        <v>41</v>
      </c>
      <c r="C153" s="1" t="s">
        <v>147</v>
      </c>
      <c r="D153" s="10">
        <v>45.1</v>
      </c>
      <c r="E153" s="1">
        <v>38</v>
      </c>
      <c r="F153" s="10">
        <v>44.2</v>
      </c>
      <c r="G153" s="1">
        <v>34</v>
      </c>
      <c r="H153" s="10">
        <v>47.1</v>
      </c>
      <c r="I153" s="1">
        <v>33</v>
      </c>
      <c r="J153" s="10">
        <v>45</v>
      </c>
      <c r="K153" s="1">
        <v>33</v>
      </c>
      <c r="L153" s="10">
        <v>47.4</v>
      </c>
      <c r="M153" s="1">
        <v>29</v>
      </c>
      <c r="N153" s="10">
        <v>228.8</v>
      </c>
      <c r="O153" s="1">
        <v>41</v>
      </c>
    </row>
    <row r="154" spans="1:15">
      <c r="A154" s="1">
        <v>2021</v>
      </c>
      <c r="B154" s="9" t="s">
        <v>43</v>
      </c>
      <c r="C154" s="1" t="s">
        <v>148</v>
      </c>
      <c r="D154" s="10">
        <v>42.2</v>
      </c>
      <c r="E154" s="1">
        <v>43</v>
      </c>
      <c r="F154" s="10">
        <v>43.7</v>
      </c>
      <c r="G154" s="1">
        <v>35</v>
      </c>
      <c r="H154" s="10">
        <v>51.3</v>
      </c>
      <c r="I154" s="1">
        <v>24</v>
      </c>
      <c r="J154" s="10">
        <v>43.6</v>
      </c>
      <c r="K154" s="1">
        <v>40</v>
      </c>
      <c r="L154" s="10">
        <v>46.1</v>
      </c>
      <c r="M154" s="1">
        <v>37</v>
      </c>
      <c r="N154" s="10">
        <v>227</v>
      </c>
      <c r="O154" s="1">
        <v>43</v>
      </c>
    </row>
    <row r="155" spans="1:15">
      <c r="A155" s="1">
        <v>2021</v>
      </c>
      <c r="B155" s="9" t="s">
        <v>45</v>
      </c>
      <c r="C155" s="1" t="s">
        <v>149</v>
      </c>
      <c r="D155" s="10">
        <v>47.8</v>
      </c>
      <c r="E155" s="1">
        <v>28</v>
      </c>
      <c r="F155" s="10">
        <v>37.799999999999997</v>
      </c>
      <c r="G155" s="1">
        <v>47</v>
      </c>
      <c r="H155" s="10">
        <v>58.3</v>
      </c>
      <c r="I155" s="1">
        <v>9</v>
      </c>
      <c r="J155" s="10">
        <v>43.5</v>
      </c>
      <c r="K155" s="1">
        <v>41</v>
      </c>
      <c r="L155" s="10">
        <v>46</v>
      </c>
      <c r="M155" s="1">
        <v>38</v>
      </c>
      <c r="N155" s="10">
        <v>233.5</v>
      </c>
      <c r="O155" s="1">
        <v>37</v>
      </c>
    </row>
    <row r="156" spans="1:15">
      <c r="A156" s="1">
        <v>2021</v>
      </c>
      <c r="B156" s="9" t="s">
        <v>47</v>
      </c>
      <c r="C156" s="1" t="s">
        <v>150</v>
      </c>
      <c r="D156" s="10">
        <v>43.2</v>
      </c>
      <c r="E156" s="1">
        <v>41</v>
      </c>
      <c r="F156" s="10">
        <v>38.9</v>
      </c>
      <c r="G156" s="1">
        <v>45</v>
      </c>
      <c r="H156" s="10">
        <v>54.6</v>
      </c>
      <c r="I156" s="1">
        <v>12</v>
      </c>
      <c r="J156" s="10">
        <v>57</v>
      </c>
      <c r="K156" s="1">
        <v>7</v>
      </c>
      <c r="L156" s="10">
        <v>46.3</v>
      </c>
      <c r="M156" s="1">
        <v>35</v>
      </c>
      <c r="N156" s="10">
        <v>240</v>
      </c>
      <c r="O156" s="1">
        <v>31</v>
      </c>
    </row>
    <row r="157" spans="1:15">
      <c r="A157" s="1">
        <v>2021</v>
      </c>
      <c r="B157" s="9" t="s">
        <v>49</v>
      </c>
      <c r="C157" s="1" t="s">
        <v>151</v>
      </c>
      <c r="D157" s="10">
        <v>57.4</v>
      </c>
      <c r="E157" s="1">
        <v>9</v>
      </c>
      <c r="F157" s="10">
        <v>51.6</v>
      </c>
      <c r="G157" s="1">
        <v>17</v>
      </c>
      <c r="H157" s="10">
        <v>51.9</v>
      </c>
      <c r="I157" s="1">
        <v>21</v>
      </c>
      <c r="J157" s="10">
        <v>53</v>
      </c>
      <c r="K157" s="1">
        <v>13</v>
      </c>
      <c r="L157" s="10">
        <v>43.6</v>
      </c>
      <c r="M157" s="1">
        <v>42</v>
      </c>
      <c r="N157" s="10">
        <v>257.5</v>
      </c>
      <c r="O157" s="1">
        <v>19</v>
      </c>
    </row>
    <row r="158" spans="1:15">
      <c r="A158" s="1">
        <v>2021</v>
      </c>
      <c r="B158" s="9" t="s">
        <v>51</v>
      </c>
      <c r="C158" s="1" t="s">
        <v>152</v>
      </c>
      <c r="D158" s="10">
        <v>58.2</v>
      </c>
      <c r="E158" s="1">
        <v>7</v>
      </c>
      <c r="F158" s="10">
        <v>61.6</v>
      </c>
      <c r="G158" s="1">
        <v>5</v>
      </c>
      <c r="H158" s="10">
        <v>39.6</v>
      </c>
      <c r="I158" s="1">
        <v>40</v>
      </c>
      <c r="J158" s="10">
        <v>46.2</v>
      </c>
      <c r="K158" s="1">
        <v>28</v>
      </c>
      <c r="L158" s="10">
        <v>39.700000000000003</v>
      </c>
      <c r="M158" s="1">
        <v>45</v>
      </c>
      <c r="N158" s="10">
        <v>245.4</v>
      </c>
      <c r="O158" s="1">
        <v>25</v>
      </c>
    </row>
    <row r="159" spans="1:15">
      <c r="A159" s="1">
        <v>2021</v>
      </c>
      <c r="B159" s="9" t="s">
        <v>53</v>
      </c>
      <c r="C159" s="1" t="s">
        <v>153</v>
      </c>
      <c r="D159" s="10">
        <v>59.8</v>
      </c>
      <c r="E159" s="1">
        <v>4</v>
      </c>
      <c r="F159" s="10">
        <v>57.1</v>
      </c>
      <c r="G159" s="1">
        <v>10</v>
      </c>
      <c r="H159" s="10">
        <v>54</v>
      </c>
      <c r="I159" s="1">
        <v>15</v>
      </c>
      <c r="J159" s="10">
        <v>51.6</v>
      </c>
      <c r="K159" s="1">
        <v>17</v>
      </c>
      <c r="L159" s="10">
        <v>42.2</v>
      </c>
      <c r="M159" s="1">
        <v>43</v>
      </c>
      <c r="N159" s="10">
        <v>264.8</v>
      </c>
      <c r="O159" s="1">
        <v>9</v>
      </c>
    </row>
    <row r="160" spans="1:15">
      <c r="A160" s="1">
        <v>2021</v>
      </c>
      <c r="B160" s="9" t="s">
        <v>55</v>
      </c>
      <c r="C160" s="1" t="s">
        <v>154</v>
      </c>
      <c r="D160" s="10">
        <v>62</v>
      </c>
      <c r="E160" s="1">
        <v>3</v>
      </c>
      <c r="F160" s="10">
        <v>50</v>
      </c>
      <c r="G160" s="1">
        <v>21</v>
      </c>
      <c r="H160" s="10">
        <v>55.1</v>
      </c>
      <c r="I160" s="1">
        <v>10</v>
      </c>
      <c r="J160" s="10">
        <v>59</v>
      </c>
      <c r="K160" s="1">
        <v>6</v>
      </c>
      <c r="L160" s="10">
        <v>34.799999999999997</v>
      </c>
      <c r="M160" s="1">
        <v>47</v>
      </c>
      <c r="N160" s="10">
        <v>260.89999999999998</v>
      </c>
      <c r="O160" s="1">
        <v>14</v>
      </c>
    </row>
    <row r="161" spans="1:15">
      <c r="A161" s="1">
        <v>2021</v>
      </c>
      <c r="B161" s="9" t="s">
        <v>57</v>
      </c>
      <c r="C161" s="1" t="s">
        <v>155</v>
      </c>
      <c r="D161" s="10">
        <v>53</v>
      </c>
      <c r="E161" s="1">
        <v>14</v>
      </c>
      <c r="F161" s="10">
        <v>52.2</v>
      </c>
      <c r="G161" s="1">
        <v>15</v>
      </c>
      <c r="H161" s="10">
        <v>36.1</v>
      </c>
      <c r="I161" s="1">
        <v>44</v>
      </c>
      <c r="J161" s="10">
        <v>48.2</v>
      </c>
      <c r="K161" s="1">
        <v>24</v>
      </c>
      <c r="L161" s="10">
        <v>53.8</v>
      </c>
      <c r="M161" s="1">
        <v>13</v>
      </c>
      <c r="N161" s="10">
        <v>243.3</v>
      </c>
      <c r="O161" s="1">
        <v>28</v>
      </c>
    </row>
    <row r="162" spans="1:15">
      <c r="A162" s="1">
        <v>2021</v>
      </c>
      <c r="B162" s="9" t="s">
        <v>59</v>
      </c>
      <c r="C162" s="1" t="s">
        <v>156</v>
      </c>
      <c r="D162" s="10">
        <v>52</v>
      </c>
      <c r="E162" s="1">
        <v>16</v>
      </c>
      <c r="F162" s="10">
        <v>68.400000000000006</v>
      </c>
      <c r="G162" s="1">
        <v>2</v>
      </c>
      <c r="H162" s="10">
        <v>55</v>
      </c>
      <c r="I162" s="1">
        <v>11</v>
      </c>
      <c r="J162" s="10">
        <v>50.5</v>
      </c>
      <c r="K162" s="1">
        <v>20</v>
      </c>
      <c r="L162" s="10">
        <v>46.7</v>
      </c>
      <c r="M162" s="1">
        <v>33</v>
      </c>
      <c r="N162" s="10">
        <v>272.60000000000002</v>
      </c>
      <c r="O162" s="1">
        <v>7</v>
      </c>
    </row>
    <row r="163" spans="1:15">
      <c r="A163" s="1">
        <v>2021</v>
      </c>
      <c r="B163" s="9" t="s">
        <v>61</v>
      </c>
      <c r="C163" s="1" t="s">
        <v>157</v>
      </c>
      <c r="D163" s="10">
        <v>63.9</v>
      </c>
      <c r="E163" s="1">
        <v>2</v>
      </c>
      <c r="F163" s="10">
        <v>54.8</v>
      </c>
      <c r="G163" s="1">
        <v>13</v>
      </c>
      <c r="H163" s="10">
        <v>65.5</v>
      </c>
      <c r="I163" s="1">
        <v>2</v>
      </c>
      <c r="J163" s="10">
        <v>61.6</v>
      </c>
      <c r="K163" s="1">
        <v>3</v>
      </c>
      <c r="L163" s="10">
        <v>53.2</v>
      </c>
      <c r="M163" s="1">
        <v>17</v>
      </c>
      <c r="N163" s="10">
        <v>299</v>
      </c>
      <c r="O163" s="1">
        <v>1</v>
      </c>
    </row>
    <row r="164" spans="1:15">
      <c r="A164" s="1">
        <v>2021</v>
      </c>
      <c r="B164" s="9" t="s">
        <v>63</v>
      </c>
      <c r="C164" s="1" t="s">
        <v>158</v>
      </c>
      <c r="D164" s="10">
        <v>45.9</v>
      </c>
      <c r="E164" s="1">
        <v>36</v>
      </c>
      <c r="F164" s="10">
        <v>42</v>
      </c>
      <c r="G164" s="1">
        <v>40</v>
      </c>
      <c r="H164" s="10">
        <v>59</v>
      </c>
      <c r="I164" s="1">
        <v>7</v>
      </c>
      <c r="J164" s="10">
        <v>60.2</v>
      </c>
      <c r="K164" s="1">
        <v>4</v>
      </c>
      <c r="L164" s="10">
        <v>52.5</v>
      </c>
      <c r="M164" s="1">
        <v>19</v>
      </c>
      <c r="N164" s="10">
        <v>259.60000000000002</v>
      </c>
      <c r="O164" s="1">
        <v>15</v>
      </c>
    </row>
    <row r="165" spans="1:15">
      <c r="A165" s="1">
        <v>2021</v>
      </c>
      <c r="B165" s="9" t="s">
        <v>65</v>
      </c>
      <c r="C165" s="1" t="s">
        <v>159</v>
      </c>
      <c r="D165" s="10">
        <v>46</v>
      </c>
      <c r="E165" s="1">
        <v>35</v>
      </c>
      <c r="F165" s="10">
        <v>43.3</v>
      </c>
      <c r="G165" s="1">
        <v>37</v>
      </c>
      <c r="H165" s="10">
        <v>49.7</v>
      </c>
      <c r="I165" s="1">
        <v>27</v>
      </c>
      <c r="J165" s="10">
        <v>51.2</v>
      </c>
      <c r="K165" s="1">
        <v>18</v>
      </c>
      <c r="L165" s="10">
        <v>54</v>
      </c>
      <c r="M165" s="1">
        <v>12</v>
      </c>
      <c r="N165" s="10">
        <v>244.2</v>
      </c>
      <c r="O165" s="1">
        <v>26</v>
      </c>
    </row>
    <row r="166" spans="1:15">
      <c r="A166" s="1">
        <v>2021</v>
      </c>
      <c r="B166" s="9" t="s">
        <v>67</v>
      </c>
      <c r="C166" s="1" t="s">
        <v>160</v>
      </c>
      <c r="D166" s="10">
        <v>51.4</v>
      </c>
      <c r="E166" s="1">
        <v>18</v>
      </c>
      <c r="F166" s="10">
        <v>49.6</v>
      </c>
      <c r="G166" s="1">
        <v>23</v>
      </c>
      <c r="H166" s="10">
        <v>39.700000000000003</v>
      </c>
      <c r="I166" s="1">
        <v>39</v>
      </c>
      <c r="J166" s="10">
        <v>50.7</v>
      </c>
      <c r="K166" s="1">
        <v>19</v>
      </c>
      <c r="L166" s="10">
        <v>46.5</v>
      </c>
      <c r="M166" s="1">
        <v>34</v>
      </c>
      <c r="N166" s="10">
        <v>237.8</v>
      </c>
      <c r="O166" s="1">
        <v>33</v>
      </c>
    </row>
    <row r="167" spans="1:15">
      <c r="A167" s="1">
        <v>2021</v>
      </c>
      <c r="B167" s="9" t="s">
        <v>69</v>
      </c>
      <c r="C167" s="1" t="s">
        <v>161</v>
      </c>
      <c r="D167" s="10">
        <v>58.8</v>
      </c>
      <c r="E167" s="1">
        <v>5</v>
      </c>
      <c r="F167" s="10">
        <v>45.2</v>
      </c>
      <c r="G167" s="1">
        <v>32</v>
      </c>
      <c r="H167" s="10">
        <v>52.4</v>
      </c>
      <c r="I167" s="1">
        <v>20</v>
      </c>
      <c r="J167" s="10">
        <v>38.9</v>
      </c>
      <c r="K167" s="1">
        <v>45</v>
      </c>
      <c r="L167" s="10">
        <v>42.2</v>
      </c>
      <c r="M167" s="1">
        <v>44</v>
      </c>
      <c r="N167" s="10">
        <v>237.5</v>
      </c>
      <c r="O167" s="1">
        <v>34</v>
      </c>
    </row>
    <row r="168" spans="1:15">
      <c r="A168" s="1">
        <v>2021</v>
      </c>
      <c r="B168" s="9" t="s">
        <v>71</v>
      </c>
      <c r="C168" s="1" t="s">
        <v>162</v>
      </c>
      <c r="D168" s="10">
        <v>49.8</v>
      </c>
      <c r="E168" s="1">
        <v>23</v>
      </c>
      <c r="F168" s="10">
        <v>54</v>
      </c>
      <c r="G168" s="1">
        <v>14</v>
      </c>
      <c r="H168" s="10">
        <v>64.599999999999994</v>
      </c>
      <c r="I168" s="1">
        <v>3</v>
      </c>
      <c r="J168" s="10">
        <v>48.1</v>
      </c>
      <c r="K168" s="1">
        <v>26</v>
      </c>
      <c r="L168" s="10">
        <v>39.5</v>
      </c>
      <c r="M168" s="1">
        <v>46</v>
      </c>
      <c r="N168" s="10">
        <v>256.10000000000002</v>
      </c>
      <c r="O168" s="1">
        <v>20</v>
      </c>
    </row>
    <row r="169" spans="1:15">
      <c r="A169" s="1">
        <v>2021</v>
      </c>
      <c r="B169" s="9" t="s">
        <v>73</v>
      </c>
      <c r="C169" s="1" t="s">
        <v>163</v>
      </c>
      <c r="D169" s="10">
        <v>41.3</v>
      </c>
      <c r="E169" s="1">
        <v>44</v>
      </c>
      <c r="F169" s="10">
        <v>39.9</v>
      </c>
      <c r="G169" s="1">
        <v>44</v>
      </c>
      <c r="H169" s="10">
        <v>58.4</v>
      </c>
      <c r="I169" s="1">
        <v>8</v>
      </c>
      <c r="J169" s="10">
        <v>44.2</v>
      </c>
      <c r="K169" s="1">
        <v>37</v>
      </c>
      <c r="L169" s="10">
        <v>45.7</v>
      </c>
      <c r="M169" s="1">
        <v>40</v>
      </c>
      <c r="N169" s="10">
        <v>229.5</v>
      </c>
      <c r="O169" s="1">
        <v>39</v>
      </c>
    </row>
    <row r="170" spans="1:15">
      <c r="A170" s="1">
        <v>2021</v>
      </c>
      <c r="B170" s="9" t="s">
        <v>75</v>
      </c>
      <c r="C170" s="1" t="s">
        <v>164</v>
      </c>
      <c r="D170" s="10">
        <v>50.2</v>
      </c>
      <c r="E170" s="1">
        <v>21</v>
      </c>
      <c r="F170" s="10">
        <v>49.1</v>
      </c>
      <c r="G170" s="1">
        <v>24</v>
      </c>
      <c r="H170" s="10">
        <v>49.9</v>
      </c>
      <c r="I170" s="1">
        <v>26</v>
      </c>
      <c r="J170" s="10">
        <v>45.9</v>
      </c>
      <c r="K170" s="1">
        <v>30</v>
      </c>
      <c r="L170" s="10">
        <v>47.3</v>
      </c>
      <c r="M170" s="1">
        <v>31</v>
      </c>
      <c r="N170" s="10">
        <v>242.4</v>
      </c>
      <c r="O170" s="1">
        <v>30</v>
      </c>
    </row>
    <row r="171" spans="1:15">
      <c r="A171" s="1">
        <v>2021</v>
      </c>
      <c r="B171" s="9" t="s">
        <v>77</v>
      </c>
      <c r="C171" s="1" t="s">
        <v>165</v>
      </c>
      <c r="D171" s="10">
        <v>50.2</v>
      </c>
      <c r="E171" s="1">
        <v>22</v>
      </c>
      <c r="F171" s="10">
        <v>50.9</v>
      </c>
      <c r="G171" s="1">
        <v>19</v>
      </c>
      <c r="H171" s="10">
        <v>77.599999999999994</v>
      </c>
      <c r="I171" s="1">
        <v>1</v>
      </c>
      <c r="J171" s="10">
        <v>66.400000000000006</v>
      </c>
      <c r="K171" s="1">
        <v>2</v>
      </c>
      <c r="L171" s="10">
        <v>49.7</v>
      </c>
      <c r="M171" s="1">
        <v>25</v>
      </c>
      <c r="N171" s="10">
        <v>294.7</v>
      </c>
      <c r="O171" s="1">
        <v>2</v>
      </c>
    </row>
    <row r="172" spans="1:15">
      <c r="A172" s="1">
        <v>2021</v>
      </c>
      <c r="B172" s="9" t="s">
        <v>79</v>
      </c>
      <c r="C172" s="1" t="s">
        <v>166</v>
      </c>
      <c r="D172" s="10">
        <v>47.8</v>
      </c>
      <c r="E172" s="1">
        <v>30</v>
      </c>
      <c r="F172" s="10">
        <v>49.7</v>
      </c>
      <c r="G172" s="1">
        <v>22</v>
      </c>
      <c r="H172" s="10">
        <v>63.7</v>
      </c>
      <c r="I172" s="1">
        <v>5</v>
      </c>
      <c r="J172" s="10">
        <v>43.1</v>
      </c>
      <c r="K172" s="1">
        <v>43</v>
      </c>
      <c r="L172" s="10">
        <v>49.6</v>
      </c>
      <c r="M172" s="1">
        <v>26</v>
      </c>
      <c r="N172" s="10">
        <v>253.8</v>
      </c>
      <c r="O172" s="1">
        <v>22</v>
      </c>
    </row>
    <row r="173" spans="1:15">
      <c r="A173" s="1">
        <v>2021</v>
      </c>
      <c r="B173" s="9" t="s">
        <v>81</v>
      </c>
      <c r="C173" s="1" t="s">
        <v>167</v>
      </c>
      <c r="D173" s="10">
        <v>52.5</v>
      </c>
      <c r="E173" s="1">
        <v>15</v>
      </c>
      <c r="F173" s="10">
        <v>51.5</v>
      </c>
      <c r="G173" s="1">
        <v>18</v>
      </c>
      <c r="H173" s="10">
        <v>53</v>
      </c>
      <c r="I173" s="1">
        <v>18</v>
      </c>
      <c r="J173" s="10">
        <v>55</v>
      </c>
      <c r="K173" s="1">
        <v>8</v>
      </c>
      <c r="L173" s="10">
        <v>50.2</v>
      </c>
      <c r="M173" s="1">
        <v>23</v>
      </c>
      <c r="N173" s="10">
        <v>262.2</v>
      </c>
      <c r="O173" s="1">
        <v>13</v>
      </c>
    </row>
    <row r="174" spans="1:15">
      <c r="A174" s="1">
        <v>2021</v>
      </c>
      <c r="B174" s="9" t="s">
        <v>83</v>
      </c>
      <c r="C174" s="1" t="s">
        <v>168</v>
      </c>
      <c r="D174" s="10">
        <v>55.7</v>
      </c>
      <c r="E174" s="1">
        <v>11</v>
      </c>
      <c r="F174" s="10">
        <v>46.4</v>
      </c>
      <c r="G174" s="1">
        <v>29</v>
      </c>
      <c r="H174" s="10">
        <v>46.2</v>
      </c>
      <c r="I174" s="1">
        <v>36</v>
      </c>
      <c r="J174" s="10">
        <v>39.799999999999997</v>
      </c>
      <c r="K174" s="1">
        <v>44</v>
      </c>
      <c r="L174" s="10">
        <v>54.5</v>
      </c>
      <c r="M174" s="1">
        <v>9</v>
      </c>
      <c r="N174" s="10">
        <v>242.7</v>
      </c>
      <c r="O174" s="1">
        <v>29</v>
      </c>
    </row>
    <row r="175" spans="1:15">
      <c r="A175" s="1">
        <v>2021</v>
      </c>
      <c r="B175" s="9" t="s">
        <v>85</v>
      </c>
      <c r="C175" s="1" t="s">
        <v>169</v>
      </c>
      <c r="D175" s="10">
        <v>46.7</v>
      </c>
      <c r="E175" s="1">
        <v>33</v>
      </c>
      <c r="F175" s="10">
        <v>64.599999999999994</v>
      </c>
      <c r="G175" s="1">
        <v>4</v>
      </c>
      <c r="H175" s="10">
        <v>36.299999999999997</v>
      </c>
      <c r="I175" s="1">
        <v>43</v>
      </c>
      <c r="J175" s="10">
        <v>43.4</v>
      </c>
      <c r="K175" s="1">
        <v>42</v>
      </c>
      <c r="L175" s="10">
        <v>48.5</v>
      </c>
      <c r="M175" s="1">
        <v>27</v>
      </c>
      <c r="N175" s="10">
        <v>239.4</v>
      </c>
      <c r="O175" s="1">
        <v>32</v>
      </c>
    </row>
    <row r="176" spans="1:15">
      <c r="A176" s="1">
        <v>2021</v>
      </c>
      <c r="B176" s="9" t="s">
        <v>87</v>
      </c>
      <c r="C176" s="1" t="s">
        <v>170</v>
      </c>
      <c r="D176" s="10">
        <v>47.6</v>
      </c>
      <c r="E176" s="1">
        <v>32</v>
      </c>
      <c r="F176" s="10">
        <v>46.6</v>
      </c>
      <c r="G176" s="1">
        <v>28</v>
      </c>
      <c r="H176" s="10">
        <v>48</v>
      </c>
      <c r="I176" s="1">
        <v>31</v>
      </c>
      <c r="J176" s="10">
        <v>48.9</v>
      </c>
      <c r="K176" s="1">
        <v>21</v>
      </c>
      <c r="L176" s="10">
        <v>45.9</v>
      </c>
      <c r="M176" s="1">
        <v>39</v>
      </c>
      <c r="N176" s="10">
        <v>237</v>
      </c>
      <c r="O176" s="1">
        <v>35</v>
      </c>
    </row>
    <row r="177" spans="1:15">
      <c r="A177" s="1">
        <v>2021</v>
      </c>
      <c r="B177" s="9" t="s">
        <v>89</v>
      </c>
      <c r="C177" s="1" t="s">
        <v>171</v>
      </c>
      <c r="D177" s="10">
        <v>43.7</v>
      </c>
      <c r="E177" s="1">
        <v>40</v>
      </c>
      <c r="F177" s="10">
        <v>48.1</v>
      </c>
      <c r="G177" s="1">
        <v>25</v>
      </c>
      <c r="H177" s="10">
        <v>37.9</v>
      </c>
      <c r="I177" s="1">
        <v>41</v>
      </c>
      <c r="J177" s="10">
        <v>47.2</v>
      </c>
      <c r="K177" s="1">
        <v>27</v>
      </c>
      <c r="L177" s="10">
        <v>52.7</v>
      </c>
      <c r="M177" s="1">
        <v>18</v>
      </c>
      <c r="N177" s="10">
        <v>229.5</v>
      </c>
      <c r="O177" s="1">
        <v>40</v>
      </c>
    </row>
    <row r="178" spans="1:15">
      <c r="A178" s="1">
        <v>2021</v>
      </c>
      <c r="B178" s="9" t="s">
        <v>91</v>
      </c>
      <c r="C178" s="1" t="s">
        <v>172</v>
      </c>
      <c r="D178" s="10">
        <v>37.4</v>
      </c>
      <c r="E178" s="1">
        <v>45</v>
      </c>
      <c r="F178" s="10">
        <v>59.6</v>
      </c>
      <c r="G178" s="1">
        <v>7</v>
      </c>
      <c r="H178" s="10">
        <v>63.8</v>
      </c>
      <c r="I178" s="1">
        <v>4</v>
      </c>
      <c r="J178" s="10">
        <v>38.799999999999997</v>
      </c>
      <c r="K178" s="1">
        <v>46</v>
      </c>
      <c r="L178" s="10">
        <v>47.4</v>
      </c>
      <c r="M178" s="1">
        <v>30</v>
      </c>
      <c r="N178" s="10">
        <v>246.9</v>
      </c>
      <c r="O178" s="1">
        <v>24</v>
      </c>
    </row>
    <row r="179" spans="1:15">
      <c r="A179" s="1">
        <v>2021</v>
      </c>
      <c r="B179" s="9" t="s">
        <v>93</v>
      </c>
      <c r="C179" s="1" t="s">
        <v>173</v>
      </c>
      <c r="D179" s="10">
        <v>45.2</v>
      </c>
      <c r="E179" s="1">
        <v>37</v>
      </c>
      <c r="F179" s="10">
        <v>65.400000000000006</v>
      </c>
      <c r="G179" s="1">
        <v>3</v>
      </c>
      <c r="H179" s="10">
        <v>60.1</v>
      </c>
      <c r="I179" s="1">
        <v>6</v>
      </c>
      <c r="J179" s="10">
        <v>48.3</v>
      </c>
      <c r="K179" s="1">
        <v>22</v>
      </c>
      <c r="L179" s="10">
        <v>44.9</v>
      </c>
      <c r="M179" s="1">
        <v>41</v>
      </c>
      <c r="N179" s="10">
        <v>263.89999999999998</v>
      </c>
      <c r="O179" s="1">
        <v>10</v>
      </c>
    </row>
    <row r="180" spans="1:15">
      <c r="A180" s="1">
        <v>2021</v>
      </c>
      <c r="B180" s="9" t="s">
        <v>95</v>
      </c>
      <c r="C180" s="1" t="s">
        <v>174</v>
      </c>
      <c r="D180" s="10">
        <v>48.8</v>
      </c>
      <c r="E180" s="1">
        <v>26</v>
      </c>
      <c r="F180" s="10">
        <v>47</v>
      </c>
      <c r="G180" s="1">
        <v>27</v>
      </c>
      <c r="H180" s="10">
        <v>46.2</v>
      </c>
      <c r="I180" s="1">
        <v>37</v>
      </c>
      <c r="J180" s="10">
        <v>44.2</v>
      </c>
      <c r="K180" s="1">
        <v>38</v>
      </c>
      <c r="L180" s="10">
        <v>50</v>
      </c>
      <c r="M180" s="1">
        <v>24</v>
      </c>
      <c r="N180" s="10">
        <v>236.2</v>
      </c>
      <c r="O180" s="1">
        <v>36</v>
      </c>
    </row>
    <row r="181" spans="1:15">
      <c r="A181" s="1">
        <v>2021</v>
      </c>
      <c r="B181" s="9" t="s">
        <v>97</v>
      </c>
      <c r="C181" s="1" t="s">
        <v>175</v>
      </c>
      <c r="D181" s="10">
        <v>47.7</v>
      </c>
      <c r="E181" s="1">
        <v>31</v>
      </c>
      <c r="F181" s="10">
        <v>43.7</v>
      </c>
      <c r="G181" s="1">
        <v>36</v>
      </c>
      <c r="H181" s="10">
        <v>18.100000000000001</v>
      </c>
      <c r="I181" s="1">
        <v>47</v>
      </c>
      <c r="J181" s="10">
        <v>44.5</v>
      </c>
      <c r="K181" s="1">
        <v>36</v>
      </c>
      <c r="L181" s="10">
        <v>48.4</v>
      </c>
      <c r="M181" s="1">
        <v>28</v>
      </c>
      <c r="N181" s="10">
        <v>202.5</v>
      </c>
      <c r="O181" s="1">
        <v>47</v>
      </c>
    </row>
    <row r="182" spans="1:15">
      <c r="A182" s="1">
        <v>2021</v>
      </c>
      <c r="B182" s="9" t="s">
        <v>99</v>
      </c>
      <c r="C182" s="1" t="s">
        <v>176</v>
      </c>
      <c r="D182" s="10">
        <v>42.2</v>
      </c>
      <c r="E182" s="1">
        <v>42</v>
      </c>
      <c r="F182" s="10">
        <v>38.6</v>
      </c>
      <c r="G182" s="1">
        <v>46</v>
      </c>
      <c r="H182" s="10">
        <v>47.3</v>
      </c>
      <c r="I182" s="1">
        <v>32</v>
      </c>
      <c r="J182" s="10">
        <v>43.9</v>
      </c>
      <c r="K182" s="1">
        <v>39</v>
      </c>
      <c r="L182" s="10">
        <v>54.1</v>
      </c>
      <c r="M182" s="1">
        <v>11</v>
      </c>
      <c r="N182" s="10">
        <v>226.1</v>
      </c>
      <c r="O182" s="1">
        <v>44</v>
      </c>
    </row>
    <row r="183" spans="1:15">
      <c r="A183" s="1">
        <v>2021</v>
      </c>
      <c r="B183" s="9" t="s">
        <v>101</v>
      </c>
      <c r="C183" s="1" t="s">
        <v>177</v>
      </c>
      <c r="D183" s="10">
        <v>54.8</v>
      </c>
      <c r="E183" s="1">
        <v>12</v>
      </c>
      <c r="F183" s="10">
        <v>42.7</v>
      </c>
      <c r="G183" s="1">
        <v>38</v>
      </c>
      <c r="H183" s="10">
        <v>53.9</v>
      </c>
      <c r="I183" s="1">
        <v>16</v>
      </c>
      <c r="J183" s="10">
        <v>60</v>
      </c>
      <c r="K183" s="1">
        <v>5</v>
      </c>
      <c r="L183" s="10">
        <v>53.6</v>
      </c>
      <c r="M183" s="1">
        <v>14</v>
      </c>
      <c r="N183" s="10">
        <v>264.89999999999998</v>
      </c>
      <c r="O183" s="1">
        <v>8</v>
      </c>
    </row>
    <row r="184" spans="1:15">
      <c r="A184" s="1">
        <v>2021</v>
      </c>
      <c r="B184" s="9" t="s">
        <v>103</v>
      </c>
      <c r="C184" s="1" t="s">
        <v>178</v>
      </c>
      <c r="D184" s="10">
        <v>44.6</v>
      </c>
      <c r="E184" s="1">
        <v>39</v>
      </c>
      <c r="F184" s="10">
        <v>60.5</v>
      </c>
      <c r="G184" s="1">
        <v>6</v>
      </c>
      <c r="H184" s="10">
        <v>46.3</v>
      </c>
      <c r="I184" s="1">
        <v>35</v>
      </c>
      <c r="J184" s="10">
        <v>45.9</v>
      </c>
      <c r="K184" s="1">
        <v>31</v>
      </c>
      <c r="L184" s="10">
        <v>54.3</v>
      </c>
      <c r="M184" s="1">
        <v>10</v>
      </c>
      <c r="N184" s="10">
        <v>251.5</v>
      </c>
      <c r="O184" s="1">
        <v>23</v>
      </c>
    </row>
    <row r="185" spans="1:15">
      <c r="A185" s="1">
        <v>2021</v>
      </c>
      <c r="B185" s="9" t="s">
        <v>105</v>
      </c>
      <c r="C185" s="1" t="s">
        <v>179</v>
      </c>
      <c r="D185" s="10">
        <v>56.4</v>
      </c>
      <c r="E185" s="1">
        <v>10</v>
      </c>
      <c r="F185" s="10">
        <v>57.9</v>
      </c>
      <c r="G185" s="1">
        <v>9</v>
      </c>
      <c r="H185" s="10">
        <v>53.3</v>
      </c>
      <c r="I185" s="1">
        <v>17</v>
      </c>
      <c r="J185" s="10">
        <v>53</v>
      </c>
      <c r="K185" s="1">
        <v>14</v>
      </c>
      <c r="L185" s="10">
        <v>57.7</v>
      </c>
      <c r="M185" s="1">
        <v>3</v>
      </c>
      <c r="N185" s="10">
        <v>278.39999999999998</v>
      </c>
      <c r="O185" s="1">
        <v>4</v>
      </c>
    </row>
    <row r="186" spans="1:15">
      <c r="A186" s="1">
        <v>2021</v>
      </c>
      <c r="B186" s="9" t="s">
        <v>107</v>
      </c>
      <c r="C186" s="1" t="s">
        <v>180</v>
      </c>
      <c r="D186" s="10">
        <v>58.5</v>
      </c>
      <c r="E186" s="1">
        <v>6</v>
      </c>
      <c r="F186" s="10">
        <v>58.3</v>
      </c>
      <c r="G186" s="1">
        <v>8</v>
      </c>
      <c r="H186" s="10">
        <v>54.5</v>
      </c>
      <c r="I186" s="1">
        <v>13</v>
      </c>
      <c r="J186" s="10">
        <v>38.1</v>
      </c>
      <c r="K186" s="1">
        <v>47</v>
      </c>
      <c r="L186" s="10">
        <v>53.3</v>
      </c>
      <c r="M186" s="1">
        <v>15</v>
      </c>
      <c r="N186" s="10">
        <v>262.7</v>
      </c>
      <c r="O186" s="1">
        <v>12</v>
      </c>
    </row>
    <row r="187" spans="1:15">
      <c r="A187" s="1">
        <v>2021</v>
      </c>
      <c r="B187" s="9" t="s">
        <v>109</v>
      </c>
      <c r="C187" s="1" t="s">
        <v>181</v>
      </c>
      <c r="D187" s="10">
        <v>49.5</v>
      </c>
      <c r="E187" s="1">
        <v>25</v>
      </c>
      <c r="F187" s="10">
        <v>42.2</v>
      </c>
      <c r="G187" s="1">
        <v>39</v>
      </c>
      <c r="H187" s="10">
        <v>51.6</v>
      </c>
      <c r="I187" s="1">
        <v>23</v>
      </c>
      <c r="J187" s="10">
        <v>53.6</v>
      </c>
      <c r="K187" s="1">
        <v>11</v>
      </c>
      <c r="L187" s="10">
        <v>57.1</v>
      </c>
      <c r="M187" s="1">
        <v>4</v>
      </c>
      <c r="N187" s="10">
        <v>254.1</v>
      </c>
      <c r="O187" s="1">
        <v>21</v>
      </c>
    </row>
    <row r="188" spans="1:15">
      <c r="A188" s="1">
        <v>2021</v>
      </c>
      <c r="B188" s="9" t="s">
        <v>111</v>
      </c>
      <c r="C188" s="1" t="s">
        <v>182</v>
      </c>
      <c r="D188" s="10">
        <v>33.9</v>
      </c>
      <c r="E188" s="1">
        <v>47</v>
      </c>
      <c r="F188" s="10">
        <v>45.8</v>
      </c>
      <c r="G188" s="1">
        <v>30</v>
      </c>
      <c r="H188" s="10">
        <v>48.6</v>
      </c>
      <c r="I188" s="1">
        <v>28</v>
      </c>
      <c r="J188" s="10">
        <v>92.8</v>
      </c>
      <c r="K188" s="1">
        <v>1</v>
      </c>
      <c r="L188" s="10">
        <v>62.4</v>
      </c>
      <c r="M188" s="1">
        <v>2</v>
      </c>
      <c r="N188" s="10">
        <v>283.60000000000002</v>
      </c>
      <c r="O188" s="1">
        <v>3</v>
      </c>
    </row>
    <row r="189" spans="1:15">
      <c r="A189" s="1">
        <v>2021</v>
      </c>
      <c r="B189" s="9" t="s">
        <v>113</v>
      </c>
      <c r="C189" s="1" t="s">
        <v>183</v>
      </c>
      <c r="D189" s="10">
        <v>47.8</v>
      </c>
      <c r="E189" s="1">
        <v>29</v>
      </c>
      <c r="F189" s="10">
        <v>55.2</v>
      </c>
      <c r="G189" s="1">
        <v>12</v>
      </c>
      <c r="H189" s="10">
        <v>47</v>
      </c>
      <c r="I189" s="1">
        <v>34</v>
      </c>
      <c r="J189" s="10">
        <v>44.6</v>
      </c>
      <c r="K189" s="1">
        <v>35</v>
      </c>
      <c r="L189" s="10">
        <v>63.9</v>
      </c>
      <c r="M189" s="1">
        <v>1</v>
      </c>
      <c r="N189" s="10">
        <v>258.5</v>
      </c>
      <c r="O189" s="1">
        <v>18</v>
      </c>
    </row>
    <row r="190" spans="1:15">
      <c r="A190" s="1">
        <v>2022</v>
      </c>
      <c r="B190" s="9" t="s">
        <v>21</v>
      </c>
      <c r="C190" s="1" t="s">
        <v>22</v>
      </c>
      <c r="D190" s="10">
        <v>56</v>
      </c>
      <c r="E190" s="1">
        <v>44</v>
      </c>
      <c r="F190" s="10">
        <v>59.6</v>
      </c>
      <c r="G190" s="1">
        <v>41</v>
      </c>
      <c r="H190" s="10">
        <v>59.8</v>
      </c>
      <c r="I190" s="1">
        <v>44</v>
      </c>
      <c r="J190" s="10">
        <v>43.9</v>
      </c>
      <c r="K190" s="1">
        <v>40</v>
      </c>
      <c r="L190" s="10">
        <v>44.9</v>
      </c>
      <c r="M190" s="1">
        <v>36</v>
      </c>
      <c r="N190" s="10">
        <v>264.3</v>
      </c>
      <c r="O190" s="1">
        <v>46</v>
      </c>
    </row>
    <row r="191" spans="1:15">
      <c r="A191" s="1">
        <v>2022</v>
      </c>
      <c r="B191" s="9" t="s">
        <v>23</v>
      </c>
      <c r="C191" s="1" t="s">
        <v>138</v>
      </c>
      <c r="D191" s="10">
        <v>75.2</v>
      </c>
      <c r="E191" s="1">
        <v>12</v>
      </c>
      <c r="F191" s="10">
        <v>80</v>
      </c>
      <c r="G191" s="1">
        <v>6</v>
      </c>
      <c r="H191" s="10">
        <v>52.8</v>
      </c>
      <c r="I191" s="1">
        <v>46</v>
      </c>
      <c r="J191" s="10">
        <v>48.5</v>
      </c>
      <c r="K191" s="1">
        <v>25</v>
      </c>
      <c r="L191" s="10">
        <v>50.2</v>
      </c>
      <c r="M191" s="1">
        <v>28</v>
      </c>
      <c r="N191" s="10">
        <v>306.7</v>
      </c>
      <c r="O191" s="1">
        <v>34</v>
      </c>
    </row>
    <row r="192" spans="1:15">
      <c r="A192" s="1">
        <v>2022</v>
      </c>
      <c r="B192" s="9" t="s">
        <v>25</v>
      </c>
      <c r="C192" s="1" t="s">
        <v>139</v>
      </c>
      <c r="D192" s="10">
        <v>67.599999999999994</v>
      </c>
      <c r="E192" s="1">
        <v>27</v>
      </c>
      <c r="F192" s="10">
        <v>82.7</v>
      </c>
      <c r="G192" s="1">
        <v>4</v>
      </c>
      <c r="H192" s="10">
        <v>71.900000000000006</v>
      </c>
      <c r="I192" s="1">
        <v>33</v>
      </c>
      <c r="J192" s="10">
        <v>56.1</v>
      </c>
      <c r="K192" s="1">
        <v>12</v>
      </c>
      <c r="L192" s="10">
        <v>47.5</v>
      </c>
      <c r="M192" s="1">
        <v>33</v>
      </c>
      <c r="N192" s="10">
        <v>325.89999999999998</v>
      </c>
      <c r="O192" s="1">
        <v>18</v>
      </c>
    </row>
    <row r="193" spans="1:15">
      <c r="A193" s="1">
        <v>2022</v>
      </c>
      <c r="B193" s="9" t="s">
        <v>27</v>
      </c>
      <c r="C193" s="1" t="s">
        <v>140</v>
      </c>
      <c r="D193" s="10">
        <v>80.900000000000006</v>
      </c>
      <c r="E193" s="1">
        <v>9</v>
      </c>
      <c r="F193" s="10">
        <v>67.7</v>
      </c>
      <c r="G193" s="1">
        <v>26</v>
      </c>
      <c r="H193" s="10">
        <v>66.099999999999994</v>
      </c>
      <c r="I193" s="1">
        <v>42</v>
      </c>
      <c r="J193" s="10">
        <v>39.9</v>
      </c>
      <c r="K193" s="1">
        <v>44</v>
      </c>
      <c r="L193" s="10">
        <v>58.1</v>
      </c>
      <c r="M193" s="1">
        <v>5</v>
      </c>
      <c r="N193" s="10">
        <v>312.8</v>
      </c>
      <c r="O193" s="1">
        <v>28</v>
      </c>
    </row>
    <row r="194" spans="1:15">
      <c r="A194" s="1">
        <v>2022</v>
      </c>
      <c r="B194" s="9" t="s">
        <v>29</v>
      </c>
      <c r="C194" s="1" t="s">
        <v>141</v>
      </c>
      <c r="D194" s="10">
        <v>69.5</v>
      </c>
      <c r="E194" s="1">
        <v>23</v>
      </c>
      <c r="F194" s="10">
        <v>70.099999999999994</v>
      </c>
      <c r="G194" s="1">
        <v>22</v>
      </c>
      <c r="H194" s="10">
        <v>83.2</v>
      </c>
      <c r="I194" s="1">
        <v>21</v>
      </c>
      <c r="J194" s="10">
        <v>59.4</v>
      </c>
      <c r="K194" s="1">
        <v>7</v>
      </c>
      <c r="L194" s="10">
        <v>54.6</v>
      </c>
      <c r="M194" s="1">
        <v>11</v>
      </c>
      <c r="N194" s="10">
        <v>336.9</v>
      </c>
      <c r="O194" s="1">
        <v>13</v>
      </c>
    </row>
    <row r="195" spans="1:15">
      <c r="A195" s="1">
        <v>2022</v>
      </c>
      <c r="B195" s="9" t="s">
        <v>31</v>
      </c>
      <c r="C195" s="1" t="s">
        <v>142</v>
      </c>
      <c r="D195" s="10">
        <v>91.5</v>
      </c>
      <c r="E195" s="1">
        <v>2</v>
      </c>
      <c r="F195" s="10">
        <v>69.900000000000006</v>
      </c>
      <c r="G195" s="1">
        <v>23</v>
      </c>
      <c r="H195" s="10">
        <v>84.3</v>
      </c>
      <c r="I195" s="1">
        <v>19</v>
      </c>
      <c r="J195" s="10">
        <v>65</v>
      </c>
      <c r="K195" s="1">
        <v>1</v>
      </c>
      <c r="L195" s="10">
        <v>69.099999999999994</v>
      </c>
      <c r="M195" s="1">
        <v>1</v>
      </c>
      <c r="N195" s="10">
        <v>379.7</v>
      </c>
      <c r="O195" s="1">
        <v>2</v>
      </c>
    </row>
    <row r="196" spans="1:15">
      <c r="A196" s="1">
        <v>2022</v>
      </c>
      <c r="B196" s="9" t="s">
        <v>33</v>
      </c>
      <c r="C196" s="1" t="s">
        <v>143</v>
      </c>
      <c r="D196" s="10">
        <v>61.5</v>
      </c>
      <c r="E196" s="1">
        <v>37</v>
      </c>
      <c r="F196" s="10">
        <v>76.2</v>
      </c>
      <c r="G196" s="1">
        <v>14</v>
      </c>
      <c r="H196" s="10">
        <v>79</v>
      </c>
      <c r="I196" s="1">
        <v>27</v>
      </c>
      <c r="J196" s="10">
        <v>48.5</v>
      </c>
      <c r="K196" s="1">
        <v>24</v>
      </c>
      <c r="L196" s="10">
        <v>53</v>
      </c>
      <c r="M196" s="1">
        <v>17</v>
      </c>
      <c r="N196" s="10">
        <v>318.2</v>
      </c>
      <c r="O196" s="1">
        <v>25</v>
      </c>
    </row>
    <row r="197" spans="1:15">
      <c r="A197" s="1">
        <v>2022</v>
      </c>
      <c r="B197" s="9" t="s">
        <v>35</v>
      </c>
      <c r="C197" s="1" t="s">
        <v>144</v>
      </c>
      <c r="D197" s="10">
        <v>53.3</v>
      </c>
      <c r="E197" s="1">
        <v>46</v>
      </c>
      <c r="F197" s="10">
        <v>63.2</v>
      </c>
      <c r="G197" s="1">
        <v>33</v>
      </c>
      <c r="H197" s="10">
        <v>68.599999999999994</v>
      </c>
      <c r="I197" s="1">
        <v>37</v>
      </c>
      <c r="J197" s="10">
        <v>52.9</v>
      </c>
      <c r="K197" s="1">
        <v>16</v>
      </c>
      <c r="L197" s="10">
        <v>53.3</v>
      </c>
      <c r="M197" s="1">
        <v>14</v>
      </c>
      <c r="N197" s="10">
        <v>291.39999999999998</v>
      </c>
      <c r="O197" s="1">
        <v>42</v>
      </c>
    </row>
    <row r="198" spans="1:15">
      <c r="A198" s="1">
        <v>2022</v>
      </c>
      <c r="B198" s="9" t="s">
        <v>37</v>
      </c>
      <c r="C198" s="1" t="s">
        <v>145</v>
      </c>
      <c r="D198" s="10">
        <v>74.400000000000006</v>
      </c>
      <c r="E198" s="1">
        <v>13</v>
      </c>
      <c r="F198" s="10">
        <v>78.5</v>
      </c>
      <c r="G198" s="1">
        <v>11</v>
      </c>
      <c r="H198" s="10">
        <v>84.4</v>
      </c>
      <c r="I198" s="1">
        <v>18</v>
      </c>
      <c r="J198" s="10">
        <v>60.2</v>
      </c>
      <c r="K198" s="1">
        <v>4</v>
      </c>
      <c r="L198" s="10">
        <v>51.9</v>
      </c>
      <c r="M198" s="1">
        <v>23</v>
      </c>
      <c r="N198" s="10">
        <v>349.5</v>
      </c>
      <c r="O198" s="1">
        <v>5</v>
      </c>
    </row>
    <row r="199" spans="1:15">
      <c r="A199" s="1">
        <v>2022</v>
      </c>
      <c r="B199" s="9" t="s">
        <v>39</v>
      </c>
      <c r="C199" s="1" t="s">
        <v>146</v>
      </c>
      <c r="D199" s="10">
        <v>60.4</v>
      </c>
      <c r="E199" s="1">
        <v>39</v>
      </c>
      <c r="F199" s="10">
        <v>63.3</v>
      </c>
      <c r="G199" s="1">
        <v>32</v>
      </c>
      <c r="H199" s="10">
        <v>63.6</v>
      </c>
      <c r="I199" s="1">
        <v>43</v>
      </c>
      <c r="J199" s="10">
        <v>51.8</v>
      </c>
      <c r="K199" s="1">
        <v>17</v>
      </c>
      <c r="L199" s="10">
        <v>49.7</v>
      </c>
      <c r="M199" s="1">
        <v>29</v>
      </c>
      <c r="N199" s="10">
        <v>288.7</v>
      </c>
      <c r="O199" s="1">
        <v>43</v>
      </c>
    </row>
    <row r="200" spans="1:15">
      <c r="A200" s="1">
        <v>2022</v>
      </c>
      <c r="B200" s="9" t="s">
        <v>41</v>
      </c>
      <c r="C200" s="1" t="s">
        <v>147</v>
      </c>
      <c r="D200" s="10">
        <v>58.3</v>
      </c>
      <c r="E200" s="1">
        <v>42</v>
      </c>
      <c r="F200" s="10">
        <v>51.6</v>
      </c>
      <c r="G200" s="1">
        <v>47</v>
      </c>
      <c r="H200" s="10">
        <v>74.8</v>
      </c>
      <c r="I200" s="1">
        <v>31</v>
      </c>
      <c r="J200" s="10">
        <v>46.8</v>
      </c>
      <c r="K200" s="1">
        <v>30</v>
      </c>
      <c r="L200" s="10">
        <v>54.6</v>
      </c>
      <c r="M200" s="1">
        <v>12</v>
      </c>
      <c r="N200" s="10">
        <v>286</v>
      </c>
      <c r="O200" s="1">
        <v>45</v>
      </c>
    </row>
    <row r="201" spans="1:15">
      <c r="A201" s="1">
        <v>2022</v>
      </c>
      <c r="B201" s="9" t="s">
        <v>43</v>
      </c>
      <c r="C201" s="1" t="s">
        <v>148</v>
      </c>
      <c r="D201" s="10">
        <v>56.7</v>
      </c>
      <c r="E201" s="1">
        <v>43</v>
      </c>
      <c r="F201" s="10">
        <v>62.2</v>
      </c>
      <c r="G201" s="1">
        <v>35</v>
      </c>
      <c r="H201" s="10">
        <v>82.3</v>
      </c>
      <c r="I201" s="1">
        <v>22</v>
      </c>
      <c r="J201" s="10">
        <v>45.7</v>
      </c>
      <c r="K201" s="1">
        <v>33</v>
      </c>
      <c r="L201" s="10">
        <v>51.5</v>
      </c>
      <c r="M201" s="1">
        <v>24</v>
      </c>
      <c r="N201" s="10">
        <v>298.5</v>
      </c>
      <c r="O201" s="1">
        <v>38</v>
      </c>
    </row>
    <row r="202" spans="1:15">
      <c r="A202" s="1">
        <v>2022</v>
      </c>
      <c r="B202" s="9" t="s">
        <v>45</v>
      </c>
      <c r="C202" s="1" t="s">
        <v>149</v>
      </c>
      <c r="D202" s="10">
        <v>65.099999999999994</v>
      </c>
      <c r="E202" s="1">
        <v>31</v>
      </c>
      <c r="F202" s="10">
        <v>60.5</v>
      </c>
      <c r="G202" s="1">
        <v>40</v>
      </c>
      <c r="H202" s="10">
        <v>95.9</v>
      </c>
      <c r="I202" s="1">
        <v>7</v>
      </c>
      <c r="J202" s="10">
        <v>49.8</v>
      </c>
      <c r="K202" s="1">
        <v>20</v>
      </c>
      <c r="L202" s="10">
        <v>52.1</v>
      </c>
      <c r="M202" s="1">
        <v>22</v>
      </c>
      <c r="N202" s="10">
        <v>323.39999999999998</v>
      </c>
      <c r="O202" s="1">
        <v>21</v>
      </c>
    </row>
    <row r="203" spans="1:15">
      <c r="A203" s="1">
        <v>2022</v>
      </c>
      <c r="B203" s="9" t="s">
        <v>47</v>
      </c>
      <c r="C203" s="1" t="s">
        <v>150</v>
      </c>
      <c r="D203" s="10">
        <v>56</v>
      </c>
      <c r="E203" s="1">
        <v>45</v>
      </c>
      <c r="F203" s="10">
        <v>57.7</v>
      </c>
      <c r="G203" s="1">
        <v>44</v>
      </c>
      <c r="H203" s="10">
        <v>78.5</v>
      </c>
      <c r="I203" s="1">
        <v>28</v>
      </c>
      <c r="J203" s="10">
        <v>46.6</v>
      </c>
      <c r="K203" s="1">
        <v>31</v>
      </c>
      <c r="L203" s="10">
        <v>53.1</v>
      </c>
      <c r="M203" s="1">
        <v>15</v>
      </c>
      <c r="N203" s="10">
        <v>291.89999999999998</v>
      </c>
      <c r="O203" s="1">
        <v>41</v>
      </c>
    </row>
    <row r="204" spans="1:15">
      <c r="A204" s="1">
        <v>2022</v>
      </c>
      <c r="B204" s="9" t="s">
        <v>49</v>
      </c>
      <c r="C204" s="1" t="s">
        <v>151</v>
      </c>
      <c r="D204" s="10">
        <v>82.4</v>
      </c>
      <c r="E204" s="1">
        <v>8</v>
      </c>
      <c r="F204" s="10">
        <v>70.900000000000006</v>
      </c>
      <c r="G204" s="1">
        <v>21</v>
      </c>
      <c r="H204" s="10">
        <v>71.400000000000006</v>
      </c>
      <c r="I204" s="1">
        <v>34</v>
      </c>
      <c r="J204" s="10">
        <v>61.4</v>
      </c>
      <c r="K204" s="1">
        <v>3</v>
      </c>
      <c r="L204" s="10">
        <v>55</v>
      </c>
      <c r="M204" s="1">
        <v>8</v>
      </c>
      <c r="N204" s="10">
        <v>341.2</v>
      </c>
      <c r="O204" s="1">
        <v>10</v>
      </c>
    </row>
    <row r="205" spans="1:15">
      <c r="A205" s="1">
        <v>2022</v>
      </c>
      <c r="B205" s="9" t="s">
        <v>51</v>
      </c>
      <c r="C205" s="1" t="s">
        <v>152</v>
      </c>
      <c r="D205" s="10">
        <v>87.1</v>
      </c>
      <c r="E205" s="1">
        <v>4</v>
      </c>
      <c r="F205" s="10">
        <v>78.900000000000006</v>
      </c>
      <c r="G205" s="1">
        <v>9</v>
      </c>
      <c r="H205" s="10">
        <v>70.900000000000006</v>
      </c>
      <c r="I205" s="1">
        <v>35</v>
      </c>
      <c r="J205" s="10">
        <v>53.7</v>
      </c>
      <c r="K205" s="1">
        <v>15</v>
      </c>
      <c r="L205" s="10">
        <v>47.6</v>
      </c>
      <c r="M205" s="1">
        <v>32</v>
      </c>
      <c r="N205" s="10">
        <v>338.2</v>
      </c>
      <c r="O205" s="1">
        <v>12</v>
      </c>
    </row>
    <row r="206" spans="1:15">
      <c r="A206" s="1">
        <v>2022</v>
      </c>
      <c r="B206" s="9" t="s">
        <v>53</v>
      </c>
      <c r="C206" s="1" t="s">
        <v>153</v>
      </c>
      <c r="D206" s="10">
        <v>72.7</v>
      </c>
      <c r="E206" s="1">
        <v>18</v>
      </c>
      <c r="F206" s="10">
        <v>74.7</v>
      </c>
      <c r="G206" s="1">
        <v>16</v>
      </c>
      <c r="H206" s="10">
        <v>77.099999999999994</v>
      </c>
      <c r="I206" s="1">
        <v>30</v>
      </c>
      <c r="J206" s="10">
        <v>48.6</v>
      </c>
      <c r="K206" s="1">
        <v>23</v>
      </c>
      <c r="L206" s="10">
        <v>47.9</v>
      </c>
      <c r="M206" s="1">
        <v>31</v>
      </c>
      <c r="N206" s="10">
        <v>321.10000000000002</v>
      </c>
      <c r="O206" s="1">
        <v>23</v>
      </c>
    </row>
    <row r="207" spans="1:15">
      <c r="A207" s="1">
        <v>2022</v>
      </c>
      <c r="B207" s="9" t="s">
        <v>55</v>
      </c>
      <c r="C207" s="1" t="s">
        <v>154</v>
      </c>
      <c r="D207" s="10">
        <v>71.2</v>
      </c>
      <c r="E207" s="1">
        <v>21</v>
      </c>
      <c r="F207" s="10">
        <v>73.3</v>
      </c>
      <c r="G207" s="1">
        <v>19</v>
      </c>
      <c r="H207" s="10">
        <v>81.599999999999994</v>
      </c>
      <c r="I207" s="1">
        <v>24</v>
      </c>
      <c r="J207" s="10">
        <v>45</v>
      </c>
      <c r="K207" s="1">
        <v>37</v>
      </c>
      <c r="L207" s="10">
        <v>35.799999999999997</v>
      </c>
      <c r="M207" s="1">
        <v>45</v>
      </c>
      <c r="N207" s="10">
        <v>306.89999999999998</v>
      </c>
      <c r="O207" s="1">
        <v>33</v>
      </c>
    </row>
    <row r="208" spans="1:15">
      <c r="A208" s="1">
        <v>2022</v>
      </c>
      <c r="B208" s="9" t="s">
        <v>57</v>
      </c>
      <c r="C208" s="1" t="s">
        <v>155</v>
      </c>
      <c r="D208" s="10">
        <v>80</v>
      </c>
      <c r="E208" s="1">
        <v>10</v>
      </c>
      <c r="F208" s="10">
        <v>59.4</v>
      </c>
      <c r="G208" s="1">
        <v>42</v>
      </c>
      <c r="H208" s="10">
        <v>68.400000000000006</v>
      </c>
      <c r="I208" s="1">
        <v>39</v>
      </c>
      <c r="J208" s="10">
        <v>33.4</v>
      </c>
      <c r="K208" s="1">
        <v>47</v>
      </c>
      <c r="L208" s="10">
        <v>46.6</v>
      </c>
      <c r="M208" s="1">
        <v>35</v>
      </c>
      <c r="N208" s="10">
        <v>287.8</v>
      </c>
      <c r="O208" s="1">
        <v>44</v>
      </c>
    </row>
    <row r="209" spans="1:15">
      <c r="A209" s="1">
        <v>2022</v>
      </c>
      <c r="B209" s="9" t="s">
        <v>59</v>
      </c>
      <c r="C209" s="1" t="s">
        <v>156</v>
      </c>
      <c r="D209" s="10">
        <v>76</v>
      </c>
      <c r="E209" s="1">
        <v>11</v>
      </c>
      <c r="F209" s="10">
        <v>77</v>
      </c>
      <c r="G209" s="1">
        <v>12</v>
      </c>
      <c r="H209" s="10">
        <v>88.3</v>
      </c>
      <c r="I209" s="1">
        <v>14</v>
      </c>
      <c r="J209" s="10">
        <v>49.8</v>
      </c>
      <c r="K209" s="1">
        <v>21</v>
      </c>
      <c r="L209" s="10">
        <v>52.5</v>
      </c>
      <c r="M209" s="1">
        <v>21</v>
      </c>
      <c r="N209" s="10">
        <v>343.6</v>
      </c>
      <c r="O209" s="1">
        <v>8</v>
      </c>
    </row>
    <row r="210" spans="1:15">
      <c r="A210" s="1">
        <v>2022</v>
      </c>
      <c r="B210" s="9" t="s">
        <v>61</v>
      </c>
      <c r="C210" s="1" t="s">
        <v>157</v>
      </c>
      <c r="D210" s="10">
        <v>72.8</v>
      </c>
      <c r="E210" s="1">
        <v>17</v>
      </c>
      <c r="F210" s="10">
        <v>73.8</v>
      </c>
      <c r="G210" s="1">
        <v>18</v>
      </c>
      <c r="H210" s="10">
        <v>92.5</v>
      </c>
      <c r="I210" s="1">
        <v>9</v>
      </c>
      <c r="J210" s="10">
        <v>45.9</v>
      </c>
      <c r="K210" s="1">
        <v>32</v>
      </c>
      <c r="L210" s="10">
        <v>55</v>
      </c>
      <c r="M210" s="1">
        <v>9</v>
      </c>
      <c r="N210" s="10">
        <v>340.1</v>
      </c>
      <c r="O210" s="1">
        <v>11</v>
      </c>
    </row>
    <row r="211" spans="1:15">
      <c r="A211" s="1">
        <v>2022</v>
      </c>
      <c r="B211" s="9" t="s">
        <v>63</v>
      </c>
      <c r="C211" s="1" t="s">
        <v>158</v>
      </c>
      <c r="D211" s="10">
        <v>73.3</v>
      </c>
      <c r="E211" s="1">
        <v>15</v>
      </c>
      <c r="F211" s="10">
        <v>65.8</v>
      </c>
      <c r="G211" s="1">
        <v>28</v>
      </c>
      <c r="H211" s="10">
        <v>88.7</v>
      </c>
      <c r="I211" s="1">
        <v>12</v>
      </c>
      <c r="J211" s="10">
        <v>43.7</v>
      </c>
      <c r="K211" s="1">
        <v>41</v>
      </c>
      <c r="L211" s="10">
        <v>50.9</v>
      </c>
      <c r="M211" s="1">
        <v>26</v>
      </c>
      <c r="N211" s="10">
        <v>322.5</v>
      </c>
      <c r="O211" s="1">
        <v>22</v>
      </c>
    </row>
    <row r="212" spans="1:15">
      <c r="A212" s="1">
        <v>2022</v>
      </c>
      <c r="B212" s="9" t="s">
        <v>65</v>
      </c>
      <c r="C212" s="1" t="s">
        <v>159</v>
      </c>
      <c r="D212" s="10">
        <v>69.3</v>
      </c>
      <c r="E212" s="1">
        <v>24</v>
      </c>
      <c r="F212" s="10">
        <v>65</v>
      </c>
      <c r="G212" s="1">
        <v>29</v>
      </c>
      <c r="H212" s="10">
        <v>69.900000000000006</v>
      </c>
      <c r="I212" s="1">
        <v>36</v>
      </c>
      <c r="J212" s="10">
        <v>54.2</v>
      </c>
      <c r="K212" s="1">
        <v>14</v>
      </c>
      <c r="L212" s="10">
        <v>52.8</v>
      </c>
      <c r="M212" s="1">
        <v>20</v>
      </c>
      <c r="N212" s="10">
        <v>311.3</v>
      </c>
      <c r="O212" s="1">
        <v>29</v>
      </c>
    </row>
    <row r="213" spans="1:15">
      <c r="A213" s="1">
        <v>2022</v>
      </c>
      <c r="B213" s="9" t="s">
        <v>67</v>
      </c>
      <c r="C213" s="1" t="s">
        <v>160</v>
      </c>
      <c r="D213" s="10">
        <v>83.6</v>
      </c>
      <c r="E213" s="1">
        <v>6</v>
      </c>
      <c r="F213" s="10">
        <v>55.9</v>
      </c>
      <c r="G213" s="1">
        <v>46</v>
      </c>
      <c r="H213" s="10">
        <v>78.099999999999994</v>
      </c>
      <c r="I213" s="1">
        <v>29</v>
      </c>
      <c r="J213" s="10">
        <v>47.1</v>
      </c>
      <c r="K213" s="1">
        <v>28</v>
      </c>
      <c r="L213" s="10">
        <v>51</v>
      </c>
      <c r="M213" s="1">
        <v>25</v>
      </c>
      <c r="N213" s="10">
        <v>315.8</v>
      </c>
      <c r="O213" s="1">
        <v>27</v>
      </c>
    </row>
    <row r="214" spans="1:15">
      <c r="A214" s="1">
        <v>2022</v>
      </c>
      <c r="B214" s="9" t="s">
        <v>69</v>
      </c>
      <c r="C214" s="1" t="s">
        <v>161</v>
      </c>
      <c r="D214" s="10">
        <v>61.2</v>
      </c>
      <c r="E214" s="1">
        <v>38</v>
      </c>
      <c r="F214" s="10">
        <v>67.900000000000006</v>
      </c>
      <c r="G214" s="1">
        <v>25</v>
      </c>
      <c r="H214" s="10">
        <v>86.1</v>
      </c>
      <c r="I214" s="1">
        <v>17</v>
      </c>
      <c r="J214" s="10">
        <v>50.2</v>
      </c>
      <c r="K214" s="1">
        <v>19</v>
      </c>
      <c r="L214" s="10">
        <v>55.7</v>
      </c>
      <c r="M214" s="1">
        <v>6</v>
      </c>
      <c r="N214" s="10">
        <v>321.10000000000002</v>
      </c>
      <c r="O214" s="1">
        <v>24</v>
      </c>
    </row>
    <row r="215" spans="1:15">
      <c r="A215" s="1">
        <v>2022</v>
      </c>
      <c r="B215" s="9" t="s">
        <v>71</v>
      </c>
      <c r="C215" s="1" t="s">
        <v>162</v>
      </c>
      <c r="D215" s="10">
        <v>73.900000000000006</v>
      </c>
      <c r="E215" s="1">
        <v>14</v>
      </c>
      <c r="F215" s="10">
        <v>64.3</v>
      </c>
      <c r="G215" s="1">
        <v>30</v>
      </c>
      <c r="H215" s="10">
        <v>101.6</v>
      </c>
      <c r="I215" s="1">
        <v>3</v>
      </c>
      <c r="J215" s="10">
        <v>39.4</v>
      </c>
      <c r="K215" s="1">
        <v>45</v>
      </c>
      <c r="L215" s="10">
        <v>44.9</v>
      </c>
      <c r="M215" s="1">
        <v>37</v>
      </c>
      <c r="N215" s="10">
        <v>324.10000000000002</v>
      </c>
      <c r="O215" s="1">
        <v>20</v>
      </c>
    </row>
    <row r="216" spans="1:15">
      <c r="A216" s="1">
        <v>2022</v>
      </c>
      <c r="B216" s="9" t="s">
        <v>73</v>
      </c>
      <c r="C216" s="1" t="s">
        <v>163</v>
      </c>
      <c r="D216" s="10">
        <v>64.400000000000006</v>
      </c>
      <c r="E216" s="1">
        <v>33</v>
      </c>
      <c r="F216" s="10">
        <v>61.3</v>
      </c>
      <c r="G216" s="1">
        <v>37</v>
      </c>
      <c r="H216" s="10">
        <v>93.9</v>
      </c>
      <c r="I216" s="1">
        <v>8</v>
      </c>
      <c r="J216" s="10">
        <v>47.5</v>
      </c>
      <c r="K216" s="1">
        <v>27</v>
      </c>
      <c r="L216" s="10">
        <v>44</v>
      </c>
      <c r="M216" s="1">
        <v>41</v>
      </c>
      <c r="N216" s="10">
        <v>311</v>
      </c>
      <c r="O216" s="1">
        <v>30</v>
      </c>
    </row>
    <row r="217" spans="1:15">
      <c r="A217" s="1">
        <v>2022</v>
      </c>
      <c r="B217" s="9" t="s">
        <v>75</v>
      </c>
      <c r="C217" s="1" t="s">
        <v>164</v>
      </c>
      <c r="D217" s="10">
        <v>68.8</v>
      </c>
      <c r="E217" s="1">
        <v>26</v>
      </c>
      <c r="F217" s="10">
        <v>61.1</v>
      </c>
      <c r="G217" s="1">
        <v>38</v>
      </c>
      <c r="H217" s="10">
        <v>86.5</v>
      </c>
      <c r="I217" s="1">
        <v>16</v>
      </c>
      <c r="J217" s="10">
        <v>43.3</v>
      </c>
      <c r="K217" s="1">
        <v>42</v>
      </c>
      <c r="L217" s="10">
        <v>44.8</v>
      </c>
      <c r="M217" s="1">
        <v>38</v>
      </c>
      <c r="N217" s="10">
        <v>304.5</v>
      </c>
      <c r="O217" s="1">
        <v>36</v>
      </c>
    </row>
    <row r="218" spans="1:15">
      <c r="A218" s="1">
        <v>2022</v>
      </c>
      <c r="B218" s="9" t="s">
        <v>77</v>
      </c>
      <c r="C218" s="1" t="s">
        <v>165</v>
      </c>
      <c r="D218" s="10">
        <v>66.3</v>
      </c>
      <c r="E218" s="1">
        <v>29</v>
      </c>
      <c r="F218" s="10">
        <v>75.2</v>
      </c>
      <c r="G218" s="1">
        <v>15</v>
      </c>
      <c r="H218" s="10">
        <v>118.7</v>
      </c>
      <c r="I218" s="1">
        <v>1</v>
      </c>
      <c r="J218" s="10">
        <v>43.3</v>
      </c>
      <c r="K218" s="1">
        <v>43</v>
      </c>
      <c r="L218" s="10">
        <v>38.4</v>
      </c>
      <c r="M218" s="1">
        <v>44</v>
      </c>
      <c r="N218" s="10">
        <v>341.9</v>
      </c>
      <c r="O218" s="1">
        <v>9</v>
      </c>
    </row>
    <row r="219" spans="1:15">
      <c r="A219" s="1">
        <v>2022</v>
      </c>
      <c r="B219" s="9" t="s">
        <v>79</v>
      </c>
      <c r="C219" s="1" t="s">
        <v>166</v>
      </c>
      <c r="D219" s="10">
        <v>67</v>
      </c>
      <c r="E219" s="1">
        <v>28</v>
      </c>
      <c r="F219" s="10">
        <v>56.6</v>
      </c>
      <c r="G219" s="1">
        <v>45</v>
      </c>
      <c r="H219" s="10">
        <v>88.9</v>
      </c>
      <c r="I219" s="1">
        <v>10</v>
      </c>
      <c r="J219" s="10">
        <v>45.6</v>
      </c>
      <c r="K219" s="1">
        <v>34</v>
      </c>
      <c r="L219" s="10">
        <v>43.6</v>
      </c>
      <c r="M219" s="1">
        <v>42</v>
      </c>
      <c r="N219" s="10">
        <v>301.8</v>
      </c>
      <c r="O219" s="1">
        <v>37</v>
      </c>
    </row>
    <row r="220" spans="1:15">
      <c r="A220" s="1">
        <v>2022</v>
      </c>
      <c r="B220" s="9" t="s">
        <v>81</v>
      </c>
      <c r="C220" s="1" t="s">
        <v>167</v>
      </c>
      <c r="D220" s="10">
        <v>62.5</v>
      </c>
      <c r="E220" s="1">
        <v>34</v>
      </c>
      <c r="F220" s="10">
        <v>74.5</v>
      </c>
      <c r="G220" s="1">
        <v>17</v>
      </c>
      <c r="H220" s="10">
        <v>73.7</v>
      </c>
      <c r="I220" s="1">
        <v>32</v>
      </c>
      <c r="J220" s="10">
        <v>45.3</v>
      </c>
      <c r="K220" s="1">
        <v>35</v>
      </c>
      <c r="L220" s="10">
        <v>54</v>
      </c>
      <c r="M220" s="1">
        <v>13</v>
      </c>
      <c r="N220" s="10">
        <v>310.10000000000002</v>
      </c>
      <c r="O220" s="1">
        <v>31</v>
      </c>
    </row>
    <row r="221" spans="1:15">
      <c r="A221" s="1">
        <v>2022</v>
      </c>
      <c r="B221" s="9" t="s">
        <v>83</v>
      </c>
      <c r="C221" s="1" t="s">
        <v>168</v>
      </c>
      <c r="D221" s="10">
        <v>89.2</v>
      </c>
      <c r="E221" s="1">
        <v>3</v>
      </c>
      <c r="F221" s="10">
        <v>59.2</v>
      </c>
      <c r="G221" s="1">
        <v>43</v>
      </c>
      <c r="H221" s="10">
        <v>86.6</v>
      </c>
      <c r="I221" s="1">
        <v>15</v>
      </c>
      <c r="J221" s="10">
        <v>64.3</v>
      </c>
      <c r="K221" s="1">
        <v>2</v>
      </c>
      <c r="L221" s="10">
        <v>59.4</v>
      </c>
      <c r="M221" s="1">
        <v>4</v>
      </c>
      <c r="N221" s="10">
        <v>358.6</v>
      </c>
      <c r="O221" s="1">
        <v>3</v>
      </c>
    </row>
    <row r="222" spans="1:15">
      <c r="A222" s="1">
        <v>2022</v>
      </c>
      <c r="B222" s="9" t="s">
        <v>85</v>
      </c>
      <c r="C222" s="1" t="s">
        <v>169</v>
      </c>
      <c r="D222" s="10">
        <v>91.9</v>
      </c>
      <c r="E222" s="1">
        <v>1</v>
      </c>
      <c r="F222" s="10">
        <v>81.099999999999994</v>
      </c>
      <c r="G222" s="1">
        <v>5</v>
      </c>
      <c r="H222" s="10">
        <v>54.2</v>
      </c>
      <c r="I222" s="1">
        <v>45</v>
      </c>
      <c r="J222" s="10">
        <v>57.7</v>
      </c>
      <c r="K222" s="1">
        <v>8</v>
      </c>
      <c r="L222" s="10">
        <v>44.5</v>
      </c>
      <c r="M222" s="1">
        <v>39</v>
      </c>
      <c r="N222" s="10">
        <v>329.4</v>
      </c>
      <c r="O222" s="1">
        <v>17</v>
      </c>
    </row>
    <row r="223" spans="1:15">
      <c r="A223" s="1">
        <v>2022</v>
      </c>
      <c r="B223" s="9" t="s">
        <v>87</v>
      </c>
      <c r="C223" s="1" t="s">
        <v>170</v>
      </c>
      <c r="D223" s="10">
        <v>61.6</v>
      </c>
      <c r="E223" s="1">
        <v>36</v>
      </c>
      <c r="F223" s="10">
        <v>68.099999999999994</v>
      </c>
      <c r="G223" s="1">
        <v>24</v>
      </c>
      <c r="H223" s="10">
        <v>68.099999999999994</v>
      </c>
      <c r="I223" s="1">
        <v>40</v>
      </c>
      <c r="J223" s="10">
        <v>59.7</v>
      </c>
      <c r="K223" s="1">
        <v>5</v>
      </c>
      <c r="L223" s="10">
        <v>48.9</v>
      </c>
      <c r="M223" s="1">
        <v>30</v>
      </c>
      <c r="N223" s="10">
        <v>306.39999999999998</v>
      </c>
      <c r="O223" s="1">
        <v>35</v>
      </c>
    </row>
    <row r="224" spans="1:15">
      <c r="A224" s="1">
        <v>2022</v>
      </c>
      <c r="B224" s="9" t="s">
        <v>89</v>
      </c>
      <c r="C224" s="1" t="s">
        <v>171</v>
      </c>
      <c r="D224" s="10">
        <v>64.900000000000006</v>
      </c>
      <c r="E224" s="1">
        <v>32</v>
      </c>
      <c r="F224" s="10">
        <v>62.8</v>
      </c>
      <c r="G224" s="1">
        <v>34</v>
      </c>
      <c r="H224" s="10">
        <v>97.3</v>
      </c>
      <c r="I224" s="1">
        <v>6</v>
      </c>
      <c r="J224" s="10">
        <v>45.1</v>
      </c>
      <c r="K224" s="1">
        <v>36</v>
      </c>
      <c r="L224" s="10">
        <v>55.2</v>
      </c>
      <c r="M224" s="1">
        <v>7</v>
      </c>
      <c r="N224" s="10">
        <v>325.39999999999998</v>
      </c>
      <c r="O224" s="1">
        <v>19</v>
      </c>
    </row>
    <row r="225" spans="1:15">
      <c r="A225" s="1">
        <v>2022</v>
      </c>
      <c r="B225" s="9" t="s">
        <v>91</v>
      </c>
      <c r="C225" s="1" t="s">
        <v>172</v>
      </c>
      <c r="D225" s="10">
        <v>58.9</v>
      </c>
      <c r="E225" s="1">
        <v>41</v>
      </c>
      <c r="F225" s="10">
        <v>67.5</v>
      </c>
      <c r="G225" s="1">
        <v>27</v>
      </c>
      <c r="H225" s="10">
        <v>98.3</v>
      </c>
      <c r="I225" s="1">
        <v>5</v>
      </c>
      <c r="J225" s="10">
        <v>44.9</v>
      </c>
      <c r="K225" s="1">
        <v>38</v>
      </c>
      <c r="L225" s="10">
        <v>27</v>
      </c>
      <c r="M225" s="1">
        <v>47</v>
      </c>
      <c r="N225" s="10">
        <v>296.60000000000002</v>
      </c>
      <c r="O225" s="1">
        <v>40</v>
      </c>
    </row>
    <row r="226" spans="1:15">
      <c r="A226" s="1">
        <v>2022</v>
      </c>
      <c r="B226" s="9" t="s">
        <v>93</v>
      </c>
      <c r="C226" s="1" t="s">
        <v>173</v>
      </c>
      <c r="D226" s="10">
        <v>50.5</v>
      </c>
      <c r="E226" s="1">
        <v>47</v>
      </c>
      <c r="F226" s="10">
        <v>76.2</v>
      </c>
      <c r="G226" s="1">
        <v>13</v>
      </c>
      <c r="H226" s="10">
        <v>81.8</v>
      </c>
      <c r="I226" s="1">
        <v>23</v>
      </c>
      <c r="J226" s="10">
        <v>49.5</v>
      </c>
      <c r="K226" s="1">
        <v>22</v>
      </c>
      <c r="L226" s="10">
        <v>40.1</v>
      </c>
      <c r="M226" s="1">
        <v>43</v>
      </c>
      <c r="N226" s="10">
        <v>298.2</v>
      </c>
      <c r="O226" s="1">
        <v>39</v>
      </c>
    </row>
    <row r="227" spans="1:15">
      <c r="A227" s="1">
        <v>2022</v>
      </c>
      <c r="B227" s="9" t="s">
        <v>95</v>
      </c>
      <c r="C227" s="1" t="s">
        <v>174</v>
      </c>
      <c r="D227" s="10">
        <v>71.7</v>
      </c>
      <c r="E227" s="1">
        <v>20</v>
      </c>
      <c r="F227" s="10">
        <v>64</v>
      </c>
      <c r="G227" s="1">
        <v>31</v>
      </c>
      <c r="H227" s="10">
        <v>68.5</v>
      </c>
      <c r="I227" s="1">
        <v>38</v>
      </c>
      <c r="J227" s="10">
        <v>51.4</v>
      </c>
      <c r="K227" s="1">
        <v>18</v>
      </c>
      <c r="L227" s="10">
        <v>53</v>
      </c>
      <c r="M227" s="1">
        <v>16</v>
      </c>
      <c r="N227" s="10">
        <v>308.7</v>
      </c>
      <c r="O227" s="1">
        <v>32</v>
      </c>
    </row>
    <row r="228" spans="1:15">
      <c r="A228" s="1">
        <v>2022</v>
      </c>
      <c r="B228" s="9" t="s">
        <v>97</v>
      </c>
      <c r="C228" s="1" t="s">
        <v>175</v>
      </c>
      <c r="D228" s="10">
        <v>87</v>
      </c>
      <c r="E228" s="1">
        <v>5</v>
      </c>
      <c r="F228" s="10">
        <v>60.7</v>
      </c>
      <c r="G228" s="1">
        <v>39</v>
      </c>
      <c r="H228" s="10">
        <v>22.2</v>
      </c>
      <c r="I228" s="1">
        <v>47</v>
      </c>
      <c r="J228" s="10">
        <v>44.7</v>
      </c>
      <c r="K228" s="1">
        <v>39</v>
      </c>
      <c r="L228" s="10">
        <v>33.299999999999997</v>
      </c>
      <c r="M228" s="1">
        <v>46</v>
      </c>
      <c r="N228" s="10">
        <v>247.8</v>
      </c>
      <c r="O228" s="1">
        <v>47</v>
      </c>
    </row>
    <row r="229" spans="1:15">
      <c r="A229" s="1">
        <v>2022</v>
      </c>
      <c r="B229" s="9" t="s">
        <v>99</v>
      </c>
      <c r="C229" s="1" t="s">
        <v>176</v>
      </c>
      <c r="D229" s="10">
        <v>70.8</v>
      </c>
      <c r="E229" s="1">
        <v>22</v>
      </c>
      <c r="F229" s="10">
        <v>84.8</v>
      </c>
      <c r="G229" s="1">
        <v>3</v>
      </c>
      <c r="H229" s="10">
        <v>83.4</v>
      </c>
      <c r="I229" s="1">
        <v>20</v>
      </c>
      <c r="J229" s="10">
        <v>56.7</v>
      </c>
      <c r="K229" s="1">
        <v>11</v>
      </c>
      <c r="L229" s="10">
        <v>52.8</v>
      </c>
      <c r="M229" s="1">
        <v>19</v>
      </c>
      <c r="N229" s="10">
        <v>348.6</v>
      </c>
      <c r="O229" s="1">
        <v>6</v>
      </c>
    </row>
    <row r="230" spans="1:15">
      <c r="A230" s="1">
        <v>2022</v>
      </c>
      <c r="B230" s="9" t="s">
        <v>101</v>
      </c>
      <c r="C230" s="1" t="s">
        <v>177</v>
      </c>
      <c r="D230" s="10">
        <v>72.900000000000006</v>
      </c>
      <c r="E230" s="1">
        <v>16</v>
      </c>
      <c r="F230" s="10">
        <v>98.3</v>
      </c>
      <c r="G230" s="1">
        <v>1</v>
      </c>
      <c r="H230" s="10">
        <v>114</v>
      </c>
      <c r="I230" s="1">
        <v>2</v>
      </c>
      <c r="J230" s="10">
        <v>57.5</v>
      </c>
      <c r="K230" s="1">
        <v>9</v>
      </c>
      <c r="L230" s="10">
        <v>47.1</v>
      </c>
      <c r="M230" s="1">
        <v>34</v>
      </c>
      <c r="N230" s="10">
        <v>389.9</v>
      </c>
      <c r="O230" s="1">
        <v>1</v>
      </c>
    </row>
    <row r="231" spans="1:15">
      <c r="A231" s="1">
        <v>2022</v>
      </c>
      <c r="B231" s="9" t="s">
        <v>103</v>
      </c>
      <c r="C231" s="1" t="s">
        <v>178</v>
      </c>
      <c r="D231" s="10">
        <v>65.400000000000006</v>
      </c>
      <c r="E231" s="1">
        <v>30</v>
      </c>
      <c r="F231" s="10">
        <v>72.2</v>
      </c>
      <c r="G231" s="1">
        <v>20</v>
      </c>
      <c r="H231" s="10">
        <v>98.7</v>
      </c>
      <c r="I231" s="1">
        <v>4</v>
      </c>
      <c r="J231" s="10">
        <v>48.2</v>
      </c>
      <c r="K231" s="1">
        <v>26</v>
      </c>
      <c r="L231" s="10">
        <v>50.9</v>
      </c>
      <c r="M231" s="1">
        <v>27</v>
      </c>
      <c r="N231" s="10">
        <v>335.3</v>
      </c>
      <c r="O231" s="1">
        <v>14</v>
      </c>
    </row>
    <row r="232" spans="1:15">
      <c r="A232" s="1">
        <v>2022</v>
      </c>
      <c r="B232" s="9" t="s">
        <v>105</v>
      </c>
      <c r="C232" s="1" t="s">
        <v>179</v>
      </c>
      <c r="D232" s="10">
        <v>61.9</v>
      </c>
      <c r="E232" s="1">
        <v>35</v>
      </c>
      <c r="F232" s="10">
        <v>96.7</v>
      </c>
      <c r="G232" s="1">
        <v>2</v>
      </c>
      <c r="H232" s="10">
        <v>66.2</v>
      </c>
      <c r="I232" s="1">
        <v>41</v>
      </c>
      <c r="J232" s="10">
        <v>56.9</v>
      </c>
      <c r="K232" s="1">
        <v>10</v>
      </c>
      <c r="L232" s="10">
        <v>52.9</v>
      </c>
      <c r="M232" s="1">
        <v>18</v>
      </c>
      <c r="N232" s="10">
        <v>334.6</v>
      </c>
      <c r="O232" s="1">
        <v>15</v>
      </c>
    </row>
    <row r="233" spans="1:15">
      <c r="A233" s="1">
        <v>2022</v>
      </c>
      <c r="B233" s="9" t="s">
        <v>107</v>
      </c>
      <c r="C233" s="1" t="s">
        <v>180</v>
      </c>
      <c r="D233" s="10">
        <v>68.8</v>
      </c>
      <c r="E233" s="1">
        <v>25</v>
      </c>
      <c r="F233" s="10">
        <v>78.8</v>
      </c>
      <c r="G233" s="1">
        <v>10</v>
      </c>
      <c r="H233" s="10">
        <v>80.7</v>
      </c>
      <c r="I233" s="1">
        <v>26</v>
      </c>
      <c r="J233" s="10">
        <v>59.6</v>
      </c>
      <c r="K233" s="1">
        <v>6</v>
      </c>
      <c r="L233" s="10">
        <v>44.5</v>
      </c>
      <c r="M233" s="1">
        <v>40</v>
      </c>
      <c r="N233" s="10">
        <v>332.4</v>
      </c>
      <c r="O233" s="1">
        <v>16</v>
      </c>
    </row>
    <row r="234" spans="1:15">
      <c r="A234" s="1">
        <v>2022</v>
      </c>
      <c r="B234" s="9" t="s">
        <v>109</v>
      </c>
      <c r="C234" s="1" t="s">
        <v>181</v>
      </c>
      <c r="D234" s="10">
        <v>59.4</v>
      </c>
      <c r="E234" s="1">
        <v>40</v>
      </c>
      <c r="F234" s="10">
        <v>79.099999999999994</v>
      </c>
      <c r="G234" s="1">
        <v>8</v>
      </c>
      <c r="H234" s="10">
        <v>88.7</v>
      </c>
      <c r="I234" s="1">
        <v>11</v>
      </c>
      <c r="J234" s="10">
        <v>54.9</v>
      </c>
      <c r="K234" s="1">
        <v>13</v>
      </c>
      <c r="L234" s="10">
        <v>61.6</v>
      </c>
      <c r="M234" s="1">
        <v>2</v>
      </c>
      <c r="N234" s="10">
        <v>343.6</v>
      </c>
      <c r="O234" s="1">
        <v>7</v>
      </c>
    </row>
    <row r="235" spans="1:15">
      <c r="A235" s="1">
        <v>2022</v>
      </c>
      <c r="B235" s="9" t="s">
        <v>111</v>
      </c>
      <c r="C235" s="1" t="s">
        <v>182</v>
      </c>
      <c r="D235" s="10">
        <v>83.5</v>
      </c>
      <c r="E235" s="1">
        <v>7</v>
      </c>
      <c r="F235" s="10">
        <v>79.3</v>
      </c>
      <c r="G235" s="1">
        <v>7</v>
      </c>
      <c r="H235" s="10">
        <v>88.5</v>
      </c>
      <c r="I235" s="1">
        <v>13</v>
      </c>
      <c r="J235" s="10">
        <v>39.1</v>
      </c>
      <c r="K235" s="1">
        <v>46</v>
      </c>
      <c r="L235" s="10">
        <v>60</v>
      </c>
      <c r="M235" s="1">
        <v>3</v>
      </c>
      <c r="N235" s="10">
        <v>350.4</v>
      </c>
      <c r="O235" s="1">
        <v>4</v>
      </c>
    </row>
    <row r="236" spans="1:15">
      <c r="A236" s="1">
        <v>2022</v>
      </c>
      <c r="B236" s="9" t="s">
        <v>113</v>
      </c>
      <c r="C236" s="1" t="s">
        <v>183</v>
      </c>
      <c r="D236" s="10">
        <v>72.5</v>
      </c>
      <c r="E236" s="1">
        <v>19</v>
      </c>
      <c r="F236" s="10">
        <v>62</v>
      </c>
      <c r="G236" s="1">
        <v>36</v>
      </c>
      <c r="H236" s="10">
        <v>81.3</v>
      </c>
      <c r="I236" s="1">
        <v>25</v>
      </c>
      <c r="J236" s="10">
        <v>47.1</v>
      </c>
      <c r="K236" s="1">
        <v>29</v>
      </c>
      <c r="L236" s="10">
        <v>54.8</v>
      </c>
      <c r="M236" s="1">
        <v>10</v>
      </c>
      <c r="N236" s="10">
        <v>317.7</v>
      </c>
      <c r="O236" s="1">
        <v>26</v>
      </c>
    </row>
    <row r="237" spans="1:15">
      <c r="A237" s="1">
        <v>2023</v>
      </c>
      <c r="B237" s="9" t="s">
        <v>21</v>
      </c>
      <c r="C237" s="1" t="s">
        <v>22</v>
      </c>
      <c r="D237" s="10">
        <v>80.900000000000006</v>
      </c>
      <c r="E237" s="1">
        <v>6</v>
      </c>
      <c r="F237" s="10">
        <v>65.8</v>
      </c>
      <c r="G237" s="1">
        <v>30</v>
      </c>
      <c r="H237" s="10">
        <v>56.2</v>
      </c>
      <c r="I237" s="1">
        <v>43</v>
      </c>
      <c r="J237" s="10">
        <v>48.3</v>
      </c>
      <c r="K237" s="1">
        <v>26</v>
      </c>
      <c r="L237" s="10">
        <v>48.2</v>
      </c>
      <c r="M237" s="1">
        <v>24</v>
      </c>
      <c r="N237" s="10">
        <v>299.39999999999998</v>
      </c>
      <c r="O237" s="1">
        <v>38</v>
      </c>
    </row>
    <row r="238" spans="1:15">
      <c r="A238" s="1">
        <v>2023</v>
      </c>
      <c r="B238" s="9" t="s">
        <v>23</v>
      </c>
      <c r="C238" s="1" t="s">
        <v>138</v>
      </c>
      <c r="D238" s="10">
        <v>67</v>
      </c>
      <c r="E238" s="1">
        <v>31</v>
      </c>
      <c r="F238" s="10">
        <v>92.6</v>
      </c>
      <c r="G238" s="1">
        <v>1</v>
      </c>
      <c r="H238" s="10">
        <v>76.599999999999994</v>
      </c>
      <c r="I238" s="1">
        <v>30</v>
      </c>
      <c r="J238" s="10">
        <v>51.3</v>
      </c>
      <c r="K238" s="1">
        <v>18</v>
      </c>
      <c r="L238" s="10">
        <v>46.4</v>
      </c>
      <c r="M238" s="1">
        <v>31</v>
      </c>
      <c r="N238" s="10">
        <v>333.9</v>
      </c>
      <c r="O238" s="1">
        <v>15</v>
      </c>
    </row>
    <row r="239" spans="1:15">
      <c r="A239" s="1">
        <v>2023</v>
      </c>
      <c r="B239" s="9" t="s">
        <v>25</v>
      </c>
      <c r="C239" s="1" t="s">
        <v>139</v>
      </c>
      <c r="D239" s="10">
        <v>73.099999999999994</v>
      </c>
      <c r="E239" s="1">
        <v>20</v>
      </c>
      <c r="F239" s="10">
        <v>63</v>
      </c>
      <c r="G239" s="1">
        <v>36</v>
      </c>
      <c r="H239" s="10">
        <v>85.4</v>
      </c>
      <c r="I239" s="1">
        <v>18</v>
      </c>
      <c r="J239" s="10">
        <v>38.9</v>
      </c>
      <c r="K239" s="1">
        <v>46</v>
      </c>
      <c r="L239" s="10">
        <v>54.6</v>
      </c>
      <c r="M239" s="1">
        <v>14</v>
      </c>
      <c r="N239" s="10">
        <v>315</v>
      </c>
      <c r="O239" s="1">
        <v>29</v>
      </c>
    </row>
    <row r="240" spans="1:15">
      <c r="A240" s="1">
        <v>2023</v>
      </c>
      <c r="B240" s="9" t="s">
        <v>27</v>
      </c>
      <c r="C240" s="1" t="s">
        <v>140</v>
      </c>
      <c r="D240" s="10">
        <v>65</v>
      </c>
      <c r="E240" s="1">
        <v>35</v>
      </c>
      <c r="F240" s="10">
        <v>70.2</v>
      </c>
      <c r="G240" s="1">
        <v>22</v>
      </c>
      <c r="H240" s="10">
        <v>58.7</v>
      </c>
      <c r="I240" s="1">
        <v>42</v>
      </c>
      <c r="J240" s="10">
        <v>49.7</v>
      </c>
      <c r="K240" s="1">
        <v>22</v>
      </c>
      <c r="L240" s="10">
        <v>56.7</v>
      </c>
      <c r="M240" s="1">
        <v>8</v>
      </c>
      <c r="N240" s="10">
        <v>300.39999999999998</v>
      </c>
      <c r="O240" s="1">
        <v>37</v>
      </c>
    </row>
    <row r="241" spans="1:15">
      <c r="A241" s="1">
        <v>2023</v>
      </c>
      <c r="B241" s="9" t="s">
        <v>29</v>
      </c>
      <c r="C241" s="1" t="s">
        <v>141</v>
      </c>
      <c r="D241" s="10">
        <v>75.099999999999994</v>
      </c>
      <c r="E241" s="1">
        <v>17</v>
      </c>
      <c r="F241" s="10">
        <v>73.8</v>
      </c>
      <c r="G241" s="1">
        <v>16</v>
      </c>
      <c r="H241" s="10">
        <v>66.599999999999994</v>
      </c>
      <c r="I241" s="1">
        <v>40</v>
      </c>
      <c r="J241" s="10">
        <v>64</v>
      </c>
      <c r="K241" s="1">
        <v>5</v>
      </c>
      <c r="L241" s="10">
        <v>56.1</v>
      </c>
      <c r="M241" s="1">
        <v>9</v>
      </c>
      <c r="N241" s="10">
        <v>335.6</v>
      </c>
      <c r="O241" s="1">
        <v>13</v>
      </c>
    </row>
    <row r="242" spans="1:15">
      <c r="A242" s="1">
        <v>2023</v>
      </c>
      <c r="B242" s="9" t="s">
        <v>31</v>
      </c>
      <c r="C242" s="1" t="s">
        <v>142</v>
      </c>
      <c r="D242" s="10">
        <v>87</v>
      </c>
      <c r="E242" s="1">
        <v>1</v>
      </c>
      <c r="F242" s="10">
        <v>81.8</v>
      </c>
      <c r="G242" s="1">
        <v>6</v>
      </c>
      <c r="H242" s="10">
        <v>80.3</v>
      </c>
      <c r="I242" s="1">
        <v>25</v>
      </c>
      <c r="J242" s="10">
        <v>52.3</v>
      </c>
      <c r="K242" s="1">
        <v>15</v>
      </c>
      <c r="L242" s="10">
        <v>73.400000000000006</v>
      </c>
      <c r="M242" s="1">
        <v>1</v>
      </c>
      <c r="N242" s="10">
        <v>374.9</v>
      </c>
      <c r="O242" s="1">
        <v>1</v>
      </c>
    </row>
    <row r="243" spans="1:15">
      <c r="A243" s="1">
        <v>2023</v>
      </c>
      <c r="B243" s="9" t="s">
        <v>33</v>
      </c>
      <c r="C243" s="1" t="s">
        <v>143</v>
      </c>
      <c r="D243" s="10">
        <v>72.599999999999994</v>
      </c>
      <c r="E243" s="1">
        <v>21</v>
      </c>
      <c r="F243" s="10">
        <v>72.2</v>
      </c>
      <c r="G243" s="1">
        <v>19</v>
      </c>
      <c r="H243" s="10">
        <v>82.3</v>
      </c>
      <c r="I243" s="1">
        <v>21</v>
      </c>
      <c r="J243" s="10">
        <v>39.6</v>
      </c>
      <c r="K243" s="1">
        <v>45</v>
      </c>
      <c r="L243" s="10">
        <v>47.1</v>
      </c>
      <c r="M243" s="1">
        <v>27</v>
      </c>
      <c r="N243" s="10">
        <v>313.8</v>
      </c>
      <c r="O243" s="1">
        <v>31</v>
      </c>
    </row>
    <row r="244" spans="1:15">
      <c r="A244" s="1">
        <v>2023</v>
      </c>
      <c r="B244" s="9" t="s">
        <v>35</v>
      </c>
      <c r="C244" s="1" t="s">
        <v>144</v>
      </c>
      <c r="D244" s="10">
        <v>60.7</v>
      </c>
      <c r="E244" s="1">
        <v>41</v>
      </c>
      <c r="F244" s="10">
        <v>64.599999999999994</v>
      </c>
      <c r="G244" s="1">
        <v>32</v>
      </c>
      <c r="H244" s="10">
        <v>51.3</v>
      </c>
      <c r="I244" s="1">
        <v>46</v>
      </c>
      <c r="J244" s="10">
        <v>40.700000000000003</v>
      </c>
      <c r="K244" s="1">
        <v>44</v>
      </c>
      <c r="L244" s="10">
        <v>50</v>
      </c>
      <c r="M244" s="1">
        <v>20</v>
      </c>
      <c r="N244" s="10">
        <v>267.2</v>
      </c>
      <c r="O244" s="1">
        <v>45</v>
      </c>
    </row>
    <row r="245" spans="1:15">
      <c r="A245" s="1">
        <v>2023</v>
      </c>
      <c r="B245" s="9" t="s">
        <v>37</v>
      </c>
      <c r="C245" s="1" t="s">
        <v>145</v>
      </c>
      <c r="D245" s="10">
        <v>71.900000000000006</v>
      </c>
      <c r="E245" s="1">
        <v>22</v>
      </c>
      <c r="F245" s="10">
        <v>77.3</v>
      </c>
      <c r="G245" s="1">
        <v>10</v>
      </c>
      <c r="H245" s="10">
        <v>78.3</v>
      </c>
      <c r="I245" s="1">
        <v>27</v>
      </c>
      <c r="J245" s="10">
        <v>49.1</v>
      </c>
      <c r="K245" s="1">
        <v>24</v>
      </c>
      <c r="L245" s="10">
        <v>43.2</v>
      </c>
      <c r="M245" s="1">
        <v>41</v>
      </c>
      <c r="N245" s="10">
        <v>319.8</v>
      </c>
      <c r="O245" s="1">
        <v>24</v>
      </c>
    </row>
    <row r="246" spans="1:15">
      <c r="A246" s="1">
        <v>2023</v>
      </c>
      <c r="B246" s="9" t="s">
        <v>39</v>
      </c>
      <c r="C246" s="1" t="s">
        <v>146</v>
      </c>
      <c r="D246" s="10">
        <v>61.1</v>
      </c>
      <c r="E246" s="1">
        <v>40</v>
      </c>
      <c r="F246" s="10">
        <v>59</v>
      </c>
      <c r="G246" s="1">
        <v>41</v>
      </c>
      <c r="H246" s="10">
        <v>55.4</v>
      </c>
      <c r="I246" s="1">
        <v>45</v>
      </c>
      <c r="J246" s="10">
        <v>48.5</v>
      </c>
      <c r="K246" s="1">
        <v>25</v>
      </c>
      <c r="L246" s="10">
        <v>50.7</v>
      </c>
      <c r="M246" s="1">
        <v>18</v>
      </c>
      <c r="N246" s="10">
        <v>274.7</v>
      </c>
      <c r="O246" s="1">
        <v>44</v>
      </c>
    </row>
    <row r="247" spans="1:15">
      <c r="A247" s="1">
        <v>2023</v>
      </c>
      <c r="B247" s="9" t="s">
        <v>41</v>
      </c>
      <c r="C247" s="1" t="s">
        <v>147</v>
      </c>
      <c r="D247" s="10">
        <v>43.3</v>
      </c>
      <c r="E247" s="1">
        <v>46</v>
      </c>
      <c r="F247" s="10">
        <v>56.5</v>
      </c>
      <c r="G247" s="1">
        <v>45</v>
      </c>
      <c r="H247" s="10">
        <v>71</v>
      </c>
      <c r="I247" s="1">
        <v>36</v>
      </c>
      <c r="J247" s="10">
        <v>42.5</v>
      </c>
      <c r="K247" s="1">
        <v>35</v>
      </c>
      <c r="L247" s="10">
        <v>52.2</v>
      </c>
      <c r="M247" s="1">
        <v>17</v>
      </c>
      <c r="N247" s="10">
        <v>265.60000000000002</v>
      </c>
      <c r="O247" s="1">
        <v>46</v>
      </c>
    </row>
    <row r="248" spans="1:15">
      <c r="A248" s="1">
        <v>2023</v>
      </c>
      <c r="B248" s="9" t="s">
        <v>43</v>
      </c>
      <c r="C248" s="1" t="s">
        <v>148</v>
      </c>
      <c r="D248" s="10">
        <v>57.5</v>
      </c>
      <c r="E248" s="1">
        <v>44</v>
      </c>
      <c r="F248" s="10">
        <v>63.7</v>
      </c>
      <c r="G248" s="1">
        <v>33</v>
      </c>
      <c r="H248" s="10">
        <v>77</v>
      </c>
      <c r="I248" s="1">
        <v>28</v>
      </c>
      <c r="J248" s="10">
        <v>51.2</v>
      </c>
      <c r="K248" s="1">
        <v>19</v>
      </c>
      <c r="L248" s="10">
        <v>46.3</v>
      </c>
      <c r="M248" s="1">
        <v>32</v>
      </c>
      <c r="N248" s="10">
        <v>295.7</v>
      </c>
      <c r="O248" s="1">
        <v>40</v>
      </c>
    </row>
    <row r="249" spans="1:15">
      <c r="A249" s="1">
        <v>2023</v>
      </c>
      <c r="B249" s="9" t="s">
        <v>45</v>
      </c>
      <c r="C249" s="1" t="s">
        <v>149</v>
      </c>
      <c r="D249" s="10">
        <v>67.900000000000006</v>
      </c>
      <c r="E249" s="1">
        <v>30</v>
      </c>
      <c r="F249" s="10">
        <v>64.7</v>
      </c>
      <c r="G249" s="1">
        <v>31</v>
      </c>
      <c r="H249" s="10">
        <v>92.3</v>
      </c>
      <c r="I249" s="1">
        <v>9</v>
      </c>
      <c r="J249" s="10">
        <v>43.9</v>
      </c>
      <c r="K249" s="1">
        <v>32</v>
      </c>
      <c r="L249" s="10">
        <v>46.4</v>
      </c>
      <c r="M249" s="1">
        <v>30</v>
      </c>
      <c r="N249" s="10">
        <v>315.2</v>
      </c>
      <c r="O249" s="1">
        <v>28</v>
      </c>
    </row>
    <row r="250" spans="1:15">
      <c r="A250" s="1">
        <v>2023</v>
      </c>
      <c r="B250" s="9" t="s">
        <v>47</v>
      </c>
      <c r="C250" s="1" t="s">
        <v>150</v>
      </c>
      <c r="D250" s="10">
        <v>53.8</v>
      </c>
      <c r="E250" s="1">
        <v>45</v>
      </c>
      <c r="F250" s="10">
        <v>72.3</v>
      </c>
      <c r="G250" s="1">
        <v>18</v>
      </c>
      <c r="H250" s="10">
        <v>73.900000000000006</v>
      </c>
      <c r="I250" s="1">
        <v>34</v>
      </c>
      <c r="J250" s="10">
        <v>43.6</v>
      </c>
      <c r="K250" s="1">
        <v>33</v>
      </c>
      <c r="L250" s="10">
        <v>42.2</v>
      </c>
      <c r="M250" s="1">
        <v>42</v>
      </c>
      <c r="N250" s="10">
        <v>285.89999999999998</v>
      </c>
      <c r="O250" s="1">
        <v>43</v>
      </c>
    </row>
    <row r="251" spans="1:15">
      <c r="A251" s="1">
        <v>2023</v>
      </c>
      <c r="B251" s="9" t="s">
        <v>49</v>
      </c>
      <c r="C251" s="1" t="s">
        <v>151</v>
      </c>
      <c r="D251" s="10">
        <v>78.099999999999994</v>
      </c>
      <c r="E251" s="1">
        <v>9</v>
      </c>
      <c r="F251" s="10">
        <v>70.8</v>
      </c>
      <c r="G251" s="1">
        <v>21</v>
      </c>
      <c r="H251" s="10">
        <v>89.1</v>
      </c>
      <c r="I251" s="1">
        <v>13</v>
      </c>
      <c r="J251" s="10">
        <v>50.4</v>
      </c>
      <c r="K251" s="1">
        <v>20</v>
      </c>
      <c r="L251" s="10">
        <v>57.9</v>
      </c>
      <c r="M251" s="1">
        <v>6</v>
      </c>
      <c r="N251" s="10">
        <v>346.3</v>
      </c>
      <c r="O251" s="1">
        <v>8</v>
      </c>
    </row>
    <row r="252" spans="1:15">
      <c r="A252" s="1">
        <v>2023</v>
      </c>
      <c r="B252" s="9" t="s">
        <v>51</v>
      </c>
      <c r="C252" s="1" t="s">
        <v>152</v>
      </c>
      <c r="D252" s="10">
        <v>80.900000000000006</v>
      </c>
      <c r="E252" s="1">
        <v>5</v>
      </c>
      <c r="F252" s="10">
        <v>77.2</v>
      </c>
      <c r="G252" s="1">
        <v>11</v>
      </c>
      <c r="H252" s="10">
        <v>68.3</v>
      </c>
      <c r="I252" s="1">
        <v>39</v>
      </c>
      <c r="J252" s="10">
        <v>61.9</v>
      </c>
      <c r="K252" s="1">
        <v>6</v>
      </c>
      <c r="L252" s="10">
        <v>54.6</v>
      </c>
      <c r="M252" s="1">
        <v>15</v>
      </c>
      <c r="N252" s="10">
        <v>343</v>
      </c>
      <c r="O252" s="1">
        <v>9</v>
      </c>
    </row>
    <row r="253" spans="1:15">
      <c r="A253" s="1">
        <v>2023</v>
      </c>
      <c r="B253" s="9" t="s">
        <v>53</v>
      </c>
      <c r="C253" s="1" t="s">
        <v>153</v>
      </c>
      <c r="D253" s="10">
        <v>74</v>
      </c>
      <c r="E253" s="1">
        <v>19</v>
      </c>
      <c r="F253" s="10">
        <v>81.3</v>
      </c>
      <c r="G253" s="1">
        <v>7</v>
      </c>
      <c r="H253" s="10">
        <v>78.5</v>
      </c>
      <c r="I253" s="1">
        <v>26</v>
      </c>
      <c r="J253" s="10">
        <v>41</v>
      </c>
      <c r="K253" s="1">
        <v>42</v>
      </c>
      <c r="L253" s="10">
        <v>49.9</v>
      </c>
      <c r="M253" s="1">
        <v>21</v>
      </c>
      <c r="N253" s="10">
        <v>324.60000000000002</v>
      </c>
      <c r="O253" s="1">
        <v>23</v>
      </c>
    </row>
    <row r="254" spans="1:15">
      <c r="A254" s="1">
        <v>2023</v>
      </c>
      <c r="B254" s="9" t="s">
        <v>55</v>
      </c>
      <c r="C254" s="1" t="s">
        <v>154</v>
      </c>
      <c r="D254" s="10">
        <v>85.3</v>
      </c>
      <c r="E254" s="1">
        <v>2</v>
      </c>
      <c r="F254" s="10">
        <v>75.7</v>
      </c>
      <c r="G254" s="1">
        <v>13</v>
      </c>
      <c r="H254" s="10">
        <v>65.7</v>
      </c>
      <c r="I254" s="1">
        <v>41</v>
      </c>
      <c r="J254" s="10">
        <v>46.9</v>
      </c>
      <c r="K254" s="1">
        <v>29</v>
      </c>
      <c r="L254" s="10">
        <v>43.4</v>
      </c>
      <c r="M254" s="1">
        <v>39</v>
      </c>
      <c r="N254" s="10">
        <v>317</v>
      </c>
      <c r="O254" s="1">
        <v>26</v>
      </c>
    </row>
    <row r="255" spans="1:15">
      <c r="A255" s="1">
        <v>2023</v>
      </c>
      <c r="B255" s="9" t="s">
        <v>57</v>
      </c>
      <c r="C255" s="1" t="s">
        <v>155</v>
      </c>
      <c r="D255" s="10">
        <v>80.5</v>
      </c>
      <c r="E255" s="1">
        <v>7</v>
      </c>
      <c r="F255" s="10">
        <v>75.5</v>
      </c>
      <c r="G255" s="1">
        <v>14</v>
      </c>
      <c r="H255" s="10">
        <v>71.400000000000006</v>
      </c>
      <c r="I255" s="1">
        <v>35</v>
      </c>
      <c r="J255" s="10">
        <v>60.1</v>
      </c>
      <c r="K255" s="1">
        <v>8</v>
      </c>
      <c r="L255" s="10">
        <v>45.6</v>
      </c>
      <c r="M255" s="1">
        <v>34</v>
      </c>
      <c r="N255" s="10">
        <v>333.2</v>
      </c>
      <c r="O255" s="1">
        <v>16</v>
      </c>
    </row>
    <row r="256" spans="1:15">
      <c r="A256" s="1">
        <v>2023</v>
      </c>
      <c r="B256" s="9" t="s">
        <v>59</v>
      </c>
      <c r="C256" s="1" t="s">
        <v>156</v>
      </c>
      <c r="D256" s="10">
        <v>70.599999999999994</v>
      </c>
      <c r="E256" s="1">
        <v>26</v>
      </c>
      <c r="F256" s="10">
        <v>78.3</v>
      </c>
      <c r="G256" s="1">
        <v>8</v>
      </c>
      <c r="H256" s="10">
        <v>84.9</v>
      </c>
      <c r="I256" s="1">
        <v>19</v>
      </c>
      <c r="J256" s="10">
        <v>59.7</v>
      </c>
      <c r="K256" s="1">
        <v>9</v>
      </c>
      <c r="L256" s="10">
        <v>60.1</v>
      </c>
      <c r="M256" s="1">
        <v>3</v>
      </c>
      <c r="N256" s="10">
        <v>353.6</v>
      </c>
      <c r="O256" s="1">
        <v>5</v>
      </c>
    </row>
    <row r="257" spans="1:15">
      <c r="A257" s="1">
        <v>2023</v>
      </c>
      <c r="B257" s="9" t="s">
        <v>61</v>
      </c>
      <c r="C257" s="1" t="s">
        <v>157</v>
      </c>
      <c r="D257" s="10">
        <v>76.3</v>
      </c>
      <c r="E257" s="1">
        <v>16</v>
      </c>
      <c r="F257" s="10">
        <v>61.6</v>
      </c>
      <c r="G257" s="1">
        <v>37</v>
      </c>
      <c r="H257" s="10">
        <v>99.9</v>
      </c>
      <c r="I257" s="1">
        <v>4</v>
      </c>
      <c r="J257" s="10">
        <v>61.1</v>
      </c>
      <c r="K257" s="1">
        <v>7</v>
      </c>
      <c r="L257" s="10">
        <v>57.9</v>
      </c>
      <c r="M257" s="1">
        <v>7</v>
      </c>
      <c r="N257" s="10">
        <v>356.7</v>
      </c>
      <c r="O257" s="1">
        <v>4</v>
      </c>
    </row>
    <row r="258" spans="1:15">
      <c r="A258" s="1">
        <v>2023</v>
      </c>
      <c r="B258" s="9" t="s">
        <v>63</v>
      </c>
      <c r="C258" s="1" t="s">
        <v>158</v>
      </c>
      <c r="D258" s="10">
        <v>66</v>
      </c>
      <c r="E258" s="1">
        <v>32</v>
      </c>
      <c r="F258" s="10">
        <v>60.9</v>
      </c>
      <c r="G258" s="1">
        <v>39</v>
      </c>
      <c r="H258" s="10">
        <v>90.2</v>
      </c>
      <c r="I258" s="1">
        <v>11</v>
      </c>
      <c r="J258" s="10">
        <v>53.8</v>
      </c>
      <c r="K258" s="1">
        <v>14</v>
      </c>
      <c r="L258" s="10">
        <v>47.9</v>
      </c>
      <c r="M258" s="1">
        <v>25</v>
      </c>
      <c r="N258" s="10">
        <v>318.8</v>
      </c>
      <c r="O258" s="1">
        <v>25</v>
      </c>
    </row>
    <row r="259" spans="1:15">
      <c r="A259" s="1">
        <v>2023</v>
      </c>
      <c r="B259" s="9" t="s">
        <v>65</v>
      </c>
      <c r="C259" s="1" t="s">
        <v>159</v>
      </c>
      <c r="D259" s="10">
        <v>69.599999999999994</v>
      </c>
      <c r="E259" s="1">
        <v>28</v>
      </c>
      <c r="F259" s="10">
        <v>68</v>
      </c>
      <c r="G259" s="1">
        <v>25</v>
      </c>
      <c r="H259" s="10">
        <v>70.3</v>
      </c>
      <c r="I259" s="1">
        <v>38</v>
      </c>
      <c r="J259" s="10">
        <v>32.200000000000003</v>
      </c>
      <c r="K259" s="1">
        <v>47</v>
      </c>
      <c r="L259" s="10">
        <v>48.7</v>
      </c>
      <c r="M259" s="1">
        <v>23</v>
      </c>
      <c r="N259" s="10">
        <v>288.8</v>
      </c>
      <c r="O259" s="1">
        <v>42</v>
      </c>
    </row>
    <row r="260" spans="1:15">
      <c r="A260" s="1">
        <v>2023</v>
      </c>
      <c r="B260" s="9" t="s">
        <v>67</v>
      </c>
      <c r="C260" s="1" t="s">
        <v>160</v>
      </c>
      <c r="D260" s="10">
        <v>70.400000000000006</v>
      </c>
      <c r="E260" s="1">
        <v>27</v>
      </c>
      <c r="F260" s="10">
        <v>69.900000000000006</v>
      </c>
      <c r="G260" s="1">
        <v>23</v>
      </c>
      <c r="H260" s="10">
        <v>74.099999999999994</v>
      </c>
      <c r="I260" s="1">
        <v>33</v>
      </c>
      <c r="J260" s="10">
        <v>56.4</v>
      </c>
      <c r="K260" s="1">
        <v>12</v>
      </c>
      <c r="L260" s="10">
        <v>43.2</v>
      </c>
      <c r="M260" s="1">
        <v>40</v>
      </c>
      <c r="N260" s="10">
        <v>314</v>
      </c>
      <c r="O260" s="1">
        <v>30</v>
      </c>
    </row>
    <row r="261" spans="1:15">
      <c r="A261" s="1">
        <v>2023</v>
      </c>
      <c r="B261" s="9" t="s">
        <v>69</v>
      </c>
      <c r="C261" s="1" t="s">
        <v>161</v>
      </c>
      <c r="D261" s="10">
        <v>70.8</v>
      </c>
      <c r="E261" s="1">
        <v>25</v>
      </c>
      <c r="F261" s="10">
        <v>56</v>
      </c>
      <c r="G261" s="1">
        <v>47</v>
      </c>
      <c r="H261" s="10">
        <v>81.2</v>
      </c>
      <c r="I261" s="1">
        <v>22</v>
      </c>
      <c r="J261" s="10">
        <v>47.6</v>
      </c>
      <c r="K261" s="1">
        <v>28</v>
      </c>
      <c r="L261" s="10">
        <v>48.8</v>
      </c>
      <c r="M261" s="1">
        <v>22</v>
      </c>
      <c r="N261" s="10">
        <v>304.39999999999998</v>
      </c>
      <c r="O261" s="1">
        <v>35</v>
      </c>
    </row>
    <row r="262" spans="1:15">
      <c r="A262" s="1">
        <v>2023</v>
      </c>
      <c r="B262" s="9" t="s">
        <v>71</v>
      </c>
      <c r="C262" s="1" t="s">
        <v>162</v>
      </c>
      <c r="D262" s="10">
        <v>79.8</v>
      </c>
      <c r="E262" s="1">
        <v>8</v>
      </c>
      <c r="F262" s="10">
        <v>61.3</v>
      </c>
      <c r="G262" s="1">
        <v>38</v>
      </c>
      <c r="H262" s="10">
        <v>99.7</v>
      </c>
      <c r="I262" s="1">
        <v>5</v>
      </c>
      <c r="J262" s="10">
        <v>42.4</v>
      </c>
      <c r="K262" s="1">
        <v>36</v>
      </c>
      <c r="L262" s="10">
        <v>45.6</v>
      </c>
      <c r="M262" s="1">
        <v>35</v>
      </c>
      <c r="N262" s="10">
        <v>328.7</v>
      </c>
      <c r="O262" s="1">
        <v>19</v>
      </c>
    </row>
    <row r="263" spans="1:15">
      <c r="A263" s="1">
        <v>2023</v>
      </c>
      <c r="B263" s="9" t="s">
        <v>73</v>
      </c>
      <c r="C263" s="1" t="s">
        <v>163</v>
      </c>
      <c r="D263" s="10">
        <v>58.2</v>
      </c>
      <c r="E263" s="1">
        <v>43</v>
      </c>
      <c r="F263" s="10">
        <v>58.9</v>
      </c>
      <c r="G263" s="1">
        <v>42</v>
      </c>
      <c r="H263" s="10">
        <v>86.6</v>
      </c>
      <c r="I263" s="1">
        <v>15</v>
      </c>
      <c r="J263" s="10">
        <v>42.2</v>
      </c>
      <c r="K263" s="1">
        <v>37</v>
      </c>
      <c r="L263" s="10">
        <v>44.7</v>
      </c>
      <c r="M263" s="1">
        <v>38</v>
      </c>
      <c r="N263" s="10">
        <v>290.7</v>
      </c>
      <c r="O263" s="1">
        <v>41</v>
      </c>
    </row>
    <row r="264" spans="1:15">
      <c r="A264" s="1">
        <v>2023</v>
      </c>
      <c r="B264" s="9" t="s">
        <v>75</v>
      </c>
      <c r="C264" s="1" t="s">
        <v>164</v>
      </c>
      <c r="D264" s="10">
        <v>62.4</v>
      </c>
      <c r="E264" s="1">
        <v>37</v>
      </c>
      <c r="F264" s="10">
        <v>56.9</v>
      </c>
      <c r="G264" s="1">
        <v>44</v>
      </c>
      <c r="H264" s="10">
        <v>80.599999999999994</v>
      </c>
      <c r="I264" s="1">
        <v>23</v>
      </c>
      <c r="J264" s="10">
        <v>49.9</v>
      </c>
      <c r="K264" s="1">
        <v>21</v>
      </c>
      <c r="L264" s="10">
        <v>46.1</v>
      </c>
      <c r="M264" s="1">
        <v>33</v>
      </c>
      <c r="N264" s="10">
        <v>295.89999999999998</v>
      </c>
      <c r="O264" s="1">
        <v>39</v>
      </c>
    </row>
    <row r="265" spans="1:15">
      <c r="A265" s="1">
        <v>2023</v>
      </c>
      <c r="B265" s="9" t="s">
        <v>77</v>
      </c>
      <c r="C265" s="1" t="s">
        <v>165</v>
      </c>
      <c r="D265" s="10">
        <v>59.1</v>
      </c>
      <c r="E265" s="1">
        <v>42</v>
      </c>
      <c r="F265" s="10">
        <v>56.3</v>
      </c>
      <c r="G265" s="1">
        <v>46</v>
      </c>
      <c r="H265" s="10">
        <v>112.8</v>
      </c>
      <c r="I265" s="1">
        <v>2</v>
      </c>
      <c r="J265" s="10">
        <v>66.3</v>
      </c>
      <c r="K265" s="1">
        <v>3</v>
      </c>
      <c r="L265" s="10">
        <v>40.9</v>
      </c>
      <c r="M265" s="1">
        <v>45</v>
      </c>
      <c r="N265" s="10">
        <v>335.4</v>
      </c>
      <c r="O265" s="1">
        <v>14</v>
      </c>
    </row>
    <row r="266" spans="1:15">
      <c r="A266" s="1">
        <v>2023</v>
      </c>
      <c r="B266" s="9" t="s">
        <v>79</v>
      </c>
      <c r="C266" s="1" t="s">
        <v>166</v>
      </c>
      <c r="D266" s="10">
        <v>68.900000000000006</v>
      </c>
      <c r="E266" s="1">
        <v>29</v>
      </c>
      <c r="F266" s="10">
        <v>68.8</v>
      </c>
      <c r="G266" s="1">
        <v>24</v>
      </c>
      <c r="H266" s="10">
        <v>107.8</v>
      </c>
      <c r="I266" s="1">
        <v>3</v>
      </c>
      <c r="J266" s="10">
        <v>45.5</v>
      </c>
      <c r="K266" s="1">
        <v>30</v>
      </c>
      <c r="L266" s="10">
        <v>45</v>
      </c>
      <c r="M266" s="1">
        <v>37</v>
      </c>
      <c r="N266" s="10">
        <v>336.1</v>
      </c>
      <c r="O266" s="1">
        <v>12</v>
      </c>
    </row>
    <row r="267" spans="1:15">
      <c r="A267" s="1">
        <v>2023</v>
      </c>
      <c r="B267" s="9" t="s">
        <v>81</v>
      </c>
      <c r="C267" s="1" t="s">
        <v>167</v>
      </c>
      <c r="D267" s="10">
        <v>65.099999999999994</v>
      </c>
      <c r="E267" s="1">
        <v>34</v>
      </c>
      <c r="F267" s="10">
        <v>67.599999999999994</v>
      </c>
      <c r="G267" s="1">
        <v>26</v>
      </c>
      <c r="H267" s="10">
        <v>80.400000000000006</v>
      </c>
      <c r="I267" s="1">
        <v>24</v>
      </c>
      <c r="J267" s="10">
        <v>41</v>
      </c>
      <c r="K267" s="1">
        <v>43</v>
      </c>
      <c r="L267" s="10">
        <v>55.5</v>
      </c>
      <c r="M267" s="1">
        <v>13</v>
      </c>
      <c r="N267" s="10">
        <v>309.60000000000002</v>
      </c>
      <c r="O267" s="1">
        <v>33</v>
      </c>
    </row>
    <row r="268" spans="1:15">
      <c r="A268" s="1">
        <v>2023</v>
      </c>
      <c r="B268" s="9" t="s">
        <v>83</v>
      </c>
      <c r="C268" s="1" t="s">
        <v>168</v>
      </c>
      <c r="D268" s="10">
        <v>77.099999999999994</v>
      </c>
      <c r="E268" s="1">
        <v>14</v>
      </c>
      <c r="F268" s="10">
        <v>88.7</v>
      </c>
      <c r="G268" s="1">
        <v>2</v>
      </c>
      <c r="H268" s="10">
        <v>76.599999999999994</v>
      </c>
      <c r="I268" s="1">
        <v>29</v>
      </c>
      <c r="J268" s="10">
        <v>52.1</v>
      </c>
      <c r="K268" s="1">
        <v>16</v>
      </c>
      <c r="L268" s="10">
        <v>69.2</v>
      </c>
      <c r="M268" s="1">
        <v>2</v>
      </c>
      <c r="N268" s="10">
        <v>363.8</v>
      </c>
      <c r="O268" s="1">
        <v>3</v>
      </c>
    </row>
    <row r="269" spans="1:15">
      <c r="A269" s="1">
        <v>2023</v>
      </c>
      <c r="B269" s="9" t="s">
        <v>85</v>
      </c>
      <c r="C269" s="1" t="s">
        <v>169</v>
      </c>
      <c r="D269" s="10">
        <v>77.900000000000006</v>
      </c>
      <c r="E269" s="1">
        <v>10</v>
      </c>
      <c r="F269" s="10">
        <v>86.1</v>
      </c>
      <c r="G269" s="1">
        <v>5</v>
      </c>
      <c r="H269" s="10">
        <v>56.1</v>
      </c>
      <c r="I269" s="1">
        <v>44</v>
      </c>
      <c r="J269" s="10">
        <v>68.5</v>
      </c>
      <c r="K269" s="1">
        <v>1</v>
      </c>
      <c r="L269" s="10">
        <v>41.5</v>
      </c>
      <c r="M269" s="1">
        <v>44</v>
      </c>
      <c r="N269" s="10">
        <v>330</v>
      </c>
      <c r="O269" s="1">
        <v>18</v>
      </c>
    </row>
    <row r="270" spans="1:15">
      <c r="A270" s="1">
        <v>2023</v>
      </c>
      <c r="B270" s="9" t="s">
        <v>87</v>
      </c>
      <c r="C270" s="1" t="s">
        <v>170</v>
      </c>
      <c r="D270" s="10">
        <v>74.5</v>
      </c>
      <c r="E270" s="1">
        <v>18</v>
      </c>
      <c r="F270" s="10">
        <v>73.7</v>
      </c>
      <c r="G270" s="1">
        <v>17</v>
      </c>
      <c r="H270" s="10">
        <v>75.2</v>
      </c>
      <c r="I270" s="1">
        <v>32</v>
      </c>
      <c r="J270" s="10">
        <v>58.3</v>
      </c>
      <c r="K270" s="1">
        <v>11</v>
      </c>
      <c r="L270" s="10">
        <v>46.5</v>
      </c>
      <c r="M270" s="1">
        <v>29</v>
      </c>
      <c r="N270" s="10">
        <v>328.2</v>
      </c>
      <c r="O270" s="1">
        <v>21</v>
      </c>
    </row>
    <row r="271" spans="1:15">
      <c r="A271" s="1">
        <v>2023</v>
      </c>
      <c r="B271" s="9" t="s">
        <v>89</v>
      </c>
      <c r="C271" s="1" t="s">
        <v>171</v>
      </c>
      <c r="D271" s="10">
        <v>61.1</v>
      </c>
      <c r="E271" s="1">
        <v>39</v>
      </c>
      <c r="F271" s="10">
        <v>67.5</v>
      </c>
      <c r="G271" s="1">
        <v>27</v>
      </c>
      <c r="H271" s="10">
        <v>91.7</v>
      </c>
      <c r="I271" s="1">
        <v>10</v>
      </c>
      <c r="J271" s="10">
        <v>55</v>
      </c>
      <c r="K271" s="1">
        <v>13</v>
      </c>
      <c r="L271" s="10">
        <v>56</v>
      </c>
      <c r="M271" s="1">
        <v>11</v>
      </c>
      <c r="N271" s="10">
        <v>331.3</v>
      </c>
      <c r="O271" s="1">
        <v>17</v>
      </c>
    </row>
    <row r="272" spans="1:15">
      <c r="A272" s="1">
        <v>2023</v>
      </c>
      <c r="B272" s="9" t="s">
        <v>91</v>
      </c>
      <c r="C272" s="1" t="s">
        <v>172</v>
      </c>
      <c r="D272" s="10">
        <v>71.400000000000006</v>
      </c>
      <c r="E272" s="1">
        <v>24</v>
      </c>
      <c r="F272" s="10">
        <v>74.3</v>
      </c>
      <c r="G272" s="1">
        <v>15</v>
      </c>
      <c r="H272" s="10">
        <v>118.4</v>
      </c>
      <c r="I272" s="1">
        <v>1</v>
      </c>
      <c r="J272" s="10">
        <v>42.7</v>
      </c>
      <c r="K272" s="1">
        <v>34</v>
      </c>
      <c r="L272" s="10">
        <v>35.6</v>
      </c>
      <c r="M272" s="1">
        <v>47</v>
      </c>
      <c r="N272" s="10">
        <v>342.4</v>
      </c>
      <c r="O272" s="1">
        <v>10</v>
      </c>
    </row>
    <row r="273" spans="1:15">
      <c r="A273" s="1">
        <v>2023</v>
      </c>
      <c r="B273" s="9" t="s">
        <v>93</v>
      </c>
      <c r="C273" s="1" t="s">
        <v>173</v>
      </c>
      <c r="D273" s="10">
        <v>63.9</v>
      </c>
      <c r="E273" s="1">
        <v>36</v>
      </c>
      <c r="F273" s="10">
        <v>77.900000000000006</v>
      </c>
      <c r="G273" s="1">
        <v>9</v>
      </c>
      <c r="H273" s="10">
        <v>75.900000000000006</v>
      </c>
      <c r="I273" s="1">
        <v>31</v>
      </c>
      <c r="J273" s="10">
        <v>41.1</v>
      </c>
      <c r="K273" s="1">
        <v>41</v>
      </c>
      <c r="L273" s="10">
        <v>47.4</v>
      </c>
      <c r="M273" s="1">
        <v>26</v>
      </c>
      <c r="N273" s="10">
        <v>306.2</v>
      </c>
      <c r="O273" s="1">
        <v>34</v>
      </c>
    </row>
    <row r="274" spans="1:15">
      <c r="A274" s="1">
        <v>2023</v>
      </c>
      <c r="B274" s="9" t="s">
        <v>95</v>
      </c>
      <c r="C274" s="1" t="s">
        <v>174</v>
      </c>
      <c r="D274" s="10">
        <v>76.400000000000006</v>
      </c>
      <c r="E274" s="1">
        <v>15</v>
      </c>
      <c r="F274" s="10">
        <v>63.1</v>
      </c>
      <c r="G274" s="1">
        <v>34</v>
      </c>
      <c r="H274" s="10">
        <v>70.7</v>
      </c>
      <c r="I274" s="1">
        <v>37</v>
      </c>
      <c r="J274" s="10">
        <v>49.2</v>
      </c>
      <c r="K274" s="1">
        <v>23</v>
      </c>
      <c r="L274" s="10">
        <v>41.6</v>
      </c>
      <c r="M274" s="1">
        <v>43</v>
      </c>
      <c r="N274" s="10">
        <v>301</v>
      </c>
      <c r="O274" s="1">
        <v>36</v>
      </c>
    </row>
    <row r="275" spans="1:15">
      <c r="A275" s="1">
        <v>2023</v>
      </c>
      <c r="B275" s="9" t="s">
        <v>97</v>
      </c>
      <c r="C275" s="1" t="s">
        <v>175</v>
      </c>
      <c r="D275" s="10">
        <v>82.8</v>
      </c>
      <c r="E275" s="1">
        <v>4</v>
      </c>
      <c r="F275" s="10">
        <v>63</v>
      </c>
      <c r="G275" s="1">
        <v>35</v>
      </c>
      <c r="H275" s="10">
        <v>30.6</v>
      </c>
      <c r="I275" s="1">
        <v>47</v>
      </c>
      <c r="J275" s="10">
        <v>41.2</v>
      </c>
      <c r="K275" s="1">
        <v>39</v>
      </c>
      <c r="L275" s="10">
        <v>38.200000000000003</v>
      </c>
      <c r="M275" s="1">
        <v>46</v>
      </c>
      <c r="N275" s="10">
        <v>255.9</v>
      </c>
      <c r="O275" s="1">
        <v>47</v>
      </c>
    </row>
    <row r="276" spans="1:15">
      <c r="A276" s="1">
        <v>2023</v>
      </c>
      <c r="B276" s="9" t="s">
        <v>99</v>
      </c>
      <c r="C276" s="1" t="s">
        <v>176</v>
      </c>
      <c r="D276" s="10">
        <v>77.8</v>
      </c>
      <c r="E276" s="1">
        <v>11</v>
      </c>
      <c r="F276" s="10">
        <v>72</v>
      </c>
      <c r="G276" s="1">
        <v>20</v>
      </c>
      <c r="H276" s="10">
        <v>88.1</v>
      </c>
      <c r="I276" s="1">
        <v>14</v>
      </c>
      <c r="J276" s="10">
        <v>42</v>
      </c>
      <c r="K276" s="1">
        <v>38</v>
      </c>
      <c r="L276" s="10">
        <v>46.5</v>
      </c>
      <c r="M276" s="1">
        <v>28</v>
      </c>
      <c r="N276" s="10">
        <v>326.39999999999998</v>
      </c>
      <c r="O276" s="1">
        <v>22</v>
      </c>
    </row>
    <row r="277" spans="1:15">
      <c r="A277" s="1">
        <v>2023</v>
      </c>
      <c r="B277" s="9" t="s">
        <v>101</v>
      </c>
      <c r="C277" s="1" t="s">
        <v>177</v>
      </c>
      <c r="D277" s="10">
        <v>62.2</v>
      </c>
      <c r="E277" s="1">
        <v>38</v>
      </c>
      <c r="F277" s="10">
        <v>58.5</v>
      </c>
      <c r="G277" s="1">
        <v>43</v>
      </c>
      <c r="H277" s="10">
        <v>95.2</v>
      </c>
      <c r="I277" s="1">
        <v>6</v>
      </c>
      <c r="J277" s="10">
        <v>41.2</v>
      </c>
      <c r="K277" s="1">
        <v>40</v>
      </c>
      <c r="L277" s="10">
        <v>58.6</v>
      </c>
      <c r="M277" s="1">
        <v>5</v>
      </c>
      <c r="N277" s="10">
        <v>315.7</v>
      </c>
      <c r="O277" s="1">
        <v>27</v>
      </c>
    </row>
    <row r="278" spans="1:15">
      <c r="A278" s="1">
        <v>2023</v>
      </c>
      <c r="B278" s="9" t="s">
        <v>103</v>
      </c>
      <c r="C278" s="1" t="s">
        <v>178</v>
      </c>
      <c r="D278" s="10">
        <v>71.5</v>
      </c>
      <c r="E278" s="1">
        <v>23</v>
      </c>
      <c r="F278" s="10">
        <v>60.3</v>
      </c>
      <c r="G278" s="1">
        <v>40</v>
      </c>
      <c r="H278" s="10">
        <v>94</v>
      </c>
      <c r="I278" s="1">
        <v>7</v>
      </c>
      <c r="J278" s="10">
        <v>52.1</v>
      </c>
      <c r="K278" s="1">
        <v>17</v>
      </c>
      <c r="L278" s="10">
        <v>50.5</v>
      </c>
      <c r="M278" s="1">
        <v>19</v>
      </c>
      <c r="N278" s="10">
        <v>328.4</v>
      </c>
      <c r="O278" s="1">
        <v>20</v>
      </c>
    </row>
    <row r="279" spans="1:15">
      <c r="A279" s="1">
        <v>2023</v>
      </c>
      <c r="B279" s="9" t="s">
        <v>105</v>
      </c>
      <c r="C279" s="1" t="s">
        <v>179</v>
      </c>
      <c r="D279" s="10">
        <v>77.400000000000006</v>
      </c>
      <c r="E279" s="1">
        <v>13</v>
      </c>
      <c r="F279" s="10">
        <v>87.3</v>
      </c>
      <c r="G279" s="1">
        <v>3</v>
      </c>
      <c r="H279" s="10">
        <v>86.3</v>
      </c>
      <c r="I279" s="1">
        <v>17</v>
      </c>
      <c r="J279" s="10">
        <v>65.400000000000006</v>
      </c>
      <c r="K279" s="1">
        <v>4</v>
      </c>
      <c r="L279" s="10">
        <v>55.6</v>
      </c>
      <c r="M279" s="1">
        <v>12</v>
      </c>
      <c r="N279" s="10">
        <v>372.1</v>
      </c>
      <c r="O279" s="1">
        <v>2</v>
      </c>
    </row>
    <row r="280" spans="1:15">
      <c r="A280" s="1">
        <v>2023</v>
      </c>
      <c r="B280" s="9" t="s">
        <v>107</v>
      </c>
      <c r="C280" s="1" t="s">
        <v>180</v>
      </c>
      <c r="D280" s="10">
        <v>77.5</v>
      </c>
      <c r="E280" s="1">
        <v>12</v>
      </c>
      <c r="F280" s="10">
        <v>76.2</v>
      </c>
      <c r="G280" s="1">
        <v>12</v>
      </c>
      <c r="H280" s="10">
        <v>89.9</v>
      </c>
      <c r="I280" s="1">
        <v>12</v>
      </c>
      <c r="J280" s="10">
        <v>59.3</v>
      </c>
      <c r="K280" s="1">
        <v>10</v>
      </c>
      <c r="L280" s="10">
        <v>45.4</v>
      </c>
      <c r="M280" s="1">
        <v>36</v>
      </c>
      <c r="N280" s="10">
        <v>348.4</v>
      </c>
      <c r="O280" s="1">
        <v>7</v>
      </c>
    </row>
    <row r="281" spans="1:15">
      <c r="A281" s="1">
        <v>2023</v>
      </c>
      <c r="B281" s="9" t="s">
        <v>109</v>
      </c>
      <c r="C281" s="1" t="s">
        <v>181</v>
      </c>
      <c r="D281" s="10">
        <v>83.7</v>
      </c>
      <c r="E281" s="1">
        <v>3</v>
      </c>
      <c r="F281" s="10">
        <v>66.099999999999994</v>
      </c>
      <c r="G281" s="1">
        <v>29</v>
      </c>
      <c r="H281" s="10">
        <v>93.9</v>
      </c>
      <c r="I281" s="1">
        <v>8</v>
      </c>
      <c r="J281" s="10">
        <v>45.4</v>
      </c>
      <c r="K281" s="1">
        <v>31</v>
      </c>
      <c r="L281" s="10">
        <v>59.5</v>
      </c>
      <c r="M281" s="1">
        <v>4</v>
      </c>
      <c r="N281" s="10">
        <v>348.4</v>
      </c>
      <c r="O281" s="1">
        <v>6</v>
      </c>
    </row>
    <row r="282" spans="1:15">
      <c r="A282" s="1">
        <v>2023</v>
      </c>
      <c r="B282" s="9" t="s">
        <v>111</v>
      </c>
      <c r="C282" s="1" t="s">
        <v>182</v>
      </c>
      <c r="D282" s="10">
        <v>36.200000000000003</v>
      </c>
      <c r="E282" s="1">
        <v>47</v>
      </c>
      <c r="F282" s="10">
        <v>66.2</v>
      </c>
      <c r="G282" s="1">
        <v>28</v>
      </c>
      <c r="H282" s="10">
        <v>86.3</v>
      </c>
      <c r="I282" s="1">
        <v>16</v>
      </c>
      <c r="J282" s="10">
        <v>66.7</v>
      </c>
      <c r="K282" s="1">
        <v>2</v>
      </c>
      <c r="L282" s="10">
        <v>56</v>
      </c>
      <c r="M282" s="1">
        <v>10</v>
      </c>
      <c r="N282" s="10">
        <v>311.39999999999998</v>
      </c>
      <c r="O282" s="1">
        <v>32</v>
      </c>
    </row>
    <row r="283" spans="1:15">
      <c r="A283" s="1">
        <v>2023</v>
      </c>
      <c r="B283" s="9" t="s">
        <v>113</v>
      </c>
      <c r="C283" s="1" t="s">
        <v>183</v>
      </c>
      <c r="D283" s="10">
        <v>65.3</v>
      </c>
      <c r="E283" s="1">
        <v>33</v>
      </c>
      <c r="F283" s="10">
        <v>86.3</v>
      </c>
      <c r="G283" s="1">
        <v>4</v>
      </c>
      <c r="H283" s="10">
        <v>84</v>
      </c>
      <c r="I283" s="1">
        <v>20</v>
      </c>
      <c r="J283" s="10">
        <v>48.1</v>
      </c>
      <c r="K283" s="1">
        <v>27</v>
      </c>
      <c r="L283" s="10">
        <v>52.5</v>
      </c>
      <c r="M283" s="1">
        <v>16</v>
      </c>
      <c r="N283" s="10">
        <v>336.3</v>
      </c>
      <c r="O283" s="1">
        <v>11</v>
      </c>
    </row>
    <row r="284" spans="1:15">
      <c r="A284" s="1">
        <v>2024</v>
      </c>
      <c r="B284" s="9" t="s">
        <v>21</v>
      </c>
      <c r="C284" s="1" t="s">
        <v>22</v>
      </c>
      <c r="D284" s="10">
        <v>67.3</v>
      </c>
      <c r="E284" s="1">
        <v>30</v>
      </c>
      <c r="F284" s="10">
        <v>71.400000000000006</v>
      </c>
      <c r="G284" s="1">
        <v>18</v>
      </c>
      <c r="H284" s="10">
        <v>59.6</v>
      </c>
      <c r="I284" s="1">
        <v>45</v>
      </c>
      <c r="J284" s="10">
        <v>47.8</v>
      </c>
      <c r="K284" s="1">
        <v>26</v>
      </c>
      <c r="L284" s="10">
        <v>50.5</v>
      </c>
      <c r="M284" s="1">
        <v>20</v>
      </c>
      <c r="N284" s="10">
        <v>296.5</v>
      </c>
      <c r="O284" s="1">
        <v>39</v>
      </c>
    </row>
    <row r="285" spans="1:15">
      <c r="A285" s="1">
        <v>2024</v>
      </c>
      <c r="B285" s="9" t="s">
        <v>23</v>
      </c>
      <c r="C285" s="1" t="s">
        <v>138</v>
      </c>
      <c r="D285" s="10">
        <v>71</v>
      </c>
      <c r="E285" s="1">
        <v>24</v>
      </c>
      <c r="F285" s="10">
        <v>76.7</v>
      </c>
      <c r="G285" s="1">
        <v>15</v>
      </c>
      <c r="H285" s="10">
        <v>48.3</v>
      </c>
      <c r="I285" s="1">
        <v>46</v>
      </c>
      <c r="J285" s="10">
        <v>40</v>
      </c>
      <c r="K285" s="1">
        <v>45</v>
      </c>
      <c r="L285" s="10">
        <v>56.7</v>
      </c>
      <c r="M285" s="1">
        <v>11</v>
      </c>
      <c r="N285" s="10">
        <v>292.7</v>
      </c>
      <c r="O285" s="1">
        <v>43</v>
      </c>
    </row>
    <row r="286" spans="1:15">
      <c r="A286" s="1">
        <v>2024</v>
      </c>
      <c r="B286" s="9" t="s">
        <v>25</v>
      </c>
      <c r="C286" s="1" t="s">
        <v>139</v>
      </c>
      <c r="D286" s="10">
        <v>74.900000000000006</v>
      </c>
      <c r="E286" s="1">
        <v>16</v>
      </c>
      <c r="F286" s="10">
        <v>65.900000000000006</v>
      </c>
      <c r="G286" s="1">
        <v>29</v>
      </c>
      <c r="H286" s="10">
        <v>79.3</v>
      </c>
      <c r="I286" s="1">
        <v>24</v>
      </c>
      <c r="J286" s="10">
        <v>48.5</v>
      </c>
      <c r="K286" s="1">
        <v>24</v>
      </c>
      <c r="L286" s="10">
        <v>61.9</v>
      </c>
      <c r="M286" s="1">
        <v>6</v>
      </c>
      <c r="N286" s="10">
        <v>330.5</v>
      </c>
      <c r="O286" s="1">
        <v>15</v>
      </c>
    </row>
    <row r="287" spans="1:15">
      <c r="A287" s="1">
        <v>2024</v>
      </c>
      <c r="B287" s="9" t="s">
        <v>27</v>
      </c>
      <c r="C287" s="1" t="s">
        <v>140</v>
      </c>
      <c r="D287" s="10">
        <v>74.099999999999994</v>
      </c>
      <c r="E287" s="1">
        <v>17</v>
      </c>
      <c r="F287" s="10">
        <v>77</v>
      </c>
      <c r="G287" s="1">
        <v>13</v>
      </c>
      <c r="H287" s="10">
        <v>60.5</v>
      </c>
      <c r="I287" s="1">
        <v>43</v>
      </c>
      <c r="J287" s="10">
        <v>49.4</v>
      </c>
      <c r="K287" s="1">
        <v>21</v>
      </c>
      <c r="L287" s="10">
        <v>58.6</v>
      </c>
      <c r="M287" s="1">
        <v>10</v>
      </c>
      <c r="N287" s="10">
        <v>319.60000000000002</v>
      </c>
      <c r="O287" s="1">
        <v>21</v>
      </c>
    </row>
    <row r="288" spans="1:15">
      <c r="A288" s="1">
        <v>2024</v>
      </c>
      <c r="B288" s="9" t="s">
        <v>29</v>
      </c>
      <c r="C288" s="1" t="s">
        <v>141</v>
      </c>
      <c r="D288" s="10">
        <v>69.900000000000006</v>
      </c>
      <c r="E288" s="1">
        <v>28</v>
      </c>
      <c r="F288" s="10">
        <v>77.8</v>
      </c>
      <c r="G288" s="1">
        <v>12</v>
      </c>
      <c r="H288" s="10">
        <v>93.1</v>
      </c>
      <c r="I288" s="1">
        <v>9</v>
      </c>
      <c r="J288" s="10">
        <v>44.5</v>
      </c>
      <c r="K288" s="1">
        <v>37</v>
      </c>
      <c r="L288" s="10">
        <v>56.7</v>
      </c>
      <c r="M288" s="1">
        <v>12</v>
      </c>
      <c r="N288" s="10">
        <v>341.9</v>
      </c>
      <c r="O288" s="1">
        <v>8</v>
      </c>
    </row>
    <row r="289" spans="1:15">
      <c r="A289" s="1">
        <v>2024</v>
      </c>
      <c r="B289" s="9" t="s">
        <v>31</v>
      </c>
      <c r="C289" s="1" t="s">
        <v>142</v>
      </c>
      <c r="D289" s="10">
        <v>88.7</v>
      </c>
      <c r="E289" s="1">
        <v>1</v>
      </c>
      <c r="F289" s="10">
        <v>78.8</v>
      </c>
      <c r="G289" s="1">
        <v>9</v>
      </c>
      <c r="H289" s="10">
        <v>75.5</v>
      </c>
      <c r="I289" s="1">
        <v>30</v>
      </c>
      <c r="J289" s="10">
        <v>45</v>
      </c>
      <c r="K289" s="1">
        <v>33</v>
      </c>
      <c r="L289" s="10">
        <v>61.6</v>
      </c>
      <c r="M289" s="1">
        <v>7</v>
      </c>
      <c r="N289" s="10">
        <v>349.6</v>
      </c>
      <c r="O289" s="1">
        <v>4</v>
      </c>
    </row>
    <row r="290" spans="1:15">
      <c r="A290" s="1">
        <v>2024</v>
      </c>
      <c r="B290" s="9" t="s">
        <v>33</v>
      </c>
      <c r="C290" s="1" t="s">
        <v>143</v>
      </c>
      <c r="D290" s="10">
        <v>76</v>
      </c>
      <c r="E290" s="1">
        <v>13</v>
      </c>
      <c r="F290" s="10">
        <v>66.400000000000006</v>
      </c>
      <c r="G290" s="1">
        <v>27</v>
      </c>
      <c r="H290" s="10">
        <v>84.6</v>
      </c>
      <c r="I290" s="1">
        <v>17</v>
      </c>
      <c r="J290" s="10">
        <v>46.7</v>
      </c>
      <c r="K290" s="1">
        <v>30</v>
      </c>
      <c r="L290" s="10">
        <v>63.1</v>
      </c>
      <c r="M290" s="1">
        <v>4</v>
      </c>
      <c r="N290" s="10">
        <v>336.8</v>
      </c>
      <c r="O290" s="1">
        <v>11</v>
      </c>
    </row>
    <row r="291" spans="1:15">
      <c r="A291" s="1">
        <v>2024</v>
      </c>
      <c r="B291" s="9" t="s">
        <v>35</v>
      </c>
      <c r="C291" s="1" t="s">
        <v>144</v>
      </c>
      <c r="D291" s="10">
        <v>70.900000000000006</v>
      </c>
      <c r="E291" s="1">
        <v>25</v>
      </c>
      <c r="F291" s="10">
        <v>62.1</v>
      </c>
      <c r="G291" s="1">
        <v>38</v>
      </c>
      <c r="H291" s="10">
        <v>63.7</v>
      </c>
      <c r="I291" s="1">
        <v>42</v>
      </c>
      <c r="J291" s="10">
        <v>43.1</v>
      </c>
      <c r="K291" s="1">
        <v>42</v>
      </c>
      <c r="L291" s="10">
        <v>50.2</v>
      </c>
      <c r="M291" s="1">
        <v>22</v>
      </c>
      <c r="N291" s="10">
        <v>290.10000000000002</v>
      </c>
      <c r="O291" s="1">
        <v>44</v>
      </c>
    </row>
    <row r="292" spans="1:15">
      <c r="A292" s="1">
        <v>2024</v>
      </c>
      <c r="B292" s="9" t="s">
        <v>37</v>
      </c>
      <c r="C292" s="1" t="s">
        <v>145</v>
      </c>
      <c r="D292" s="10">
        <v>74.900000000000006</v>
      </c>
      <c r="E292" s="1">
        <v>15</v>
      </c>
      <c r="F292" s="10">
        <v>67.400000000000006</v>
      </c>
      <c r="G292" s="1">
        <v>23</v>
      </c>
      <c r="H292" s="10">
        <v>85.9</v>
      </c>
      <c r="I292" s="1">
        <v>13</v>
      </c>
      <c r="J292" s="10">
        <v>57.6</v>
      </c>
      <c r="K292" s="1">
        <v>8</v>
      </c>
      <c r="L292" s="10">
        <v>35.1</v>
      </c>
      <c r="M292" s="1">
        <v>47</v>
      </c>
      <c r="N292" s="10">
        <v>320.89999999999998</v>
      </c>
      <c r="O292" s="1">
        <v>20</v>
      </c>
    </row>
    <row r="293" spans="1:15">
      <c r="A293" s="1">
        <v>2024</v>
      </c>
      <c r="B293" s="9" t="s">
        <v>39</v>
      </c>
      <c r="C293" s="1" t="s">
        <v>146</v>
      </c>
      <c r="D293" s="10">
        <v>65.599999999999994</v>
      </c>
      <c r="E293" s="1">
        <v>32</v>
      </c>
      <c r="F293" s="10">
        <v>59.4</v>
      </c>
      <c r="G293" s="1">
        <v>42</v>
      </c>
      <c r="H293" s="10">
        <v>72.599999999999994</v>
      </c>
      <c r="I293" s="1">
        <v>34</v>
      </c>
      <c r="J293" s="10">
        <v>39.1</v>
      </c>
      <c r="K293" s="1">
        <v>46</v>
      </c>
      <c r="L293" s="10">
        <v>45.7</v>
      </c>
      <c r="M293" s="1">
        <v>31</v>
      </c>
      <c r="N293" s="10">
        <v>282.39999999999998</v>
      </c>
      <c r="O293" s="1">
        <v>46</v>
      </c>
    </row>
    <row r="294" spans="1:15">
      <c r="A294" s="1">
        <v>2024</v>
      </c>
      <c r="B294" s="9" t="s">
        <v>41</v>
      </c>
      <c r="C294" s="1" t="s">
        <v>147</v>
      </c>
      <c r="D294" s="10">
        <v>64.3</v>
      </c>
      <c r="E294" s="1">
        <v>34</v>
      </c>
      <c r="F294" s="10">
        <v>61</v>
      </c>
      <c r="G294" s="1">
        <v>40</v>
      </c>
      <c r="H294" s="10">
        <v>76.099999999999994</v>
      </c>
      <c r="I294" s="1">
        <v>28</v>
      </c>
      <c r="J294" s="10">
        <v>47.5</v>
      </c>
      <c r="K294" s="1">
        <v>27</v>
      </c>
      <c r="L294" s="10">
        <v>48.6</v>
      </c>
      <c r="M294" s="1">
        <v>27</v>
      </c>
      <c r="N294" s="10">
        <v>297.60000000000002</v>
      </c>
      <c r="O294" s="1">
        <v>38</v>
      </c>
    </row>
    <row r="295" spans="1:15">
      <c r="A295" s="1">
        <v>2024</v>
      </c>
      <c r="B295" s="9" t="s">
        <v>43</v>
      </c>
      <c r="C295" s="1" t="s">
        <v>148</v>
      </c>
      <c r="D295" s="10">
        <v>71.400000000000006</v>
      </c>
      <c r="E295" s="1">
        <v>23</v>
      </c>
      <c r="F295" s="10">
        <v>67.5</v>
      </c>
      <c r="G295" s="1">
        <v>22</v>
      </c>
      <c r="H295" s="10">
        <v>72.7</v>
      </c>
      <c r="I295" s="1">
        <v>33</v>
      </c>
      <c r="J295" s="10">
        <v>44.6</v>
      </c>
      <c r="K295" s="1">
        <v>36</v>
      </c>
      <c r="L295" s="10">
        <v>44.3</v>
      </c>
      <c r="M295" s="1">
        <v>35</v>
      </c>
      <c r="N295" s="10">
        <v>300.7</v>
      </c>
      <c r="O295" s="1">
        <v>37</v>
      </c>
    </row>
    <row r="296" spans="1:15">
      <c r="A296" s="1">
        <v>2024</v>
      </c>
      <c r="B296" s="9" t="s">
        <v>45</v>
      </c>
      <c r="C296" s="1" t="s">
        <v>149</v>
      </c>
      <c r="D296" s="10">
        <v>58.2</v>
      </c>
      <c r="E296" s="1">
        <v>43</v>
      </c>
      <c r="F296" s="10">
        <v>68.3</v>
      </c>
      <c r="G296" s="1">
        <v>21</v>
      </c>
      <c r="H296" s="10">
        <v>93.8</v>
      </c>
      <c r="I296" s="1">
        <v>8</v>
      </c>
      <c r="J296" s="10">
        <v>50.8</v>
      </c>
      <c r="K296" s="1">
        <v>19</v>
      </c>
      <c r="L296" s="10">
        <v>42.4</v>
      </c>
      <c r="M296" s="1">
        <v>38</v>
      </c>
      <c r="N296" s="10">
        <v>313.39999999999998</v>
      </c>
      <c r="O296" s="1">
        <v>26</v>
      </c>
    </row>
    <row r="297" spans="1:15">
      <c r="A297" s="1">
        <v>2024</v>
      </c>
      <c r="B297" s="9" t="s">
        <v>47</v>
      </c>
      <c r="C297" s="1" t="s">
        <v>150</v>
      </c>
      <c r="D297" s="10">
        <v>70.099999999999994</v>
      </c>
      <c r="E297" s="1">
        <v>27</v>
      </c>
      <c r="F297" s="10">
        <v>61.2</v>
      </c>
      <c r="G297" s="1">
        <v>39</v>
      </c>
      <c r="H297" s="10">
        <v>70.3</v>
      </c>
      <c r="I297" s="1">
        <v>35</v>
      </c>
      <c r="J297" s="10">
        <v>48.8</v>
      </c>
      <c r="K297" s="1">
        <v>22</v>
      </c>
      <c r="L297" s="10">
        <v>45.5</v>
      </c>
      <c r="M297" s="1">
        <v>33</v>
      </c>
      <c r="N297" s="10">
        <v>296</v>
      </c>
      <c r="O297" s="1">
        <v>40</v>
      </c>
    </row>
    <row r="298" spans="1:15">
      <c r="A298" s="1">
        <v>2024</v>
      </c>
      <c r="B298" s="9" t="s">
        <v>49</v>
      </c>
      <c r="C298" s="1" t="s">
        <v>151</v>
      </c>
      <c r="D298" s="10">
        <v>81.400000000000006</v>
      </c>
      <c r="E298" s="1">
        <v>4</v>
      </c>
      <c r="F298" s="10">
        <v>83.1</v>
      </c>
      <c r="G298" s="1">
        <v>4</v>
      </c>
      <c r="H298" s="10">
        <v>122</v>
      </c>
      <c r="I298" s="1">
        <v>1</v>
      </c>
      <c r="J298" s="10">
        <v>68.5</v>
      </c>
      <c r="K298" s="1">
        <v>1</v>
      </c>
      <c r="L298" s="10">
        <v>63.1</v>
      </c>
      <c r="M298" s="1">
        <v>3</v>
      </c>
      <c r="N298" s="10">
        <v>418.1</v>
      </c>
      <c r="O298" s="1">
        <v>1</v>
      </c>
    </row>
    <row r="299" spans="1:15">
      <c r="A299" s="1">
        <v>2024</v>
      </c>
      <c r="B299" s="9" t="s">
        <v>51</v>
      </c>
      <c r="C299" s="1" t="s">
        <v>152</v>
      </c>
      <c r="D299" s="10">
        <v>82.1</v>
      </c>
      <c r="E299" s="1">
        <v>3</v>
      </c>
      <c r="F299" s="10">
        <v>62.6</v>
      </c>
      <c r="G299" s="1">
        <v>36</v>
      </c>
      <c r="H299" s="10">
        <v>74.5</v>
      </c>
      <c r="I299" s="1">
        <v>31</v>
      </c>
      <c r="J299" s="10">
        <v>57.3</v>
      </c>
      <c r="K299" s="1">
        <v>9</v>
      </c>
      <c r="L299" s="10">
        <v>49.4</v>
      </c>
      <c r="M299" s="1">
        <v>25</v>
      </c>
      <c r="N299" s="10">
        <v>325.89999999999998</v>
      </c>
      <c r="O299" s="1">
        <v>18</v>
      </c>
    </row>
    <row r="300" spans="1:15">
      <c r="A300" s="1">
        <v>2024</v>
      </c>
      <c r="B300" s="9" t="s">
        <v>53</v>
      </c>
      <c r="C300" s="1" t="s">
        <v>153</v>
      </c>
      <c r="D300" s="10">
        <v>80.900000000000006</v>
      </c>
      <c r="E300" s="1">
        <v>6</v>
      </c>
      <c r="F300" s="10">
        <v>73.2</v>
      </c>
      <c r="G300" s="1">
        <v>16</v>
      </c>
      <c r="H300" s="10">
        <v>85.4</v>
      </c>
      <c r="I300" s="1">
        <v>16</v>
      </c>
      <c r="J300" s="10">
        <v>50.9</v>
      </c>
      <c r="K300" s="1">
        <v>18</v>
      </c>
      <c r="L300" s="10">
        <v>55.9</v>
      </c>
      <c r="M300" s="1">
        <v>13</v>
      </c>
      <c r="N300" s="10">
        <v>346.3</v>
      </c>
      <c r="O300" s="1">
        <v>5</v>
      </c>
    </row>
    <row r="301" spans="1:15">
      <c r="A301" s="1">
        <v>2024</v>
      </c>
      <c r="B301" s="9" t="s">
        <v>55</v>
      </c>
      <c r="C301" s="1" t="s">
        <v>154</v>
      </c>
      <c r="D301" s="10">
        <v>83.1</v>
      </c>
      <c r="E301" s="1">
        <v>2</v>
      </c>
      <c r="F301" s="10">
        <v>64.7</v>
      </c>
      <c r="G301" s="1">
        <v>30</v>
      </c>
      <c r="H301" s="10">
        <v>70.2</v>
      </c>
      <c r="I301" s="1">
        <v>36</v>
      </c>
      <c r="J301" s="10">
        <v>41.6</v>
      </c>
      <c r="K301" s="1">
        <v>44</v>
      </c>
      <c r="L301" s="10">
        <v>52.1</v>
      </c>
      <c r="M301" s="1">
        <v>18</v>
      </c>
      <c r="N301" s="10">
        <v>311.60000000000002</v>
      </c>
      <c r="O301" s="1">
        <v>29</v>
      </c>
    </row>
    <row r="302" spans="1:15">
      <c r="A302" s="1">
        <v>2024</v>
      </c>
      <c r="B302" s="9" t="s">
        <v>57</v>
      </c>
      <c r="C302" s="1" t="s">
        <v>155</v>
      </c>
      <c r="D302" s="10">
        <v>78</v>
      </c>
      <c r="E302" s="1">
        <v>8</v>
      </c>
      <c r="F302" s="10">
        <v>84.4</v>
      </c>
      <c r="G302" s="1">
        <v>3</v>
      </c>
      <c r="H302" s="10">
        <v>70</v>
      </c>
      <c r="I302" s="1">
        <v>37</v>
      </c>
      <c r="J302" s="10">
        <v>53.5</v>
      </c>
      <c r="K302" s="1">
        <v>12</v>
      </c>
      <c r="L302" s="10">
        <v>50.9</v>
      </c>
      <c r="M302" s="1">
        <v>19</v>
      </c>
      <c r="N302" s="10">
        <v>336.9</v>
      </c>
      <c r="O302" s="1">
        <v>10</v>
      </c>
    </row>
    <row r="303" spans="1:15">
      <c r="A303" s="1">
        <v>2024</v>
      </c>
      <c r="B303" s="9" t="s">
        <v>59</v>
      </c>
      <c r="C303" s="1" t="s">
        <v>156</v>
      </c>
      <c r="D303" s="10">
        <v>74</v>
      </c>
      <c r="E303" s="1">
        <v>18</v>
      </c>
      <c r="F303" s="10">
        <v>56.6</v>
      </c>
      <c r="G303" s="1">
        <v>45</v>
      </c>
      <c r="H303" s="10">
        <v>82.2</v>
      </c>
      <c r="I303" s="1">
        <v>21</v>
      </c>
      <c r="J303" s="10">
        <v>47.1</v>
      </c>
      <c r="K303" s="1">
        <v>28</v>
      </c>
      <c r="L303" s="10">
        <v>45.7</v>
      </c>
      <c r="M303" s="1">
        <v>32</v>
      </c>
      <c r="N303" s="10">
        <v>305.60000000000002</v>
      </c>
      <c r="O303" s="1">
        <v>34</v>
      </c>
    </row>
    <row r="304" spans="1:15">
      <c r="A304" s="1">
        <v>2024</v>
      </c>
      <c r="B304" s="9" t="s">
        <v>61</v>
      </c>
      <c r="C304" s="1" t="s">
        <v>157</v>
      </c>
      <c r="D304" s="10">
        <v>67.2</v>
      </c>
      <c r="E304" s="1">
        <v>31</v>
      </c>
      <c r="F304" s="10">
        <v>76.7</v>
      </c>
      <c r="G304" s="1">
        <v>14</v>
      </c>
      <c r="H304" s="10">
        <v>97.8</v>
      </c>
      <c r="I304" s="1">
        <v>6</v>
      </c>
      <c r="J304" s="10">
        <v>47</v>
      </c>
      <c r="K304" s="1">
        <v>29</v>
      </c>
      <c r="L304" s="10">
        <v>63.2</v>
      </c>
      <c r="M304" s="1">
        <v>2</v>
      </c>
      <c r="N304" s="10">
        <v>351.9</v>
      </c>
      <c r="O304" s="1">
        <v>3</v>
      </c>
    </row>
    <row r="305" spans="1:15">
      <c r="A305" s="1">
        <v>2024</v>
      </c>
      <c r="B305" s="9" t="s">
        <v>63</v>
      </c>
      <c r="C305" s="1" t="s">
        <v>158</v>
      </c>
      <c r="D305" s="10">
        <v>78</v>
      </c>
      <c r="E305" s="1">
        <v>9</v>
      </c>
      <c r="F305" s="10">
        <v>67</v>
      </c>
      <c r="G305" s="1">
        <v>25</v>
      </c>
      <c r="H305" s="10">
        <v>99.3</v>
      </c>
      <c r="I305" s="1">
        <v>4</v>
      </c>
      <c r="J305" s="10">
        <v>51.7</v>
      </c>
      <c r="K305" s="1">
        <v>17</v>
      </c>
      <c r="L305" s="10">
        <v>49.6</v>
      </c>
      <c r="M305" s="1">
        <v>24</v>
      </c>
      <c r="N305" s="10">
        <v>345.6</v>
      </c>
      <c r="O305" s="1">
        <v>6</v>
      </c>
    </row>
    <row r="306" spans="1:15">
      <c r="A306" s="1">
        <v>2024</v>
      </c>
      <c r="B306" s="9" t="s">
        <v>65</v>
      </c>
      <c r="C306" s="1" t="s">
        <v>159</v>
      </c>
      <c r="D306" s="10">
        <v>61.1</v>
      </c>
      <c r="E306" s="1">
        <v>38</v>
      </c>
      <c r="F306" s="10">
        <v>64.400000000000006</v>
      </c>
      <c r="G306" s="1">
        <v>31</v>
      </c>
      <c r="H306" s="10">
        <v>73.099999999999994</v>
      </c>
      <c r="I306" s="1">
        <v>32</v>
      </c>
      <c r="J306" s="10">
        <v>44.3</v>
      </c>
      <c r="K306" s="1">
        <v>38</v>
      </c>
      <c r="L306" s="10">
        <v>52.2</v>
      </c>
      <c r="M306" s="1">
        <v>17</v>
      </c>
      <c r="N306" s="10">
        <v>295.10000000000002</v>
      </c>
      <c r="O306" s="1">
        <v>41</v>
      </c>
    </row>
    <row r="307" spans="1:15">
      <c r="A307" s="1">
        <v>2024</v>
      </c>
      <c r="B307" s="9" t="s">
        <v>67</v>
      </c>
      <c r="C307" s="1" t="s">
        <v>160</v>
      </c>
      <c r="D307" s="10">
        <v>71.900000000000006</v>
      </c>
      <c r="E307" s="1">
        <v>21</v>
      </c>
      <c r="F307" s="10">
        <v>67.099999999999994</v>
      </c>
      <c r="G307" s="1">
        <v>24</v>
      </c>
      <c r="H307" s="10">
        <v>83.4</v>
      </c>
      <c r="I307" s="1">
        <v>19</v>
      </c>
      <c r="J307" s="10">
        <v>45.3</v>
      </c>
      <c r="K307" s="1">
        <v>32</v>
      </c>
      <c r="L307" s="10">
        <v>40.299999999999997</v>
      </c>
      <c r="M307" s="1">
        <v>42</v>
      </c>
      <c r="N307" s="10">
        <v>308</v>
      </c>
      <c r="O307" s="1">
        <v>32</v>
      </c>
    </row>
    <row r="308" spans="1:15">
      <c r="A308" s="1">
        <v>2024</v>
      </c>
      <c r="B308" s="9" t="s">
        <v>69</v>
      </c>
      <c r="C308" s="1" t="s">
        <v>161</v>
      </c>
      <c r="D308" s="10">
        <v>77.7</v>
      </c>
      <c r="E308" s="1">
        <v>12</v>
      </c>
      <c r="F308" s="10">
        <v>54.2</v>
      </c>
      <c r="G308" s="1">
        <v>47</v>
      </c>
      <c r="H308" s="10">
        <v>85.9</v>
      </c>
      <c r="I308" s="1">
        <v>14</v>
      </c>
      <c r="J308" s="10">
        <v>39.1</v>
      </c>
      <c r="K308" s="1">
        <v>47</v>
      </c>
      <c r="L308" s="10">
        <v>55.2</v>
      </c>
      <c r="M308" s="1">
        <v>14</v>
      </c>
      <c r="N308" s="10">
        <v>312</v>
      </c>
      <c r="O308" s="1">
        <v>27</v>
      </c>
    </row>
    <row r="309" spans="1:15">
      <c r="A309" s="1">
        <v>2024</v>
      </c>
      <c r="B309" s="9" t="s">
        <v>71</v>
      </c>
      <c r="C309" s="1" t="s">
        <v>162</v>
      </c>
      <c r="D309" s="10">
        <v>71.599999999999994</v>
      </c>
      <c r="E309" s="1">
        <v>22</v>
      </c>
      <c r="F309" s="10">
        <v>63.8</v>
      </c>
      <c r="G309" s="1">
        <v>33</v>
      </c>
      <c r="H309" s="10">
        <v>86.2</v>
      </c>
      <c r="I309" s="1">
        <v>12</v>
      </c>
      <c r="J309" s="10">
        <v>43.3</v>
      </c>
      <c r="K309" s="1">
        <v>41</v>
      </c>
      <c r="L309" s="10">
        <v>44.3</v>
      </c>
      <c r="M309" s="1">
        <v>36</v>
      </c>
      <c r="N309" s="10">
        <v>309.10000000000002</v>
      </c>
      <c r="O309" s="1">
        <v>31</v>
      </c>
    </row>
    <row r="310" spans="1:15">
      <c r="A310" s="1">
        <v>2024</v>
      </c>
      <c r="B310" s="9" t="s">
        <v>73</v>
      </c>
      <c r="C310" s="1" t="s">
        <v>163</v>
      </c>
      <c r="D310" s="10">
        <v>56.9</v>
      </c>
      <c r="E310" s="1">
        <v>44</v>
      </c>
      <c r="F310" s="10">
        <v>56.5</v>
      </c>
      <c r="G310" s="1">
        <v>46</v>
      </c>
      <c r="H310" s="10">
        <v>88.9</v>
      </c>
      <c r="I310" s="1">
        <v>10</v>
      </c>
      <c r="J310" s="10">
        <v>48.6</v>
      </c>
      <c r="K310" s="1">
        <v>23</v>
      </c>
      <c r="L310" s="10">
        <v>43.2</v>
      </c>
      <c r="M310" s="1">
        <v>37</v>
      </c>
      <c r="N310" s="10">
        <v>294.2</v>
      </c>
      <c r="O310" s="1">
        <v>42</v>
      </c>
    </row>
    <row r="311" spans="1:15">
      <c r="A311" s="1">
        <v>2024</v>
      </c>
      <c r="B311" s="9" t="s">
        <v>75</v>
      </c>
      <c r="C311" s="1" t="s">
        <v>164</v>
      </c>
      <c r="D311" s="10">
        <v>62.6</v>
      </c>
      <c r="E311" s="1">
        <v>37</v>
      </c>
      <c r="F311" s="10">
        <v>60.5</v>
      </c>
      <c r="G311" s="1">
        <v>41</v>
      </c>
      <c r="H311" s="10">
        <v>85.5</v>
      </c>
      <c r="I311" s="1">
        <v>15</v>
      </c>
      <c r="J311" s="10">
        <v>47.9</v>
      </c>
      <c r="K311" s="1">
        <v>25</v>
      </c>
      <c r="L311" s="10">
        <v>48.7</v>
      </c>
      <c r="M311" s="1">
        <v>26</v>
      </c>
      <c r="N311" s="10">
        <v>305.2</v>
      </c>
      <c r="O311" s="1">
        <v>35</v>
      </c>
    </row>
    <row r="312" spans="1:15">
      <c r="A312" s="1">
        <v>2024</v>
      </c>
      <c r="B312" s="9" t="s">
        <v>77</v>
      </c>
      <c r="C312" s="1" t="s">
        <v>165</v>
      </c>
      <c r="D312" s="10">
        <v>72.2</v>
      </c>
      <c r="E312" s="1">
        <v>20</v>
      </c>
      <c r="F312" s="10">
        <v>66.099999999999994</v>
      </c>
      <c r="G312" s="1">
        <v>28</v>
      </c>
      <c r="H312" s="10">
        <v>114.6</v>
      </c>
      <c r="I312" s="1">
        <v>3</v>
      </c>
      <c r="J312" s="10">
        <v>53.4</v>
      </c>
      <c r="K312" s="1">
        <v>13</v>
      </c>
      <c r="L312" s="10">
        <v>35.4</v>
      </c>
      <c r="M312" s="1">
        <v>46</v>
      </c>
      <c r="N312" s="10">
        <v>341.7</v>
      </c>
      <c r="O312" s="1">
        <v>9</v>
      </c>
    </row>
    <row r="313" spans="1:15">
      <c r="A313" s="1">
        <v>2024</v>
      </c>
      <c r="B313" s="9" t="s">
        <v>79</v>
      </c>
      <c r="C313" s="1" t="s">
        <v>166</v>
      </c>
      <c r="D313" s="10">
        <v>81.2</v>
      </c>
      <c r="E313" s="1">
        <v>5</v>
      </c>
      <c r="F313" s="10">
        <v>58.2</v>
      </c>
      <c r="G313" s="1">
        <v>43</v>
      </c>
      <c r="H313" s="10">
        <v>99.2</v>
      </c>
      <c r="I313" s="1">
        <v>5</v>
      </c>
      <c r="J313" s="10">
        <v>56.1</v>
      </c>
      <c r="K313" s="1">
        <v>10</v>
      </c>
      <c r="L313" s="10">
        <v>41.1</v>
      </c>
      <c r="M313" s="1">
        <v>41</v>
      </c>
      <c r="N313" s="10">
        <v>335.8</v>
      </c>
      <c r="O313" s="1">
        <v>12</v>
      </c>
    </row>
    <row r="314" spans="1:15">
      <c r="A314" s="1">
        <v>2024</v>
      </c>
      <c r="B314" s="9" t="s">
        <v>81</v>
      </c>
      <c r="C314" s="1" t="s">
        <v>167</v>
      </c>
      <c r="D314" s="10">
        <v>78.3</v>
      </c>
      <c r="E314" s="1">
        <v>7</v>
      </c>
      <c r="F314" s="10">
        <v>78.2</v>
      </c>
      <c r="G314" s="1">
        <v>10</v>
      </c>
      <c r="H314" s="10">
        <v>63.8</v>
      </c>
      <c r="I314" s="1">
        <v>41</v>
      </c>
      <c r="J314" s="10">
        <v>45.8</v>
      </c>
      <c r="K314" s="1">
        <v>31</v>
      </c>
      <c r="L314" s="10">
        <v>41.6</v>
      </c>
      <c r="M314" s="1">
        <v>40</v>
      </c>
      <c r="N314" s="10">
        <v>307.7</v>
      </c>
      <c r="O314" s="1">
        <v>33</v>
      </c>
    </row>
    <row r="315" spans="1:15">
      <c r="A315" s="1">
        <v>2024</v>
      </c>
      <c r="B315" s="9" t="s">
        <v>83</v>
      </c>
      <c r="C315" s="1" t="s">
        <v>168</v>
      </c>
      <c r="D315" s="10">
        <v>77.7</v>
      </c>
      <c r="E315" s="1">
        <v>11</v>
      </c>
      <c r="F315" s="10">
        <v>117.1</v>
      </c>
      <c r="G315" s="1">
        <v>1</v>
      </c>
      <c r="H315" s="10">
        <v>84</v>
      </c>
      <c r="I315" s="1">
        <v>18</v>
      </c>
      <c r="J315" s="10">
        <v>42.4</v>
      </c>
      <c r="K315" s="1">
        <v>43</v>
      </c>
      <c r="L315" s="10">
        <v>62.9</v>
      </c>
      <c r="M315" s="1">
        <v>5</v>
      </c>
      <c r="N315" s="10">
        <v>384.1</v>
      </c>
      <c r="O315" s="1">
        <v>2</v>
      </c>
    </row>
    <row r="316" spans="1:15">
      <c r="A316" s="1">
        <v>2024</v>
      </c>
      <c r="B316" s="9" t="s">
        <v>85</v>
      </c>
      <c r="C316" s="1" t="s">
        <v>169</v>
      </c>
      <c r="D316" s="10">
        <v>72.7</v>
      </c>
      <c r="E316" s="1">
        <v>19</v>
      </c>
      <c r="F316" s="10">
        <v>78</v>
      </c>
      <c r="G316" s="1">
        <v>11</v>
      </c>
      <c r="H316" s="10">
        <v>60.2</v>
      </c>
      <c r="I316" s="1">
        <v>44</v>
      </c>
      <c r="J316" s="10">
        <v>61.6</v>
      </c>
      <c r="K316" s="1">
        <v>5</v>
      </c>
      <c r="L316" s="10">
        <v>44.5</v>
      </c>
      <c r="M316" s="1">
        <v>34</v>
      </c>
      <c r="N316" s="10">
        <v>317</v>
      </c>
      <c r="O316" s="1">
        <v>22</v>
      </c>
    </row>
    <row r="317" spans="1:15">
      <c r="A317" s="1">
        <v>2024</v>
      </c>
      <c r="B317" s="9" t="s">
        <v>87</v>
      </c>
      <c r="C317" s="1" t="s">
        <v>170</v>
      </c>
      <c r="D317" s="10">
        <v>67.599999999999994</v>
      </c>
      <c r="E317" s="1">
        <v>29</v>
      </c>
      <c r="F317" s="10">
        <v>68.7</v>
      </c>
      <c r="G317" s="1">
        <v>20</v>
      </c>
      <c r="H317" s="10">
        <v>82.3</v>
      </c>
      <c r="I317" s="1">
        <v>20</v>
      </c>
      <c r="J317" s="10">
        <v>44.7</v>
      </c>
      <c r="K317" s="1">
        <v>35</v>
      </c>
      <c r="L317" s="10">
        <v>50.2</v>
      </c>
      <c r="M317" s="1">
        <v>23</v>
      </c>
      <c r="N317" s="10">
        <v>313.5</v>
      </c>
      <c r="O317" s="1">
        <v>25</v>
      </c>
    </row>
    <row r="318" spans="1:15">
      <c r="A318" s="1">
        <v>2024</v>
      </c>
      <c r="B318" s="9" t="s">
        <v>89</v>
      </c>
      <c r="C318" s="1" t="s">
        <v>171</v>
      </c>
      <c r="D318" s="10">
        <v>77.900000000000006</v>
      </c>
      <c r="E318" s="1">
        <v>10</v>
      </c>
      <c r="F318" s="10">
        <v>62.5</v>
      </c>
      <c r="G318" s="1">
        <v>37</v>
      </c>
      <c r="H318" s="10">
        <v>63.9</v>
      </c>
      <c r="I318" s="1">
        <v>40</v>
      </c>
      <c r="J318" s="10">
        <v>44.2</v>
      </c>
      <c r="K318" s="1">
        <v>39</v>
      </c>
      <c r="L318" s="10">
        <v>54.5</v>
      </c>
      <c r="M318" s="1">
        <v>16</v>
      </c>
      <c r="N318" s="10">
        <v>303.10000000000002</v>
      </c>
      <c r="O318" s="1">
        <v>36</v>
      </c>
    </row>
    <row r="319" spans="1:15">
      <c r="A319" s="1">
        <v>2024</v>
      </c>
      <c r="B319" s="9" t="s">
        <v>91</v>
      </c>
      <c r="C319" s="1" t="s">
        <v>172</v>
      </c>
      <c r="D319" s="10">
        <v>52.4</v>
      </c>
      <c r="E319" s="1">
        <v>47</v>
      </c>
      <c r="F319" s="10">
        <v>79.2</v>
      </c>
      <c r="G319" s="1">
        <v>8</v>
      </c>
      <c r="H319" s="10">
        <v>118.8</v>
      </c>
      <c r="I319" s="1">
        <v>2</v>
      </c>
      <c r="J319" s="10">
        <v>43.7</v>
      </c>
      <c r="K319" s="1">
        <v>40</v>
      </c>
      <c r="L319" s="10">
        <v>37.1</v>
      </c>
      <c r="M319" s="1">
        <v>44</v>
      </c>
      <c r="N319" s="10">
        <v>331.2</v>
      </c>
      <c r="O319" s="1">
        <v>14</v>
      </c>
    </row>
    <row r="320" spans="1:15">
      <c r="A320" s="1">
        <v>2024</v>
      </c>
      <c r="B320" s="9" t="s">
        <v>93</v>
      </c>
      <c r="C320" s="1" t="s">
        <v>173</v>
      </c>
      <c r="D320" s="10">
        <v>70.8</v>
      </c>
      <c r="E320" s="1">
        <v>26</v>
      </c>
      <c r="F320" s="10">
        <v>80.8</v>
      </c>
      <c r="G320" s="1">
        <v>6</v>
      </c>
      <c r="H320" s="10">
        <v>78.099999999999994</v>
      </c>
      <c r="I320" s="1">
        <v>26</v>
      </c>
      <c r="J320" s="10">
        <v>53.1</v>
      </c>
      <c r="K320" s="1">
        <v>14</v>
      </c>
      <c r="L320" s="10">
        <v>41.7</v>
      </c>
      <c r="M320" s="1">
        <v>39</v>
      </c>
      <c r="N320" s="10">
        <v>324.5</v>
      </c>
      <c r="O320" s="1">
        <v>19</v>
      </c>
    </row>
    <row r="321" spans="1:15">
      <c r="A321" s="1">
        <v>2024</v>
      </c>
      <c r="B321" s="9" t="s">
        <v>95</v>
      </c>
      <c r="C321" s="1" t="s">
        <v>174</v>
      </c>
      <c r="D321" s="10">
        <v>60.4</v>
      </c>
      <c r="E321" s="1">
        <v>41</v>
      </c>
      <c r="F321" s="10">
        <v>66.7</v>
      </c>
      <c r="G321" s="1">
        <v>26</v>
      </c>
      <c r="H321" s="10">
        <v>68.400000000000006</v>
      </c>
      <c r="I321" s="1">
        <v>38</v>
      </c>
      <c r="J321" s="10">
        <v>49.4</v>
      </c>
      <c r="K321" s="1">
        <v>20</v>
      </c>
      <c r="L321" s="10">
        <v>36.799999999999997</v>
      </c>
      <c r="M321" s="1">
        <v>45</v>
      </c>
      <c r="N321" s="10">
        <v>281.7</v>
      </c>
      <c r="O321" s="1">
        <v>47</v>
      </c>
    </row>
    <row r="322" spans="1:15">
      <c r="A322" s="1">
        <v>2024</v>
      </c>
      <c r="B322" s="9" t="s">
        <v>97</v>
      </c>
      <c r="C322" s="1" t="s">
        <v>175</v>
      </c>
      <c r="D322" s="10">
        <v>75</v>
      </c>
      <c r="E322" s="1">
        <v>14</v>
      </c>
      <c r="F322" s="10">
        <v>64.3</v>
      </c>
      <c r="G322" s="1">
        <v>32</v>
      </c>
      <c r="H322" s="10">
        <v>38.799999999999997</v>
      </c>
      <c r="I322" s="1">
        <v>47</v>
      </c>
      <c r="J322" s="10">
        <v>67.400000000000006</v>
      </c>
      <c r="K322" s="1">
        <v>2</v>
      </c>
      <c r="L322" s="10">
        <v>38.1</v>
      </c>
      <c r="M322" s="1">
        <v>43</v>
      </c>
      <c r="N322" s="10">
        <v>283.5</v>
      </c>
      <c r="O322" s="1">
        <v>45</v>
      </c>
    </row>
    <row r="323" spans="1:15">
      <c r="A323" s="1">
        <v>2024</v>
      </c>
      <c r="B323" s="9" t="s">
        <v>99</v>
      </c>
      <c r="C323" s="1" t="s">
        <v>176</v>
      </c>
      <c r="D323" s="10">
        <v>63.5</v>
      </c>
      <c r="E323" s="1">
        <v>35</v>
      </c>
      <c r="F323" s="10">
        <v>72</v>
      </c>
      <c r="G323" s="1">
        <v>17</v>
      </c>
      <c r="H323" s="10">
        <v>76</v>
      </c>
      <c r="I323" s="1">
        <v>29</v>
      </c>
      <c r="J323" s="10">
        <v>53.6</v>
      </c>
      <c r="K323" s="1">
        <v>11</v>
      </c>
      <c r="L323" s="10">
        <v>46.9</v>
      </c>
      <c r="M323" s="1">
        <v>30</v>
      </c>
      <c r="N323" s="10">
        <v>312</v>
      </c>
      <c r="O323" s="1">
        <v>28</v>
      </c>
    </row>
    <row r="324" spans="1:15">
      <c r="A324" s="1">
        <v>2024</v>
      </c>
      <c r="B324" s="9" t="s">
        <v>101</v>
      </c>
      <c r="C324" s="1" t="s">
        <v>177</v>
      </c>
      <c r="D324" s="10">
        <v>60.4</v>
      </c>
      <c r="E324" s="1">
        <v>40</v>
      </c>
      <c r="F324" s="10">
        <v>69.3</v>
      </c>
      <c r="G324" s="1">
        <v>19</v>
      </c>
      <c r="H324" s="10">
        <v>80.599999999999994</v>
      </c>
      <c r="I324" s="1">
        <v>23</v>
      </c>
      <c r="J324" s="10">
        <v>62.4</v>
      </c>
      <c r="K324" s="1">
        <v>4</v>
      </c>
      <c r="L324" s="10">
        <v>59.1</v>
      </c>
      <c r="M324" s="1">
        <v>9</v>
      </c>
      <c r="N324" s="10">
        <v>331.8</v>
      </c>
      <c r="O324" s="1">
        <v>13</v>
      </c>
    </row>
    <row r="325" spans="1:15">
      <c r="A325" s="1">
        <v>2024</v>
      </c>
      <c r="B325" s="9" t="s">
        <v>103</v>
      </c>
      <c r="C325" s="1" t="s">
        <v>178</v>
      </c>
      <c r="D325" s="10">
        <v>54.5</v>
      </c>
      <c r="E325" s="1">
        <v>45</v>
      </c>
      <c r="F325" s="10">
        <v>63.4</v>
      </c>
      <c r="G325" s="1">
        <v>34</v>
      </c>
      <c r="H325" s="10">
        <v>81.7</v>
      </c>
      <c r="I325" s="1">
        <v>22</v>
      </c>
      <c r="J325" s="10">
        <v>63.5</v>
      </c>
      <c r="K325" s="1">
        <v>3</v>
      </c>
      <c r="L325" s="10">
        <v>47.8</v>
      </c>
      <c r="M325" s="1">
        <v>29</v>
      </c>
      <c r="N325" s="10">
        <v>310.8</v>
      </c>
      <c r="O325" s="1">
        <v>30</v>
      </c>
    </row>
    <row r="326" spans="1:15">
      <c r="A326" s="1">
        <v>2024</v>
      </c>
      <c r="B326" s="9" t="s">
        <v>105</v>
      </c>
      <c r="C326" s="1" t="s">
        <v>179</v>
      </c>
      <c r="D326" s="10">
        <v>63.4</v>
      </c>
      <c r="E326" s="1">
        <v>36</v>
      </c>
      <c r="F326" s="10">
        <v>80.5</v>
      </c>
      <c r="G326" s="1">
        <v>7</v>
      </c>
      <c r="H326" s="10">
        <v>68.099999999999994</v>
      </c>
      <c r="I326" s="1">
        <v>39</v>
      </c>
      <c r="J326" s="10">
        <v>52.5</v>
      </c>
      <c r="K326" s="1">
        <v>15</v>
      </c>
      <c r="L326" s="10">
        <v>50.3</v>
      </c>
      <c r="M326" s="1">
        <v>21</v>
      </c>
      <c r="N326" s="10">
        <v>314.8</v>
      </c>
      <c r="O326" s="1">
        <v>23</v>
      </c>
    </row>
    <row r="327" spans="1:15">
      <c r="A327" s="1">
        <v>2024</v>
      </c>
      <c r="B327" s="9" t="s">
        <v>107</v>
      </c>
      <c r="C327" s="1" t="s">
        <v>180</v>
      </c>
      <c r="D327" s="10">
        <v>54.2</v>
      </c>
      <c r="E327" s="1">
        <v>46</v>
      </c>
      <c r="F327" s="10">
        <v>87.6</v>
      </c>
      <c r="G327" s="1">
        <v>2</v>
      </c>
      <c r="H327" s="10">
        <v>78</v>
      </c>
      <c r="I327" s="1">
        <v>27</v>
      </c>
      <c r="J327" s="10">
        <v>59.4</v>
      </c>
      <c r="K327" s="1">
        <v>7</v>
      </c>
      <c r="L327" s="10">
        <v>48.5</v>
      </c>
      <c r="M327" s="1">
        <v>28</v>
      </c>
      <c r="N327" s="10">
        <v>327.7</v>
      </c>
      <c r="O327" s="1">
        <v>16</v>
      </c>
    </row>
    <row r="328" spans="1:15">
      <c r="A328" s="1">
        <v>2024</v>
      </c>
      <c r="B328" s="9" t="s">
        <v>109</v>
      </c>
      <c r="C328" s="1" t="s">
        <v>181</v>
      </c>
      <c r="D328" s="10">
        <v>60.9</v>
      </c>
      <c r="E328" s="1">
        <v>39</v>
      </c>
      <c r="F328" s="10">
        <v>63.2</v>
      </c>
      <c r="G328" s="1">
        <v>35</v>
      </c>
      <c r="H328" s="10">
        <v>97.5</v>
      </c>
      <c r="I328" s="1">
        <v>7</v>
      </c>
      <c r="J328" s="10">
        <v>44.9</v>
      </c>
      <c r="K328" s="1">
        <v>34</v>
      </c>
      <c r="L328" s="10">
        <v>59.4</v>
      </c>
      <c r="M328" s="1">
        <v>8</v>
      </c>
      <c r="N328" s="10">
        <v>326</v>
      </c>
      <c r="O328" s="1">
        <v>17</v>
      </c>
    </row>
    <row r="329" spans="1:15">
      <c r="A329" s="1">
        <v>2024</v>
      </c>
      <c r="B329" s="9" t="s">
        <v>111</v>
      </c>
      <c r="C329" s="1" t="s">
        <v>182</v>
      </c>
      <c r="D329" s="10">
        <v>64.5</v>
      </c>
      <c r="E329" s="1">
        <v>33</v>
      </c>
      <c r="F329" s="10">
        <v>56.7</v>
      </c>
      <c r="G329" s="1">
        <v>44</v>
      </c>
      <c r="H329" s="10">
        <v>86.5</v>
      </c>
      <c r="I329" s="1">
        <v>11</v>
      </c>
      <c r="J329" s="10">
        <v>52</v>
      </c>
      <c r="K329" s="1">
        <v>16</v>
      </c>
      <c r="L329" s="10">
        <v>55</v>
      </c>
      <c r="M329" s="1">
        <v>15</v>
      </c>
      <c r="N329" s="10">
        <v>314.60000000000002</v>
      </c>
      <c r="O329" s="1">
        <v>24</v>
      </c>
    </row>
    <row r="330" spans="1:15">
      <c r="A330" s="1">
        <v>2024</v>
      </c>
      <c r="B330" s="9" t="s">
        <v>113</v>
      </c>
      <c r="C330" s="1" t="s">
        <v>183</v>
      </c>
      <c r="D330" s="10">
        <v>58.7</v>
      </c>
      <c r="E330" s="1">
        <v>42</v>
      </c>
      <c r="F330" s="10">
        <v>82.1</v>
      </c>
      <c r="G330" s="1">
        <v>5</v>
      </c>
      <c r="H330" s="10">
        <v>78.8</v>
      </c>
      <c r="I330" s="1">
        <v>25</v>
      </c>
      <c r="J330" s="10">
        <v>60.4</v>
      </c>
      <c r="K330" s="1">
        <v>6</v>
      </c>
      <c r="L330" s="10">
        <v>64.400000000000006</v>
      </c>
      <c r="M330" s="1">
        <v>1</v>
      </c>
      <c r="N330" s="10">
        <v>344.5</v>
      </c>
      <c r="O330" s="1">
        <v>7</v>
      </c>
    </row>
  </sheetData>
  <autoFilter ref="A1:O1" xr:uid="{9D614F23-529D-4E11-8772-5702506101A5}"/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68A0-FF33-4185-B7EA-9BBB110A400B}">
  <dimension ref="A1:AF330"/>
  <sheetViews>
    <sheetView tabSelected="1" zoomScaleNormal="100" workbookViewId="0">
      <pane xSplit="3" ySplit="1" topLeftCell="D11" activePane="bottomRight" state="frozen"/>
      <selection pane="bottomRight" activeCell="BK57" sqref="BK57"/>
      <selection pane="bottomLeft" activeCell="D330" sqref="D330"/>
      <selection pane="topRight" activeCell="D330" sqref="D330"/>
    </sheetView>
  </sheetViews>
  <sheetFormatPr defaultRowHeight="18"/>
  <cols>
    <col min="2" max="2" width="8.625" style="11"/>
    <col min="4" max="4" width="8.625" style="12"/>
    <col min="6" max="6" width="8.625" style="12"/>
    <col min="8" max="8" width="8.625" style="12"/>
    <col min="10" max="10" width="8.625" style="12"/>
    <col min="12" max="12" width="8.625" style="12"/>
    <col min="19" max="19" width="10.125" bestFit="1" customWidth="1"/>
    <col min="21" max="21" width="10.125" bestFit="1" customWidth="1"/>
  </cols>
  <sheetData>
    <row r="1" spans="1:32" s="13" customFormat="1" ht="90">
      <c r="A1" s="6" t="s">
        <v>123</v>
      </c>
      <c r="B1" s="7" t="s">
        <v>124</v>
      </c>
      <c r="C1" s="6" t="s">
        <v>125</v>
      </c>
      <c r="D1" s="8" t="s">
        <v>126</v>
      </c>
      <c r="E1" s="6" t="s">
        <v>127</v>
      </c>
      <c r="F1" s="8" t="s">
        <v>128</v>
      </c>
      <c r="G1" s="6" t="s">
        <v>129</v>
      </c>
      <c r="H1" s="8" t="s">
        <v>130</v>
      </c>
      <c r="I1" s="6" t="s">
        <v>131</v>
      </c>
      <c r="J1" s="8" t="s">
        <v>132</v>
      </c>
      <c r="K1" s="6" t="s">
        <v>133</v>
      </c>
      <c r="L1" s="8" t="s">
        <v>134</v>
      </c>
      <c r="M1" s="6" t="s">
        <v>135</v>
      </c>
      <c r="N1" s="8" t="s">
        <v>184</v>
      </c>
      <c r="O1" s="8" t="s">
        <v>185</v>
      </c>
      <c r="P1" s="8" t="s">
        <v>130</v>
      </c>
      <c r="Q1" s="8" t="s">
        <v>132</v>
      </c>
      <c r="R1" s="8" t="s">
        <v>134</v>
      </c>
      <c r="S1" s="17" t="s">
        <v>186</v>
      </c>
      <c r="T1" s="17" t="s">
        <v>187</v>
      </c>
      <c r="U1" s="17" t="s">
        <v>188</v>
      </c>
      <c r="V1" s="17" t="s">
        <v>189</v>
      </c>
      <c r="W1" s="17" t="s">
        <v>190</v>
      </c>
      <c r="X1" s="18" t="s">
        <v>191</v>
      </c>
      <c r="Y1" s="18" t="s">
        <v>192</v>
      </c>
      <c r="Z1" s="19" t="s">
        <v>193</v>
      </c>
      <c r="AA1" s="20" t="s">
        <v>194</v>
      </c>
      <c r="AB1" s="20" t="s">
        <v>195</v>
      </c>
      <c r="AC1" s="18" t="s">
        <v>196</v>
      </c>
      <c r="AD1" s="18" t="s">
        <v>197</v>
      </c>
    </row>
    <row r="2" spans="1:32">
      <c r="A2" s="1">
        <v>2018</v>
      </c>
      <c r="B2" s="9" t="s">
        <v>21</v>
      </c>
      <c r="C2" s="1" t="s">
        <v>22</v>
      </c>
      <c r="D2" s="10">
        <v>45.6</v>
      </c>
      <c r="E2" s="1">
        <v>43</v>
      </c>
      <c r="F2" s="10">
        <v>9.6999999999999993</v>
      </c>
      <c r="G2" s="1">
        <v>44</v>
      </c>
      <c r="H2" s="10">
        <v>32.5</v>
      </c>
      <c r="I2" s="1">
        <v>30</v>
      </c>
      <c r="J2" s="10">
        <v>9.6</v>
      </c>
      <c r="K2" s="1">
        <v>42</v>
      </c>
      <c r="L2" s="10">
        <v>76.599999999999994</v>
      </c>
      <c r="M2" s="1">
        <v>11</v>
      </c>
      <c r="N2" s="1"/>
      <c r="O2" s="1"/>
      <c r="P2" s="1"/>
      <c r="Q2" s="1"/>
      <c r="R2" s="1"/>
      <c r="S2" s="2">
        <v>200328.13842484597</v>
      </c>
      <c r="T2" s="2">
        <v>63191.903068920721</v>
      </c>
      <c r="U2" s="2">
        <v>112323.35697301815</v>
      </c>
      <c r="V2" s="2">
        <v>20528.229833526268</v>
      </c>
      <c r="W2" s="2">
        <v>4284.6485493808104</v>
      </c>
      <c r="X2" s="2">
        <v>8101.2156058804112</v>
      </c>
      <c r="Y2" s="2">
        <v>23206.538448812094</v>
      </c>
      <c r="Z2" s="2">
        <v>10011.968771458161</v>
      </c>
      <c r="AA2" s="2">
        <v>2923.4700744090992</v>
      </c>
      <c r="AB2" s="2">
        <v>7544.9319117587984</v>
      </c>
      <c r="AC2" s="2">
        <v>31.1</v>
      </c>
      <c r="AD2" s="2">
        <v>1775.8</v>
      </c>
      <c r="AE2" s="24"/>
    </row>
    <row r="3" spans="1:32">
      <c r="A3" s="1">
        <v>2018</v>
      </c>
      <c r="B3" s="9" t="s">
        <v>23</v>
      </c>
      <c r="C3" s="1" t="s">
        <v>138</v>
      </c>
      <c r="D3" s="10">
        <v>53.1</v>
      </c>
      <c r="E3" s="1">
        <v>24</v>
      </c>
      <c r="F3" s="10">
        <v>21.6</v>
      </c>
      <c r="G3" s="1">
        <v>19</v>
      </c>
      <c r="H3" s="10">
        <v>34</v>
      </c>
      <c r="I3" s="1">
        <v>6</v>
      </c>
      <c r="J3" s="10">
        <v>9.6</v>
      </c>
      <c r="K3" s="1">
        <v>41</v>
      </c>
      <c r="L3" s="10">
        <v>77.7</v>
      </c>
      <c r="M3" s="1">
        <v>8</v>
      </c>
      <c r="N3" s="1"/>
      <c r="O3" s="1"/>
      <c r="P3" s="1"/>
      <c r="Q3" s="1"/>
      <c r="R3" s="1"/>
      <c r="S3" s="2">
        <v>183584.04864537908</v>
      </c>
      <c r="T3" s="2">
        <v>50845.923199383411</v>
      </c>
      <c r="U3" s="2">
        <v>111752.0528067376</v>
      </c>
      <c r="V3" s="2">
        <v>17539.418609567245</v>
      </c>
      <c r="W3" s="2">
        <v>3446.6540296908506</v>
      </c>
      <c r="X3" s="2">
        <v>6228.4656975080106</v>
      </c>
      <c r="Y3" s="2">
        <v>25714.879262786231</v>
      </c>
      <c r="Z3" s="2">
        <v>12247.943340750253</v>
      </c>
      <c r="AA3" s="2">
        <v>3190.8701904564145</v>
      </c>
      <c r="AB3" s="2">
        <v>7988.3622758857182</v>
      </c>
      <c r="AC3" s="2">
        <v>30.8</v>
      </c>
      <c r="AD3" s="2">
        <v>1366.2</v>
      </c>
      <c r="AE3" s="24"/>
      <c r="AF3" s="26" t="s">
        <v>198</v>
      </c>
    </row>
    <row r="4" spans="1:32">
      <c r="A4" s="1">
        <v>2018</v>
      </c>
      <c r="B4" s="9" t="s">
        <v>25</v>
      </c>
      <c r="C4" s="1" t="s">
        <v>139</v>
      </c>
      <c r="D4" s="10">
        <v>53.7</v>
      </c>
      <c r="E4" s="1">
        <v>21</v>
      </c>
      <c r="F4" s="10">
        <v>17.600000000000001</v>
      </c>
      <c r="G4" s="1">
        <v>30</v>
      </c>
      <c r="H4" s="10">
        <v>30.8</v>
      </c>
      <c r="I4" s="1">
        <v>46</v>
      </c>
      <c r="J4" s="10">
        <v>11.2</v>
      </c>
      <c r="K4" s="1">
        <v>6</v>
      </c>
      <c r="L4" s="10">
        <v>80.7</v>
      </c>
      <c r="M4" s="1">
        <v>3</v>
      </c>
      <c r="N4" s="1"/>
      <c r="O4" s="1"/>
      <c r="P4" s="1"/>
      <c r="Q4" s="1"/>
      <c r="R4" s="1"/>
      <c r="S4" s="2">
        <v>180918.61114933717</v>
      </c>
      <c r="T4" s="2">
        <v>50928.679134681646</v>
      </c>
      <c r="U4" s="2">
        <v>107802.0992245356</v>
      </c>
      <c r="V4" s="2">
        <v>18324.028057547461</v>
      </c>
      <c r="W4" s="2">
        <v>3863.804732572471</v>
      </c>
      <c r="X4" s="2">
        <v>6540.3978249683278</v>
      </c>
      <c r="Y4" s="2">
        <v>24283.541441139751</v>
      </c>
      <c r="Z4" s="2">
        <v>11535.901970565395</v>
      </c>
      <c r="AA4" s="2">
        <v>3148.6519196458557</v>
      </c>
      <c r="AB4" s="2">
        <v>7526.7807714292294</v>
      </c>
      <c r="AC4" s="2">
        <v>29.7</v>
      </c>
      <c r="AD4" s="2">
        <v>1376.4</v>
      </c>
      <c r="AE4" s="24"/>
    </row>
    <row r="5" spans="1:32">
      <c r="A5" s="1">
        <v>2018</v>
      </c>
      <c r="B5" s="9" t="s">
        <v>27</v>
      </c>
      <c r="C5" s="1" t="s">
        <v>140</v>
      </c>
      <c r="D5" s="10">
        <v>58.2</v>
      </c>
      <c r="E5" s="1">
        <v>10</v>
      </c>
      <c r="F5" s="10">
        <v>27.2</v>
      </c>
      <c r="G5" s="1">
        <v>6</v>
      </c>
      <c r="H5" s="10">
        <v>33.5</v>
      </c>
      <c r="I5" s="1">
        <v>15</v>
      </c>
      <c r="J5" s="10">
        <v>10.6</v>
      </c>
      <c r="K5" s="1">
        <v>19</v>
      </c>
      <c r="L5" s="10">
        <v>78</v>
      </c>
      <c r="M5" s="1">
        <v>5</v>
      </c>
      <c r="N5" s="1"/>
      <c r="O5" s="1"/>
      <c r="P5" s="1"/>
      <c r="Q5" s="1"/>
      <c r="R5" s="1"/>
      <c r="S5" s="2">
        <v>186421.82995245687</v>
      </c>
      <c r="T5" s="2">
        <v>51405.359141418579</v>
      </c>
      <c r="U5" s="2">
        <v>112299.01727242164</v>
      </c>
      <c r="V5" s="2">
        <v>18218.806653428881</v>
      </c>
      <c r="W5" s="2">
        <v>4498.6468851877698</v>
      </c>
      <c r="X5" s="2">
        <v>6601.4962766218014</v>
      </c>
      <c r="Y5" s="2">
        <v>24977.514865600337</v>
      </c>
      <c r="Z5" s="2">
        <v>12058.216957990388</v>
      </c>
      <c r="AA5" s="2">
        <v>3470.8319062502501</v>
      </c>
      <c r="AB5" s="2">
        <v>7403.4664689629972</v>
      </c>
      <c r="AC5" s="2">
        <v>24.4</v>
      </c>
      <c r="AD5" s="2">
        <v>1099.4000000000001</v>
      </c>
      <c r="AE5" s="24"/>
    </row>
    <row r="6" spans="1:32">
      <c r="A6" s="1">
        <v>2018</v>
      </c>
      <c r="B6" s="9" t="s">
        <v>29</v>
      </c>
      <c r="C6" s="1" t="s">
        <v>141</v>
      </c>
      <c r="D6" s="10">
        <v>51.7</v>
      </c>
      <c r="E6" s="1">
        <v>30</v>
      </c>
      <c r="F6" s="10">
        <v>29.5</v>
      </c>
      <c r="G6" s="1">
        <v>3</v>
      </c>
      <c r="H6" s="10">
        <v>31.5</v>
      </c>
      <c r="I6" s="1">
        <v>44</v>
      </c>
      <c r="J6" s="10">
        <v>10.7</v>
      </c>
      <c r="K6" s="1">
        <v>14</v>
      </c>
      <c r="L6" s="10">
        <v>76.2</v>
      </c>
      <c r="M6" s="1">
        <v>14</v>
      </c>
      <c r="N6" s="1"/>
      <c r="O6" s="1"/>
      <c r="P6" s="1"/>
      <c r="Q6" s="1"/>
      <c r="R6" s="1"/>
      <c r="S6" s="2">
        <v>201895.20689506727</v>
      </c>
      <c r="T6" s="2">
        <v>59700.083611445218</v>
      </c>
      <c r="U6" s="2">
        <v>118296.64468769089</v>
      </c>
      <c r="V6" s="2">
        <v>19756.071306650236</v>
      </c>
      <c r="W6" s="2">
        <v>4142.4072892809208</v>
      </c>
      <c r="X6" s="2">
        <v>6739.7889806382664</v>
      </c>
      <c r="Y6" s="2">
        <v>25547.624212939318</v>
      </c>
      <c r="Z6" s="2">
        <v>12097.667606322755</v>
      </c>
      <c r="AA6" s="2">
        <v>3823.2138641895599</v>
      </c>
      <c r="AB6" s="2">
        <v>7313.9411571739547</v>
      </c>
      <c r="AC6" s="2">
        <v>30.9</v>
      </c>
      <c r="AD6" s="2">
        <v>1516.2</v>
      </c>
      <c r="AE6" s="24"/>
    </row>
    <row r="7" spans="1:32">
      <c r="A7" s="1">
        <v>2018</v>
      </c>
      <c r="B7" s="9" t="s">
        <v>31</v>
      </c>
      <c r="C7" s="1" t="s">
        <v>142</v>
      </c>
      <c r="D7" s="10">
        <v>71.900000000000006</v>
      </c>
      <c r="E7" s="1">
        <v>1</v>
      </c>
      <c r="F7" s="10">
        <v>28.3</v>
      </c>
      <c r="G7" s="1">
        <v>5</v>
      </c>
      <c r="H7" s="10">
        <v>31.8</v>
      </c>
      <c r="I7" s="1">
        <v>39</v>
      </c>
      <c r="J7" s="10">
        <v>10.4</v>
      </c>
      <c r="K7" s="1">
        <v>22</v>
      </c>
      <c r="L7" s="10">
        <v>78.3</v>
      </c>
      <c r="M7" s="1">
        <v>4</v>
      </c>
      <c r="N7" s="1"/>
      <c r="O7" s="1"/>
      <c r="P7" s="1"/>
      <c r="Q7" s="1"/>
      <c r="R7" s="1"/>
      <c r="S7" s="2">
        <v>187418.28125584536</v>
      </c>
      <c r="T7" s="2">
        <v>53041.724981840809</v>
      </c>
      <c r="U7" s="2">
        <v>112224.63063992414</v>
      </c>
      <c r="V7" s="2">
        <v>18428.092385926142</v>
      </c>
      <c r="W7" s="2">
        <v>3723.8332481542407</v>
      </c>
      <c r="X7" s="2">
        <v>5834.3728891314995</v>
      </c>
      <c r="Y7" s="2">
        <v>25132.778631424117</v>
      </c>
      <c r="Z7" s="2">
        <v>12383.792353263161</v>
      </c>
      <c r="AA7" s="2">
        <v>4242.7469348034283</v>
      </c>
      <c r="AB7" s="2">
        <v>6403.3534582607481</v>
      </c>
      <c r="AC7" s="2">
        <v>27.1</v>
      </c>
      <c r="AD7" s="2">
        <v>1315.8</v>
      </c>
      <c r="AE7" s="24"/>
    </row>
    <row r="8" spans="1:32">
      <c r="A8" s="1">
        <v>2018</v>
      </c>
      <c r="B8" s="9" t="s">
        <v>33</v>
      </c>
      <c r="C8" s="1" t="s">
        <v>143</v>
      </c>
      <c r="D8" s="10">
        <v>54.3</v>
      </c>
      <c r="E8" s="1">
        <v>18</v>
      </c>
      <c r="F8" s="10">
        <v>24.9</v>
      </c>
      <c r="G8" s="1">
        <v>11</v>
      </c>
      <c r="H8" s="10">
        <v>33.5</v>
      </c>
      <c r="I8" s="1">
        <v>16</v>
      </c>
      <c r="J8" s="10">
        <v>9.8000000000000007</v>
      </c>
      <c r="K8" s="1">
        <v>36</v>
      </c>
      <c r="L8" s="10">
        <v>76</v>
      </c>
      <c r="M8" s="1">
        <v>17</v>
      </c>
      <c r="N8" s="1"/>
      <c r="O8" s="1"/>
      <c r="P8" s="1"/>
      <c r="Q8" s="1"/>
      <c r="R8" s="1"/>
      <c r="S8" s="2">
        <v>180158.69527141209</v>
      </c>
      <c r="T8" s="2">
        <v>50487.212900750892</v>
      </c>
      <c r="U8" s="2">
        <v>107946.44513942057</v>
      </c>
      <c r="V8" s="2">
        <v>17707.75390293372</v>
      </c>
      <c r="W8" s="2">
        <v>4017.2833283068953</v>
      </c>
      <c r="X8" s="2">
        <v>6007.8744403025921</v>
      </c>
      <c r="Y8" s="2">
        <v>24988.804591420612</v>
      </c>
      <c r="Z8" s="2">
        <v>12182.560375761455</v>
      </c>
      <c r="AA8" s="2">
        <v>3070.6954579289541</v>
      </c>
      <c r="AB8" s="2">
        <v>7601.4871074016537</v>
      </c>
      <c r="AC8" s="2">
        <v>28.3</v>
      </c>
      <c r="AD8" s="2">
        <v>1347.7</v>
      </c>
      <c r="AE8" s="24"/>
    </row>
    <row r="9" spans="1:32">
      <c r="A9" s="1">
        <v>2018</v>
      </c>
      <c r="B9" s="9" t="s">
        <v>35</v>
      </c>
      <c r="C9" s="1" t="s">
        <v>144</v>
      </c>
      <c r="D9" s="10">
        <v>52.7</v>
      </c>
      <c r="E9" s="1">
        <v>25</v>
      </c>
      <c r="F9" s="10">
        <v>18.7</v>
      </c>
      <c r="G9" s="1">
        <v>27</v>
      </c>
      <c r="H9" s="10">
        <v>31.7</v>
      </c>
      <c r="I9" s="1">
        <v>42</v>
      </c>
      <c r="J9" s="10">
        <v>11</v>
      </c>
      <c r="K9" s="1">
        <v>8</v>
      </c>
      <c r="L9" s="10">
        <v>73.5</v>
      </c>
      <c r="M9" s="1">
        <v>32</v>
      </c>
      <c r="N9" s="1"/>
      <c r="O9" s="1"/>
      <c r="P9" s="1"/>
      <c r="Q9" s="1"/>
      <c r="R9" s="1"/>
      <c r="S9" s="2">
        <v>173353.01744875067</v>
      </c>
      <c r="T9" s="2">
        <v>46261.680976787567</v>
      </c>
      <c r="U9" s="2">
        <v>105209.57425961045</v>
      </c>
      <c r="V9" s="2">
        <v>18282.891283398079</v>
      </c>
      <c r="W9" s="2">
        <v>3598.8709289545973</v>
      </c>
      <c r="X9" s="2">
        <v>6068.3295787985244</v>
      </c>
      <c r="Y9" s="2">
        <v>21607.896961390783</v>
      </c>
      <c r="Z9" s="2">
        <v>9712.3565859228893</v>
      </c>
      <c r="AA9" s="2">
        <v>2840.9785146133936</v>
      </c>
      <c r="AB9" s="2">
        <v>7096.773251589666</v>
      </c>
      <c r="AC9" s="2">
        <v>26.8</v>
      </c>
      <c r="AD9" s="2">
        <v>1072.5</v>
      </c>
      <c r="AE9" s="24"/>
    </row>
    <row r="10" spans="1:32">
      <c r="A10" s="1">
        <v>2018</v>
      </c>
      <c r="B10" s="9" t="s">
        <v>37</v>
      </c>
      <c r="C10" s="1" t="s">
        <v>145</v>
      </c>
      <c r="D10" s="10">
        <v>52.2</v>
      </c>
      <c r="E10" s="1">
        <v>26</v>
      </c>
      <c r="F10" s="10">
        <v>21.5</v>
      </c>
      <c r="G10" s="1">
        <v>21</v>
      </c>
      <c r="H10" s="10">
        <v>33</v>
      </c>
      <c r="I10" s="1">
        <v>23</v>
      </c>
      <c r="J10" s="10">
        <v>9.5</v>
      </c>
      <c r="K10" s="1">
        <v>43</v>
      </c>
      <c r="L10" s="10">
        <v>73.400000000000006</v>
      </c>
      <c r="M10" s="1">
        <v>33</v>
      </c>
      <c r="N10" s="1"/>
      <c r="O10" s="1"/>
      <c r="P10" s="1"/>
      <c r="Q10" s="1"/>
      <c r="R10" s="1"/>
      <c r="S10" s="2">
        <v>177157.54360052946</v>
      </c>
      <c r="T10" s="2">
        <v>46438.623140139905</v>
      </c>
      <c r="U10" s="2">
        <v>108328.47711437917</v>
      </c>
      <c r="V10" s="2">
        <v>17861.900325908216</v>
      </c>
      <c r="W10" s="2">
        <v>4528.5430201021745</v>
      </c>
      <c r="X10" s="2">
        <v>5948.5169410073922</v>
      </c>
      <c r="Y10" s="2">
        <v>21907.605418906503</v>
      </c>
      <c r="Z10" s="2">
        <v>10105.905573464106</v>
      </c>
      <c r="AA10" s="2">
        <v>3198.7728270266321</v>
      </c>
      <c r="AB10" s="2">
        <v>6667.7740783455865</v>
      </c>
      <c r="AC10" s="2">
        <v>29.2</v>
      </c>
      <c r="AD10" s="2">
        <v>1077.3</v>
      </c>
      <c r="AE10" s="24"/>
    </row>
    <row r="11" spans="1:32">
      <c r="A11" s="1">
        <v>2018</v>
      </c>
      <c r="B11" s="9" t="s">
        <v>39</v>
      </c>
      <c r="C11" s="1" t="s">
        <v>146</v>
      </c>
      <c r="D11" s="10">
        <v>49.4</v>
      </c>
      <c r="E11" s="1">
        <v>35</v>
      </c>
      <c r="F11" s="10">
        <v>12.5</v>
      </c>
      <c r="G11" s="1">
        <v>40</v>
      </c>
      <c r="H11" s="10">
        <v>31.9</v>
      </c>
      <c r="I11" s="1">
        <v>37</v>
      </c>
      <c r="J11" s="10">
        <v>11</v>
      </c>
      <c r="K11" s="1">
        <v>9</v>
      </c>
      <c r="L11" s="10">
        <v>75</v>
      </c>
      <c r="M11" s="1">
        <v>24</v>
      </c>
      <c r="N11" s="1"/>
      <c r="O11" s="1"/>
      <c r="P11" s="1"/>
      <c r="Q11" s="1"/>
      <c r="R11" s="1"/>
      <c r="S11" s="2">
        <v>174276.51116383472</v>
      </c>
      <c r="T11" s="2">
        <v>47982.377641172498</v>
      </c>
      <c r="U11" s="2">
        <v>103988.05813679103</v>
      </c>
      <c r="V11" s="2">
        <v>17748.75041894805</v>
      </c>
      <c r="W11" s="2">
        <v>4557.3249669231473</v>
      </c>
      <c r="X11" s="2">
        <v>5995.0741148097632</v>
      </c>
      <c r="Y11" s="2">
        <v>20526.547906792424</v>
      </c>
      <c r="Z11" s="2">
        <v>9079.2866231597927</v>
      </c>
      <c r="AA11" s="2">
        <v>2476.8747309892879</v>
      </c>
      <c r="AB11" s="2">
        <v>6890.3913651513531</v>
      </c>
      <c r="AC11" s="2">
        <v>27.2</v>
      </c>
      <c r="AD11" s="2">
        <v>1232.4000000000001</v>
      </c>
      <c r="AE11" s="24"/>
    </row>
    <row r="12" spans="1:32">
      <c r="A12" s="1">
        <v>2018</v>
      </c>
      <c r="B12" s="9" t="s">
        <v>41</v>
      </c>
      <c r="C12" s="1" t="s">
        <v>147</v>
      </c>
      <c r="D12" s="10">
        <v>43.1</v>
      </c>
      <c r="E12" s="1">
        <v>45</v>
      </c>
      <c r="F12" s="10">
        <v>9.1999999999999993</v>
      </c>
      <c r="G12" s="1">
        <v>45</v>
      </c>
      <c r="H12" s="10">
        <v>31.6</v>
      </c>
      <c r="I12" s="1">
        <v>43</v>
      </c>
      <c r="J12" s="10">
        <v>10.8</v>
      </c>
      <c r="K12" s="1">
        <v>11</v>
      </c>
      <c r="L12" s="10">
        <v>74.599999999999994</v>
      </c>
      <c r="M12" s="1">
        <v>27</v>
      </c>
      <c r="N12" s="1"/>
      <c r="O12" s="1"/>
      <c r="P12" s="1"/>
      <c r="Q12" s="1"/>
      <c r="R12" s="1"/>
      <c r="S12" s="2">
        <v>173420.95145355331</v>
      </c>
      <c r="T12" s="2">
        <v>46132.467781731641</v>
      </c>
      <c r="U12" s="2">
        <v>103391.76343718852</v>
      </c>
      <c r="V12" s="2">
        <v>18988.599985965739</v>
      </c>
      <c r="W12" s="2">
        <v>4908.1202486674101</v>
      </c>
      <c r="X12" s="2">
        <v>6208.0956790779292</v>
      </c>
      <c r="Y12" s="2">
        <v>20537.230287107515</v>
      </c>
      <c r="Z12" s="2">
        <v>9526.401068700332</v>
      </c>
      <c r="AA12" s="2">
        <v>2441.664110035877</v>
      </c>
      <c r="AB12" s="2">
        <v>6558.3746784946006</v>
      </c>
      <c r="AC12" s="2">
        <v>27.5</v>
      </c>
      <c r="AD12" s="2">
        <v>856.8</v>
      </c>
      <c r="AE12" s="24"/>
    </row>
    <row r="13" spans="1:32">
      <c r="A13" s="1">
        <v>2018</v>
      </c>
      <c r="B13" s="9" t="s">
        <v>43</v>
      </c>
      <c r="C13" s="1" t="s">
        <v>148</v>
      </c>
      <c r="D13" s="10">
        <v>43</v>
      </c>
      <c r="E13" s="1">
        <v>46</v>
      </c>
      <c r="F13" s="10">
        <v>17.8</v>
      </c>
      <c r="G13" s="1">
        <v>29</v>
      </c>
      <c r="H13" s="10">
        <v>33.299999999999997</v>
      </c>
      <c r="I13" s="1">
        <v>20</v>
      </c>
      <c r="J13" s="10">
        <v>9.8000000000000007</v>
      </c>
      <c r="K13" s="1">
        <v>37</v>
      </c>
      <c r="L13" s="10">
        <v>75</v>
      </c>
      <c r="M13" s="1">
        <v>23</v>
      </c>
      <c r="N13" s="1"/>
      <c r="O13" s="1"/>
      <c r="P13" s="1"/>
      <c r="Q13" s="1"/>
      <c r="R13" s="1"/>
      <c r="S13" s="2">
        <v>176894.05828610004</v>
      </c>
      <c r="T13" s="2">
        <v>47850.993305556854</v>
      </c>
      <c r="U13" s="2">
        <v>104961.47397385682</v>
      </c>
      <c r="V13" s="2">
        <v>19662.36822038086</v>
      </c>
      <c r="W13" s="2">
        <v>4419.2227863054914</v>
      </c>
      <c r="X13" s="2">
        <v>6803.5629210034904</v>
      </c>
      <c r="Y13" s="2">
        <v>21108.187310575067</v>
      </c>
      <c r="Z13" s="2">
        <v>9368.0256617207106</v>
      </c>
      <c r="AA13" s="2">
        <v>2648.6847392658187</v>
      </c>
      <c r="AB13" s="2">
        <v>7107.890769163705</v>
      </c>
      <c r="AC13" s="2">
        <v>25.5</v>
      </c>
      <c r="AD13" s="2">
        <v>954.4</v>
      </c>
      <c r="AE13" s="24"/>
    </row>
    <row r="14" spans="1:32">
      <c r="A14" s="1">
        <v>2018</v>
      </c>
      <c r="B14" s="9" t="s">
        <v>45</v>
      </c>
      <c r="C14" s="1" t="s">
        <v>149</v>
      </c>
      <c r="D14" s="10">
        <v>47.5</v>
      </c>
      <c r="E14" s="1">
        <v>39</v>
      </c>
      <c r="F14" s="10">
        <v>7.3</v>
      </c>
      <c r="G14" s="1">
        <v>46</v>
      </c>
      <c r="H14" s="10">
        <v>32.9</v>
      </c>
      <c r="I14" s="1">
        <v>24</v>
      </c>
      <c r="J14" s="10">
        <v>9.6999999999999993</v>
      </c>
      <c r="K14" s="1">
        <v>39</v>
      </c>
      <c r="L14" s="10">
        <v>73.099999999999994</v>
      </c>
      <c r="M14" s="1">
        <v>35</v>
      </c>
      <c r="N14" s="1"/>
      <c r="O14" s="1"/>
      <c r="P14" s="1"/>
      <c r="Q14" s="1"/>
      <c r="R14" s="1"/>
      <c r="S14" s="2">
        <v>176545.57551723442</v>
      </c>
      <c r="T14" s="2">
        <v>44900.862841260787</v>
      </c>
      <c r="U14" s="2">
        <v>106029.65103297262</v>
      </c>
      <c r="V14" s="2">
        <v>20488.230360131383</v>
      </c>
      <c r="W14" s="2">
        <v>5126.8312828696289</v>
      </c>
      <c r="X14" s="2">
        <v>5600.6469265243686</v>
      </c>
      <c r="Y14" s="2">
        <v>17865.11743432987</v>
      </c>
      <c r="Z14" s="2">
        <v>7830.0682590439046</v>
      </c>
      <c r="AA14" s="2">
        <v>2555.4815984544671</v>
      </c>
      <c r="AB14" s="2">
        <v>5668.2930703704787</v>
      </c>
      <c r="AC14" s="2">
        <v>21.8</v>
      </c>
      <c r="AD14" s="2">
        <v>927.4</v>
      </c>
      <c r="AE14" s="24"/>
    </row>
    <row r="15" spans="1:32">
      <c r="A15" s="1">
        <v>2018</v>
      </c>
      <c r="B15" s="9" t="s">
        <v>47</v>
      </c>
      <c r="C15" s="1" t="s">
        <v>150</v>
      </c>
      <c r="D15" s="10">
        <v>42.3</v>
      </c>
      <c r="E15" s="1">
        <v>47</v>
      </c>
      <c r="F15" s="10">
        <v>6.8</v>
      </c>
      <c r="G15" s="1">
        <v>47</v>
      </c>
      <c r="H15" s="10">
        <v>32.5</v>
      </c>
      <c r="I15" s="1">
        <v>32</v>
      </c>
      <c r="J15" s="10">
        <v>10.5</v>
      </c>
      <c r="K15" s="1">
        <v>20</v>
      </c>
      <c r="L15" s="10">
        <v>73.8</v>
      </c>
      <c r="M15" s="1">
        <v>30</v>
      </c>
      <c r="N15" s="1"/>
      <c r="O15" s="1"/>
      <c r="P15" s="1"/>
      <c r="Q15" s="1"/>
      <c r="R15" s="1"/>
      <c r="S15" s="2">
        <v>180117.83674599064</v>
      </c>
      <c r="T15" s="2">
        <v>47412.128186673639</v>
      </c>
      <c r="U15" s="2">
        <v>107754.64110093167</v>
      </c>
      <c r="V15" s="2">
        <v>20326.831093627701</v>
      </c>
      <c r="W15" s="2">
        <v>4624.2363647576294</v>
      </c>
      <c r="X15" s="2">
        <v>6375.384132953759</v>
      </c>
      <c r="Y15" s="2">
        <v>20026.082621548223</v>
      </c>
      <c r="Z15" s="2">
        <v>8746.5623795260744</v>
      </c>
      <c r="AA15" s="2">
        <v>2822.8043574296066</v>
      </c>
      <c r="AB15" s="2">
        <v>6475.9405661894752</v>
      </c>
      <c r="AC15" s="2">
        <v>21.8</v>
      </c>
      <c r="AD15" s="2">
        <v>811.4</v>
      </c>
      <c r="AE15" s="24"/>
    </row>
    <row r="16" spans="1:32">
      <c r="A16" s="1">
        <v>2018</v>
      </c>
      <c r="B16" s="9" t="s">
        <v>49</v>
      </c>
      <c r="C16" s="1" t="s">
        <v>151</v>
      </c>
      <c r="D16" s="10">
        <v>64.8</v>
      </c>
      <c r="E16" s="1">
        <v>2</v>
      </c>
      <c r="F16" s="10">
        <v>17.100000000000001</v>
      </c>
      <c r="G16" s="1">
        <v>33</v>
      </c>
      <c r="H16" s="10">
        <v>33.4</v>
      </c>
      <c r="I16" s="1">
        <v>17</v>
      </c>
      <c r="J16" s="10">
        <v>9.9</v>
      </c>
      <c r="K16" s="1">
        <v>34</v>
      </c>
      <c r="L16" s="10">
        <v>76.099999999999994</v>
      </c>
      <c r="M16" s="1">
        <v>16</v>
      </c>
      <c r="N16" s="1"/>
      <c r="O16" s="1"/>
      <c r="P16" s="1"/>
      <c r="Q16" s="1"/>
      <c r="R16" s="1"/>
      <c r="S16" s="2">
        <v>170367.91597181055</v>
      </c>
      <c r="T16" s="2">
        <v>46521.551824080649</v>
      </c>
      <c r="U16" s="2">
        <v>102125.89279983405</v>
      </c>
      <c r="V16" s="2">
        <v>18180.153734612719</v>
      </c>
      <c r="W16" s="2">
        <v>3540.3176132831254</v>
      </c>
      <c r="X16" s="2">
        <v>4787.460292757165</v>
      </c>
      <c r="Y16" s="2">
        <v>19392.177497480548</v>
      </c>
      <c r="Z16" s="2">
        <v>8646.0046159750673</v>
      </c>
      <c r="AA16" s="2">
        <v>3301.8484432892028</v>
      </c>
      <c r="AB16" s="2">
        <v>5640.1639798644683</v>
      </c>
      <c r="AC16" s="2">
        <v>30.6</v>
      </c>
      <c r="AD16" s="2">
        <v>1259.3</v>
      </c>
      <c r="AE16" s="24"/>
    </row>
    <row r="17" spans="1:32">
      <c r="A17" s="1">
        <v>2018</v>
      </c>
      <c r="B17" s="9" t="s">
        <v>51</v>
      </c>
      <c r="C17" s="1" t="s">
        <v>152</v>
      </c>
      <c r="D17" s="10">
        <v>64.099999999999994</v>
      </c>
      <c r="E17" s="1">
        <v>3</v>
      </c>
      <c r="F17" s="10">
        <v>25.8</v>
      </c>
      <c r="G17" s="1">
        <v>7</v>
      </c>
      <c r="H17" s="10">
        <v>31.5</v>
      </c>
      <c r="I17" s="1">
        <v>45</v>
      </c>
      <c r="J17" s="10">
        <v>10.6</v>
      </c>
      <c r="K17" s="1">
        <v>17</v>
      </c>
      <c r="L17" s="10">
        <v>75.599999999999994</v>
      </c>
      <c r="M17" s="1">
        <v>19</v>
      </c>
      <c r="N17" s="1"/>
      <c r="O17" s="1"/>
      <c r="P17" s="1"/>
      <c r="Q17" s="1"/>
      <c r="R17" s="1"/>
      <c r="S17" s="2">
        <v>170325.99193442581</v>
      </c>
      <c r="T17" s="2">
        <v>49060.545540172025</v>
      </c>
      <c r="U17" s="2">
        <v>99176.629878613516</v>
      </c>
      <c r="V17" s="2">
        <v>17544.699293419606</v>
      </c>
      <c r="W17" s="2">
        <v>4544.1172222206542</v>
      </c>
      <c r="X17" s="2">
        <v>5948.84001809658</v>
      </c>
      <c r="Y17" s="2">
        <v>19487.744108242969</v>
      </c>
      <c r="Z17" s="2">
        <v>8462.4095948350405</v>
      </c>
      <c r="AA17" s="2">
        <v>2786.0592214372987</v>
      </c>
      <c r="AB17" s="2">
        <v>6335.4506651751817</v>
      </c>
      <c r="AC17" s="2">
        <v>31.9</v>
      </c>
      <c r="AD17" s="2">
        <v>1560.9</v>
      </c>
      <c r="AE17" s="24"/>
    </row>
    <row r="18" spans="1:32">
      <c r="A18" s="1">
        <v>2018</v>
      </c>
      <c r="B18" s="9" t="s">
        <v>53</v>
      </c>
      <c r="C18" s="1" t="s">
        <v>153</v>
      </c>
      <c r="D18" s="10">
        <v>61.8</v>
      </c>
      <c r="E18" s="1">
        <v>6</v>
      </c>
      <c r="F18" s="10">
        <v>21.6</v>
      </c>
      <c r="G18" s="1">
        <v>20</v>
      </c>
      <c r="H18" s="10">
        <v>31.8</v>
      </c>
      <c r="I18" s="1">
        <v>38</v>
      </c>
      <c r="J18" s="10">
        <v>11.6</v>
      </c>
      <c r="K18" s="1">
        <v>5</v>
      </c>
      <c r="L18" s="10">
        <v>74.900000000000006</v>
      </c>
      <c r="M18" s="1">
        <v>25</v>
      </c>
      <c r="N18" s="1"/>
      <c r="O18" s="1"/>
      <c r="P18" s="1"/>
      <c r="Q18" s="1"/>
      <c r="R18" s="1"/>
      <c r="S18" s="2">
        <v>181402.31947230172</v>
      </c>
      <c r="T18" s="2">
        <v>54866.361039295109</v>
      </c>
      <c r="U18" s="2">
        <v>104564.34147841761</v>
      </c>
      <c r="V18" s="2">
        <v>17379.332641165824</v>
      </c>
      <c r="W18" s="2">
        <v>4592.2843134231771</v>
      </c>
      <c r="X18" s="2">
        <v>6504.5635187957032</v>
      </c>
      <c r="Y18" s="2">
        <v>20082.446608414368</v>
      </c>
      <c r="Z18" s="2">
        <v>8300.7448800876482</v>
      </c>
      <c r="AA18" s="2">
        <v>3034.1661665566248</v>
      </c>
      <c r="AB18" s="2">
        <v>6707.8590768164795</v>
      </c>
      <c r="AC18" s="2">
        <v>31.3</v>
      </c>
      <c r="AD18" s="2">
        <v>1556</v>
      </c>
      <c r="AE18" s="24"/>
    </row>
    <row r="19" spans="1:32">
      <c r="A19" s="1">
        <v>2018</v>
      </c>
      <c r="B19" s="9" t="s">
        <v>55</v>
      </c>
      <c r="C19" s="1" t="s">
        <v>154</v>
      </c>
      <c r="D19" s="10">
        <v>60</v>
      </c>
      <c r="E19" s="1">
        <v>7</v>
      </c>
      <c r="F19" s="10">
        <v>17.600000000000001</v>
      </c>
      <c r="G19" s="1">
        <v>31</v>
      </c>
      <c r="H19" s="10">
        <v>32.5</v>
      </c>
      <c r="I19" s="1">
        <v>33</v>
      </c>
      <c r="J19" s="10">
        <v>16.2</v>
      </c>
      <c r="K19" s="1">
        <v>1</v>
      </c>
      <c r="L19" s="10">
        <v>74.8</v>
      </c>
      <c r="M19" s="1">
        <v>26</v>
      </c>
      <c r="N19" s="1"/>
      <c r="O19" s="1"/>
      <c r="P19" s="1"/>
      <c r="Q19" s="1"/>
      <c r="R19" s="1"/>
      <c r="S19" s="2">
        <v>181296.40741054088</v>
      </c>
      <c r="T19" s="2">
        <v>55395.53715846932</v>
      </c>
      <c r="U19" s="2">
        <v>104302.11041581299</v>
      </c>
      <c r="V19" s="2">
        <v>16989.380156799623</v>
      </c>
      <c r="W19" s="2">
        <v>4609.379679458938</v>
      </c>
      <c r="X19" s="2">
        <v>6588.6441270515106</v>
      </c>
      <c r="Y19" s="2">
        <v>21257.865900563451</v>
      </c>
      <c r="Z19" s="2">
        <v>9350.5893233690131</v>
      </c>
      <c r="AA19" s="2">
        <v>3087.8242916020963</v>
      </c>
      <c r="AB19" s="2">
        <v>6774.4608940212038</v>
      </c>
      <c r="AC19" s="2">
        <v>28.4</v>
      </c>
      <c r="AD19" s="2">
        <v>1385.4</v>
      </c>
      <c r="AE19" s="24"/>
    </row>
    <row r="20" spans="1:32">
      <c r="A20" s="1">
        <v>2018</v>
      </c>
      <c r="B20" s="9" t="s">
        <v>57</v>
      </c>
      <c r="C20" s="1" t="s">
        <v>155</v>
      </c>
      <c r="D20" s="10">
        <v>63.3</v>
      </c>
      <c r="E20" s="1">
        <v>5</v>
      </c>
      <c r="F20" s="10">
        <v>16.2</v>
      </c>
      <c r="G20" s="1">
        <v>34</v>
      </c>
      <c r="H20" s="10">
        <v>31.8</v>
      </c>
      <c r="I20" s="1">
        <v>40</v>
      </c>
      <c r="J20" s="10">
        <v>9.6999999999999993</v>
      </c>
      <c r="K20" s="1">
        <v>38</v>
      </c>
      <c r="L20" s="10">
        <v>69.7</v>
      </c>
      <c r="M20" s="1">
        <v>43</v>
      </c>
      <c r="N20" s="1"/>
      <c r="O20" s="1"/>
      <c r="P20" s="1"/>
      <c r="Q20" s="1"/>
      <c r="R20" s="1"/>
      <c r="S20" s="2">
        <v>178931.18880099157</v>
      </c>
      <c r="T20" s="2">
        <v>49099.93436184802</v>
      </c>
      <c r="U20" s="2">
        <v>106418.5933051446</v>
      </c>
      <c r="V20" s="2">
        <v>18870.464051503124</v>
      </c>
      <c r="W20" s="2">
        <v>4542.197082495828</v>
      </c>
      <c r="X20" s="2">
        <v>5826.001247439699</v>
      </c>
      <c r="Y20" s="2">
        <v>20906.550496157815</v>
      </c>
      <c r="Z20" s="2">
        <v>9330.2989521180716</v>
      </c>
      <c r="AA20" s="2">
        <v>2860.5959204093706</v>
      </c>
      <c r="AB20" s="2">
        <v>6702.0435360577449</v>
      </c>
      <c r="AC20" s="2">
        <v>28.7</v>
      </c>
      <c r="AD20" s="2">
        <v>1326.8</v>
      </c>
      <c r="AE20" s="24"/>
    </row>
    <row r="21" spans="1:32">
      <c r="A21" s="1">
        <v>2018</v>
      </c>
      <c r="B21" s="9" t="s">
        <v>59</v>
      </c>
      <c r="C21" s="1" t="s">
        <v>156</v>
      </c>
      <c r="D21" s="10">
        <v>55.8</v>
      </c>
      <c r="E21" s="1">
        <v>13</v>
      </c>
      <c r="F21" s="10">
        <v>24.7</v>
      </c>
      <c r="G21" s="1">
        <v>12</v>
      </c>
      <c r="H21" s="10">
        <v>32</v>
      </c>
      <c r="I21" s="1">
        <v>36</v>
      </c>
      <c r="J21" s="10">
        <v>10.8</v>
      </c>
      <c r="K21" s="1">
        <v>12</v>
      </c>
      <c r="L21" s="10">
        <v>76.599999999999994</v>
      </c>
      <c r="M21" s="1">
        <v>10</v>
      </c>
      <c r="N21" s="1"/>
      <c r="O21" s="1"/>
      <c r="P21" s="1"/>
      <c r="Q21" s="1"/>
      <c r="R21" s="1"/>
      <c r="S21" s="2">
        <v>169786.52025813877</v>
      </c>
      <c r="T21" s="2">
        <v>48785.337860332605</v>
      </c>
      <c r="U21" s="2">
        <v>99664.243376121362</v>
      </c>
      <c r="V21" s="2">
        <v>17071.470752754627</v>
      </c>
      <c r="W21" s="2">
        <v>4265.4682689301881</v>
      </c>
      <c r="X21" s="2">
        <v>5836.5480684962859</v>
      </c>
      <c r="Y21" s="2">
        <v>18478.193764182452</v>
      </c>
      <c r="Z21" s="2">
        <v>8066.3137551883774</v>
      </c>
      <c r="AA21" s="2">
        <v>2853.1472643719371</v>
      </c>
      <c r="AB21" s="2">
        <v>5772.4200110496813</v>
      </c>
      <c r="AC21" s="2">
        <v>23.6</v>
      </c>
      <c r="AD21" s="2">
        <v>1150.3</v>
      </c>
      <c r="AE21" s="24"/>
      <c r="AF21" s="26" t="s">
        <v>199</v>
      </c>
    </row>
    <row r="22" spans="1:32">
      <c r="A22" s="1">
        <v>2018</v>
      </c>
      <c r="B22" s="9" t="s">
        <v>61</v>
      </c>
      <c r="C22" s="1" t="s">
        <v>157</v>
      </c>
      <c r="D22" s="10">
        <v>57.1</v>
      </c>
      <c r="E22" s="1">
        <v>12</v>
      </c>
      <c r="F22" s="10">
        <v>20.5</v>
      </c>
      <c r="G22" s="1">
        <v>23</v>
      </c>
      <c r="H22" s="10">
        <v>33.700000000000003</v>
      </c>
      <c r="I22" s="1">
        <v>10</v>
      </c>
      <c r="J22" s="10">
        <v>10.199999999999999</v>
      </c>
      <c r="K22" s="1">
        <v>24</v>
      </c>
      <c r="L22" s="10">
        <v>72.5</v>
      </c>
      <c r="M22" s="1">
        <v>37</v>
      </c>
      <c r="N22" s="1"/>
      <c r="O22" s="1"/>
      <c r="P22" s="1"/>
      <c r="Q22" s="1"/>
      <c r="R22" s="1"/>
      <c r="S22" s="2">
        <v>176404.28461893514</v>
      </c>
      <c r="T22" s="2">
        <v>46436.48803050899</v>
      </c>
      <c r="U22" s="2">
        <v>104736.14606899276</v>
      </c>
      <c r="V22" s="2">
        <v>20456.255482036035</v>
      </c>
      <c r="W22" s="2">
        <v>4775.3950373973448</v>
      </c>
      <c r="X22" s="2">
        <v>5642.0232702830517</v>
      </c>
      <c r="Y22" s="2">
        <v>19910.901711601451</v>
      </c>
      <c r="Z22" s="2">
        <v>8944.7798039529389</v>
      </c>
      <c r="AA22" s="2">
        <v>3000.5125678842633</v>
      </c>
      <c r="AB22" s="2">
        <v>6069.9936280429192</v>
      </c>
      <c r="AC22" s="2">
        <v>24.4</v>
      </c>
      <c r="AD22" s="2">
        <v>1017.5</v>
      </c>
      <c r="AE22" s="24"/>
    </row>
    <row r="23" spans="1:32">
      <c r="A23" s="1">
        <v>2018</v>
      </c>
      <c r="B23" s="9" t="s">
        <v>63</v>
      </c>
      <c r="C23" s="1" t="s">
        <v>158</v>
      </c>
      <c r="D23" s="10">
        <v>52</v>
      </c>
      <c r="E23" s="1">
        <v>28</v>
      </c>
      <c r="F23" s="10">
        <v>13.4</v>
      </c>
      <c r="G23" s="1">
        <v>37</v>
      </c>
      <c r="H23" s="10">
        <v>34.799999999999997</v>
      </c>
      <c r="I23" s="1">
        <v>1</v>
      </c>
      <c r="J23" s="10">
        <v>9.6999999999999993</v>
      </c>
      <c r="K23" s="1">
        <v>40</v>
      </c>
      <c r="L23" s="10">
        <v>75.400000000000006</v>
      </c>
      <c r="M23" s="1">
        <v>21</v>
      </c>
      <c r="N23" s="1"/>
      <c r="O23" s="1"/>
      <c r="P23" s="1"/>
      <c r="Q23" s="1"/>
      <c r="R23" s="1"/>
      <c r="S23" s="2">
        <v>172633.80306953381</v>
      </c>
      <c r="T23" s="2">
        <v>44989.784615284654</v>
      </c>
      <c r="U23" s="2">
        <v>106480.40528214326</v>
      </c>
      <c r="V23" s="2">
        <v>17570.856986689872</v>
      </c>
      <c r="W23" s="2">
        <v>3592.756185416029</v>
      </c>
      <c r="X23" s="2">
        <v>5589.020760094877</v>
      </c>
      <c r="Y23" s="2">
        <v>20040.322113131955</v>
      </c>
      <c r="Z23" s="2">
        <v>8602.9647890859378</v>
      </c>
      <c r="AA23" s="2">
        <v>3103.7797958674573</v>
      </c>
      <c r="AB23" s="2">
        <v>6399.4300403351699</v>
      </c>
      <c r="AC23" s="2">
        <v>27.5</v>
      </c>
      <c r="AD23" s="2">
        <v>1049.2</v>
      </c>
      <c r="AE23" s="24"/>
    </row>
    <row r="24" spans="1:32">
      <c r="A24" s="1">
        <v>2018</v>
      </c>
      <c r="B24" s="9" t="s">
        <v>65</v>
      </c>
      <c r="C24" s="1" t="s">
        <v>159</v>
      </c>
      <c r="D24" s="10">
        <v>47.4</v>
      </c>
      <c r="E24" s="1">
        <v>40</v>
      </c>
      <c r="F24" s="10">
        <v>10.199999999999999</v>
      </c>
      <c r="G24" s="1">
        <v>42</v>
      </c>
      <c r="H24" s="10">
        <v>32.9</v>
      </c>
      <c r="I24" s="1">
        <v>25</v>
      </c>
      <c r="J24" s="10">
        <v>10.3</v>
      </c>
      <c r="K24" s="1">
        <v>23</v>
      </c>
      <c r="L24" s="10">
        <v>73.400000000000006</v>
      </c>
      <c r="M24" s="1">
        <v>34</v>
      </c>
      <c r="N24" s="1"/>
      <c r="O24" s="1"/>
      <c r="P24" s="1"/>
      <c r="Q24" s="1"/>
      <c r="R24" s="1"/>
      <c r="S24" s="2">
        <v>170814.24731478363</v>
      </c>
      <c r="T24" s="2">
        <v>42586.584550755768</v>
      </c>
      <c r="U24" s="2">
        <v>103053.34166729436</v>
      </c>
      <c r="V24" s="2">
        <v>20940.531940483215</v>
      </c>
      <c r="W24" s="2">
        <v>4233.7891562502837</v>
      </c>
      <c r="X24" s="2">
        <v>5161.6197520920841</v>
      </c>
      <c r="Y24" s="2">
        <v>18570.766001488395</v>
      </c>
      <c r="Z24" s="2">
        <v>7928.2673691269629</v>
      </c>
      <c r="AA24" s="2">
        <v>2834.4820096739436</v>
      </c>
      <c r="AB24" s="2">
        <v>6014.3343882939325</v>
      </c>
      <c r="AC24" s="2">
        <v>23.5</v>
      </c>
      <c r="AD24" s="2">
        <v>895.7</v>
      </c>
      <c r="AE24" s="24"/>
    </row>
    <row r="25" spans="1:32">
      <c r="A25" s="1">
        <v>2018</v>
      </c>
      <c r="B25" s="9" t="s">
        <v>67</v>
      </c>
      <c r="C25" s="1" t="s">
        <v>160</v>
      </c>
      <c r="D25" s="10">
        <v>53.8</v>
      </c>
      <c r="E25" s="1">
        <v>20</v>
      </c>
      <c r="F25" s="10">
        <v>17.3</v>
      </c>
      <c r="G25" s="1">
        <v>32</v>
      </c>
      <c r="H25" s="10">
        <v>33.700000000000003</v>
      </c>
      <c r="I25" s="1">
        <v>13</v>
      </c>
      <c r="J25" s="10">
        <v>11.9</v>
      </c>
      <c r="K25" s="1">
        <v>3</v>
      </c>
      <c r="L25" s="10">
        <v>73.599999999999994</v>
      </c>
      <c r="M25" s="1">
        <v>31</v>
      </c>
      <c r="N25" s="1"/>
      <c r="O25" s="1"/>
      <c r="P25" s="1"/>
      <c r="Q25" s="1"/>
      <c r="R25" s="1"/>
      <c r="S25" s="2">
        <v>172643.04111975271</v>
      </c>
      <c r="T25" s="2">
        <v>46640.340854376613</v>
      </c>
      <c r="U25" s="2">
        <v>103244.23227625563</v>
      </c>
      <c r="V25" s="2">
        <v>18872.435848575795</v>
      </c>
      <c r="W25" s="2">
        <v>3886.0321405446944</v>
      </c>
      <c r="X25" s="2">
        <v>5593.2007860490212</v>
      </c>
      <c r="Y25" s="2">
        <v>19956.444132512985</v>
      </c>
      <c r="Z25" s="2">
        <v>8433.1292055475224</v>
      </c>
      <c r="AA25" s="2">
        <v>3060.2385293248021</v>
      </c>
      <c r="AB25" s="2">
        <v>6643.6502006684204</v>
      </c>
      <c r="AC25" s="2">
        <v>28</v>
      </c>
      <c r="AD25" s="2">
        <v>1101.0999999999999</v>
      </c>
      <c r="AE25" s="24"/>
    </row>
    <row r="26" spans="1:32">
      <c r="A26" s="1">
        <v>2018</v>
      </c>
      <c r="B26" s="9" t="s">
        <v>69</v>
      </c>
      <c r="C26" s="1" t="s">
        <v>161</v>
      </c>
      <c r="D26" s="10">
        <v>54</v>
      </c>
      <c r="E26" s="1">
        <v>19</v>
      </c>
      <c r="F26" s="10">
        <v>21.9</v>
      </c>
      <c r="G26" s="1">
        <v>18</v>
      </c>
      <c r="H26" s="10">
        <v>34.200000000000003</v>
      </c>
      <c r="I26" s="1">
        <v>4</v>
      </c>
      <c r="J26" s="10">
        <v>10.6</v>
      </c>
      <c r="K26" s="1">
        <v>18</v>
      </c>
      <c r="L26" s="10">
        <v>75.3</v>
      </c>
      <c r="M26" s="1">
        <v>22</v>
      </c>
      <c r="N26" s="1"/>
      <c r="O26" s="1"/>
      <c r="P26" s="1"/>
      <c r="Q26" s="1"/>
      <c r="R26" s="1"/>
      <c r="S26" s="2">
        <v>171754.93009281764</v>
      </c>
      <c r="T26" s="2">
        <v>49425.871212442617</v>
      </c>
      <c r="U26" s="2">
        <v>99745.415786332698</v>
      </c>
      <c r="V26" s="2">
        <v>18167.700044405603</v>
      </c>
      <c r="W26" s="2">
        <v>4415.9430496367168</v>
      </c>
      <c r="X26" s="2">
        <v>6007.1225170339321</v>
      </c>
      <c r="Y26" s="2">
        <v>19323.848732359478</v>
      </c>
      <c r="Z26" s="2">
        <v>8534.4946602836808</v>
      </c>
      <c r="AA26" s="2">
        <v>2831.5175626038836</v>
      </c>
      <c r="AB26" s="2">
        <v>6048.3708597029463</v>
      </c>
      <c r="AC26" s="2">
        <v>25.3</v>
      </c>
      <c r="AD26" s="2">
        <v>1015.4</v>
      </c>
      <c r="AE26" s="24"/>
    </row>
    <row r="27" spans="1:32">
      <c r="A27" s="1">
        <v>2018</v>
      </c>
      <c r="B27" s="9" t="s">
        <v>71</v>
      </c>
      <c r="C27" s="1" t="s">
        <v>162</v>
      </c>
      <c r="D27" s="10">
        <v>54.3</v>
      </c>
      <c r="E27" s="1">
        <v>17</v>
      </c>
      <c r="F27" s="10">
        <v>12.6</v>
      </c>
      <c r="G27" s="1">
        <v>39</v>
      </c>
      <c r="H27" s="10">
        <v>34</v>
      </c>
      <c r="I27" s="1">
        <v>5</v>
      </c>
      <c r="J27" s="10">
        <v>9.9</v>
      </c>
      <c r="K27" s="1">
        <v>31</v>
      </c>
      <c r="L27" s="10">
        <v>70.8</v>
      </c>
      <c r="M27" s="1">
        <v>40</v>
      </c>
      <c r="N27" s="1"/>
      <c r="O27" s="1"/>
      <c r="P27" s="1"/>
      <c r="Q27" s="1"/>
      <c r="R27" s="1"/>
      <c r="S27" s="2">
        <v>178716.02920727149</v>
      </c>
      <c r="T27" s="2">
        <v>50115.685966766992</v>
      </c>
      <c r="U27" s="2">
        <v>103285.81161809243</v>
      </c>
      <c r="V27" s="2">
        <v>19457.099206689156</v>
      </c>
      <c r="W27" s="2">
        <v>5857.4324157229094</v>
      </c>
      <c r="X27" s="2">
        <v>6241.03995172543</v>
      </c>
      <c r="Y27" s="2">
        <v>17149.419953795619</v>
      </c>
      <c r="Z27" s="2">
        <v>7201.6926570799305</v>
      </c>
      <c r="AA27" s="2">
        <v>2906.5025566257987</v>
      </c>
      <c r="AB27" s="2">
        <v>5092.9873766159963</v>
      </c>
      <c r="AC27" s="2">
        <v>28.1</v>
      </c>
      <c r="AD27" s="2">
        <v>1354.7</v>
      </c>
      <c r="AE27" s="24"/>
    </row>
    <row r="28" spans="1:32">
      <c r="A28" s="1">
        <v>2018</v>
      </c>
      <c r="B28" s="9" t="s">
        <v>73</v>
      </c>
      <c r="C28" s="1" t="s">
        <v>163</v>
      </c>
      <c r="D28" s="10">
        <v>43.3</v>
      </c>
      <c r="E28" s="1">
        <v>44</v>
      </c>
      <c r="F28" s="10">
        <v>10</v>
      </c>
      <c r="G28" s="1">
        <v>43</v>
      </c>
      <c r="H28" s="10">
        <v>33.4</v>
      </c>
      <c r="I28" s="1">
        <v>18</v>
      </c>
      <c r="J28" s="10">
        <v>10.6</v>
      </c>
      <c r="K28" s="1">
        <v>16</v>
      </c>
      <c r="L28" s="10">
        <v>71.2</v>
      </c>
      <c r="M28" s="1">
        <v>39</v>
      </c>
      <c r="N28" s="1"/>
      <c r="O28" s="1"/>
      <c r="P28" s="1"/>
      <c r="Q28" s="1"/>
      <c r="R28" s="1"/>
      <c r="S28" s="2">
        <v>183788.60682368971</v>
      </c>
      <c r="T28" s="2">
        <v>48694.681633515902</v>
      </c>
      <c r="U28" s="2">
        <v>105025.26318755405</v>
      </c>
      <c r="V28" s="2">
        <v>22413.79396167666</v>
      </c>
      <c r="W28" s="2">
        <v>7654.8680409430863</v>
      </c>
      <c r="X28" s="2">
        <v>5762.7965217828014</v>
      </c>
      <c r="Y28" s="2">
        <v>18141.91081279183</v>
      </c>
      <c r="Z28" s="2">
        <v>7974.0388375768744</v>
      </c>
      <c r="AA28" s="2">
        <v>2801.3665932917093</v>
      </c>
      <c r="AB28" s="2">
        <v>5646.8531335804209</v>
      </c>
      <c r="AC28" s="2">
        <v>25.4</v>
      </c>
      <c r="AD28" s="2">
        <v>1202.7</v>
      </c>
      <c r="AE28" s="24"/>
    </row>
    <row r="29" spans="1:32">
      <c r="A29" s="1">
        <v>2018</v>
      </c>
      <c r="B29" s="9" t="s">
        <v>75</v>
      </c>
      <c r="C29" s="1" t="s">
        <v>164</v>
      </c>
      <c r="D29" s="10">
        <v>47.7</v>
      </c>
      <c r="E29" s="1">
        <v>38</v>
      </c>
      <c r="F29" s="10">
        <v>12.1</v>
      </c>
      <c r="G29" s="1">
        <v>41</v>
      </c>
      <c r="H29" s="10">
        <v>32.799999999999997</v>
      </c>
      <c r="I29" s="1">
        <v>26</v>
      </c>
      <c r="J29" s="10">
        <v>10.1</v>
      </c>
      <c r="K29" s="1">
        <v>27</v>
      </c>
      <c r="L29" s="10">
        <v>74</v>
      </c>
      <c r="M29" s="1">
        <v>29</v>
      </c>
      <c r="N29" s="1"/>
      <c r="O29" s="1"/>
      <c r="P29" s="1"/>
      <c r="Q29" s="1"/>
      <c r="R29" s="1"/>
      <c r="S29" s="2">
        <v>184724.16701878709</v>
      </c>
      <c r="T29" s="2">
        <v>50298.803847895295</v>
      </c>
      <c r="U29" s="2">
        <v>108005.14877886875</v>
      </c>
      <c r="V29" s="2">
        <v>21235.707899254623</v>
      </c>
      <c r="W29" s="2">
        <v>5184.506492768428</v>
      </c>
      <c r="X29" s="2">
        <v>5961.7602034540287</v>
      </c>
      <c r="Y29" s="2">
        <v>19385.838920159935</v>
      </c>
      <c r="Z29" s="2">
        <v>8220.3367021873928</v>
      </c>
      <c r="AA29" s="2">
        <v>3024.8413279822944</v>
      </c>
      <c r="AB29" s="2">
        <v>6315.8494170566291</v>
      </c>
      <c r="AC29" s="2">
        <v>26.2</v>
      </c>
      <c r="AD29" s="2">
        <v>1189.0999999999999</v>
      </c>
      <c r="AE29" s="24"/>
    </row>
    <row r="30" spans="1:32">
      <c r="A30" s="1">
        <v>2018</v>
      </c>
      <c r="B30" s="9" t="s">
        <v>77</v>
      </c>
      <c r="C30" s="1" t="s">
        <v>165</v>
      </c>
      <c r="D30" s="10">
        <v>48.1</v>
      </c>
      <c r="E30" s="1">
        <v>37</v>
      </c>
      <c r="F30" s="10">
        <v>15.9</v>
      </c>
      <c r="G30" s="1">
        <v>35</v>
      </c>
      <c r="H30" s="10">
        <v>34.4</v>
      </c>
      <c r="I30" s="1">
        <v>2</v>
      </c>
      <c r="J30" s="10">
        <v>10.7</v>
      </c>
      <c r="K30" s="1">
        <v>15</v>
      </c>
      <c r="L30" s="10">
        <v>68.7</v>
      </c>
      <c r="M30" s="1">
        <v>45</v>
      </c>
      <c r="N30" s="1"/>
      <c r="O30" s="1"/>
      <c r="P30" s="1"/>
      <c r="Q30" s="1"/>
      <c r="R30" s="1"/>
      <c r="S30" s="2">
        <v>182840.59223571353</v>
      </c>
      <c r="T30" s="2">
        <v>53063.738410397025</v>
      </c>
      <c r="U30" s="2">
        <v>105305.71116590293</v>
      </c>
      <c r="V30" s="2">
        <v>18857.364357058505</v>
      </c>
      <c r="W30" s="2">
        <v>5613.7783023550646</v>
      </c>
      <c r="X30" s="2">
        <v>6475.9131853954023</v>
      </c>
      <c r="Y30" s="2">
        <v>19978.599246652586</v>
      </c>
      <c r="Z30" s="2">
        <v>8583.7035013656841</v>
      </c>
      <c r="AA30" s="2">
        <v>3039.7595103654794</v>
      </c>
      <c r="AB30" s="2">
        <v>6296.8647408651768</v>
      </c>
      <c r="AC30" s="2">
        <v>25.7</v>
      </c>
      <c r="AD30" s="2">
        <v>1262.0999999999999</v>
      </c>
      <c r="AE30" s="24"/>
    </row>
    <row r="31" spans="1:32">
      <c r="A31" s="1">
        <v>2018</v>
      </c>
      <c r="B31" s="9" t="s">
        <v>79</v>
      </c>
      <c r="C31" s="1" t="s">
        <v>166</v>
      </c>
      <c r="D31" s="10">
        <v>46.9</v>
      </c>
      <c r="E31" s="1">
        <v>41</v>
      </c>
      <c r="F31" s="10">
        <v>18.2</v>
      </c>
      <c r="G31" s="1">
        <v>28</v>
      </c>
      <c r="H31" s="10">
        <v>34</v>
      </c>
      <c r="I31" s="1">
        <v>7</v>
      </c>
      <c r="J31" s="10">
        <v>9.9</v>
      </c>
      <c r="K31" s="1">
        <v>35</v>
      </c>
      <c r="L31" s="10">
        <v>69.599999999999994</v>
      </c>
      <c r="M31" s="1">
        <v>44</v>
      </c>
      <c r="N31" s="1"/>
      <c r="O31" s="1"/>
      <c r="P31" s="1"/>
      <c r="Q31" s="1"/>
      <c r="R31" s="1"/>
      <c r="S31" s="2">
        <v>183371.94580241051</v>
      </c>
      <c r="T31" s="2">
        <v>48924.955562066607</v>
      </c>
      <c r="U31" s="2">
        <v>108400.718887553</v>
      </c>
      <c r="V31" s="2">
        <v>19789.436569438691</v>
      </c>
      <c r="W31" s="2">
        <v>6256.8347833522139</v>
      </c>
      <c r="X31" s="2">
        <v>5413.3679878490284</v>
      </c>
      <c r="Y31" s="2">
        <v>19817.578181419296</v>
      </c>
      <c r="Z31" s="2">
        <v>9055.717663683612</v>
      </c>
      <c r="AA31" s="2">
        <v>2714.2304275078936</v>
      </c>
      <c r="AB31" s="2">
        <v>6159.1513653725187</v>
      </c>
      <c r="AC31" s="2">
        <v>28.5</v>
      </c>
      <c r="AD31" s="2">
        <v>1433.8</v>
      </c>
      <c r="AE31" s="24"/>
    </row>
    <row r="32" spans="1:32">
      <c r="A32" s="1">
        <v>2018</v>
      </c>
      <c r="B32" s="9" t="s">
        <v>81</v>
      </c>
      <c r="C32" s="1" t="s">
        <v>167</v>
      </c>
      <c r="D32" s="10">
        <v>51.1</v>
      </c>
      <c r="E32" s="1">
        <v>34</v>
      </c>
      <c r="F32" s="10">
        <v>25.2</v>
      </c>
      <c r="G32" s="1">
        <v>9</v>
      </c>
      <c r="H32" s="10">
        <v>33.1</v>
      </c>
      <c r="I32" s="1">
        <v>21</v>
      </c>
      <c r="J32" s="10">
        <v>10</v>
      </c>
      <c r="K32" s="1">
        <v>30</v>
      </c>
      <c r="L32" s="10">
        <v>76.099999999999994</v>
      </c>
      <c r="M32" s="1">
        <v>15</v>
      </c>
      <c r="N32" s="1"/>
      <c r="O32" s="1"/>
      <c r="P32" s="1"/>
      <c r="Q32" s="1"/>
      <c r="R32" s="1"/>
      <c r="S32" s="2">
        <v>181725.81351979548</v>
      </c>
      <c r="T32" s="2">
        <v>56662.857203377403</v>
      </c>
      <c r="U32" s="2">
        <v>103222.55335442851</v>
      </c>
      <c r="V32" s="2">
        <v>18388.086230663193</v>
      </c>
      <c r="W32" s="2">
        <v>3452.3167313263566</v>
      </c>
      <c r="X32" s="2">
        <v>6118.3315681590811</v>
      </c>
      <c r="Y32" s="2">
        <v>18354.681702523842</v>
      </c>
      <c r="Z32" s="2">
        <v>8044.7333384232379</v>
      </c>
      <c r="AA32" s="2">
        <v>3000.4406718797045</v>
      </c>
      <c r="AB32" s="2">
        <v>5632.4666831107388</v>
      </c>
      <c r="AC32" s="2">
        <v>29.2</v>
      </c>
      <c r="AD32" s="2">
        <v>1516.3</v>
      </c>
      <c r="AE32" s="24"/>
    </row>
    <row r="33" spans="1:32">
      <c r="A33" s="1">
        <v>2018</v>
      </c>
      <c r="B33" s="9" t="s">
        <v>83</v>
      </c>
      <c r="C33" s="1" t="s">
        <v>168</v>
      </c>
      <c r="D33" s="10">
        <v>63.9</v>
      </c>
      <c r="E33" s="1">
        <v>4</v>
      </c>
      <c r="F33" s="10">
        <v>23.5</v>
      </c>
      <c r="G33" s="1">
        <v>14</v>
      </c>
      <c r="H33" s="10">
        <v>32.6</v>
      </c>
      <c r="I33" s="1">
        <v>29</v>
      </c>
      <c r="J33" s="10">
        <v>10.199999999999999</v>
      </c>
      <c r="K33" s="1">
        <v>25</v>
      </c>
      <c r="L33" s="10">
        <v>77.400000000000006</v>
      </c>
      <c r="M33" s="1">
        <v>9</v>
      </c>
      <c r="N33" s="1"/>
      <c r="O33" s="1"/>
      <c r="P33" s="1"/>
      <c r="Q33" s="1"/>
      <c r="R33" s="1"/>
      <c r="S33" s="2">
        <v>190952.64818458547</v>
      </c>
      <c r="T33" s="2">
        <v>59845.05695254256</v>
      </c>
      <c r="U33" s="2">
        <v>110129.06683675208</v>
      </c>
      <c r="V33" s="2">
        <v>17548.929484749475</v>
      </c>
      <c r="W33" s="2">
        <v>3429.594910541352</v>
      </c>
      <c r="X33" s="2">
        <v>6359.4583340854797</v>
      </c>
      <c r="Y33" s="2">
        <v>21610.905781042806</v>
      </c>
      <c r="Z33" s="2">
        <v>9979.4374521117079</v>
      </c>
      <c r="AA33" s="2">
        <v>3748.6369027073206</v>
      </c>
      <c r="AB33" s="2">
        <v>5970.2500720866883</v>
      </c>
      <c r="AC33" s="2">
        <v>28.6</v>
      </c>
      <c r="AD33" s="2">
        <v>1536.8</v>
      </c>
      <c r="AE33" s="24"/>
    </row>
    <row r="34" spans="1:32">
      <c r="A34" s="1">
        <v>2018</v>
      </c>
      <c r="B34" s="9" t="s">
        <v>85</v>
      </c>
      <c r="C34" s="1" t="s">
        <v>169</v>
      </c>
      <c r="D34" s="10">
        <v>57.3</v>
      </c>
      <c r="E34" s="1">
        <v>11</v>
      </c>
      <c r="F34" s="10">
        <v>25.4</v>
      </c>
      <c r="G34" s="1">
        <v>8</v>
      </c>
      <c r="H34" s="10">
        <v>32.299999999999997</v>
      </c>
      <c r="I34" s="1">
        <v>34</v>
      </c>
      <c r="J34" s="10">
        <v>9.9</v>
      </c>
      <c r="K34" s="1">
        <v>32</v>
      </c>
      <c r="L34" s="10">
        <v>72.900000000000006</v>
      </c>
      <c r="M34" s="1">
        <v>36</v>
      </c>
      <c r="N34" s="1"/>
      <c r="O34" s="1"/>
      <c r="P34" s="1"/>
      <c r="Q34" s="1"/>
      <c r="R34" s="1"/>
      <c r="S34" s="2">
        <v>184222.41536567989</v>
      </c>
      <c r="T34" s="2">
        <v>51612.865751962978</v>
      </c>
      <c r="U34" s="2">
        <v>107933.57001194604</v>
      </c>
      <c r="V34" s="2">
        <v>20856.663833636816</v>
      </c>
      <c r="W34" s="2">
        <v>3819.3157681340472</v>
      </c>
      <c r="X34" s="2">
        <v>5817.2751046728754</v>
      </c>
      <c r="Y34" s="2">
        <v>19956.967486263507</v>
      </c>
      <c r="Z34" s="2">
        <v>8765.4255536279161</v>
      </c>
      <c r="AA34" s="2">
        <v>3192.0349771101378</v>
      </c>
      <c r="AB34" s="2">
        <v>6436.9910424096033</v>
      </c>
      <c r="AC34" s="2">
        <v>26.7</v>
      </c>
      <c r="AD34" s="2">
        <v>1475.3</v>
      </c>
      <c r="AE34" s="24"/>
    </row>
    <row r="35" spans="1:32">
      <c r="A35" s="1">
        <v>2018</v>
      </c>
      <c r="B35" s="9" t="s">
        <v>87</v>
      </c>
      <c r="C35" s="1" t="s">
        <v>170</v>
      </c>
      <c r="D35" s="10">
        <v>53.7</v>
      </c>
      <c r="E35" s="1">
        <v>22</v>
      </c>
      <c r="F35" s="10">
        <v>19.399999999999999</v>
      </c>
      <c r="G35" s="1">
        <v>26</v>
      </c>
      <c r="H35" s="10">
        <v>32.200000000000003</v>
      </c>
      <c r="I35" s="1">
        <v>35</v>
      </c>
      <c r="J35" s="10">
        <v>10.1</v>
      </c>
      <c r="K35" s="1">
        <v>29</v>
      </c>
      <c r="L35" s="10">
        <v>72.5</v>
      </c>
      <c r="M35" s="1">
        <v>38</v>
      </c>
      <c r="N35" s="1"/>
      <c r="O35" s="1"/>
      <c r="P35" s="1"/>
      <c r="Q35" s="1"/>
      <c r="R35" s="1"/>
      <c r="S35" s="2">
        <v>179985.23712391782</v>
      </c>
      <c r="T35" s="2">
        <v>49698.70250934759</v>
      </c>
      <c r="U35" s="2">
        <v>106754.5586458078</v>
      </c>
      <c r="V35" s="2">
        <v>19593.431416657091</v>
      </c>
      <c r="W35" s="2">
        <v>3938.5445521053248</v>
      </c>
      <c r="X35" s="2">
        <v>5667.0154955593489</v>
      </c>
      <c r="Y35" s="2">
        <v>19663.455270675324</v>
      </c>
      <c r="Z35" s="2">
        <v>8354.6739354602396</v>
      </c>
      <c r="AA35" s="2">
        <v>2955.6138771993028</v>
      </c>
      <c r="AB35" s="2">
        <v>6510.9457238065297</v>
      </c>
      <c r="AC35" s="2">
        <v>30.7</v>
      </c>
      <c r="AD35" s="2">
        <v>1398.8</v>
      </c>
      <c r="AE35" s="24"/>
    </row>
    <row r="36" spans="1:32">
      <c r="A36" s="1">
        <v>2018</v>
      </c>
      <c r="B36" s="9" t="s">
        <v>89</v>
      </c>
      <c r="C36" s="1" t="s">
        <v>171</v>
      </c>
      <c r="D36" s="10">
        <v>48.5</v>
      </c>
      <c r="E36" s="1">
        <v>36</v>
      </c>
      <c r="F36" s="10">
        <v>22.5</v>
      </c>
      <c r="G36" s="1">
        <v>15</v>
      </c>
      <c r="H36" s="10">
        <v>32.5</v>
      </c>
      <c r="I36" s="1">
        <v>31</v>
      </c>
      <c r="J36" s="10">
        <v>9.5</v>
      </c>
      <c r="K36" s="1">
        <v>44</v>
      </c>
      <c r="L36" s="10">
        <v>75.5</v>
      </c>
      <c r="M36" s="1">
        <v>20</v>
      </c>
      <c r="N36" s="1"/>
      <c r="O36" s="1"/>
      <c r="P36" s="1"/>
      <c r="Q36" s="1"/>
      <c r="R36" s="1"/>
      <c r="S36" s="2">
        <v>193592.0551324648</v>
      </c>
      <c r="T36" s="2">
        <v>57346.27060817802</v>
      </c>
      <c r="U36" s="2">
        <v>112345.32871361454</v>
      </c>
      <c r="V36" s="2">
        <v>19535.890108558488</v>
      </c>
      <c r="W36" s="2">
        <v>4364.5657021137522</v>
      </c>
      <c r="X36" s="2">
        <v>7061.2689540843339</v>
      </c>
      <c r="Y36" s="2">
        <v>21751.168796547445</v>
      </c>
      <c r="Z36" s="2">
        <v>9636.1613707275101</v>
      </c>
      <c r="AA36" s="2">
        <v>3098.237943250952</v>
      </c>
      <c r="AB36" s="2">
        <v>6706.2340805685089</v>
      </c>
      <c r="AC36" s="2">
        <v>39.4</v>
      </c>
      <c r="AD36" s="2">
        <v>1915</v>
      </c>
      <c r="AE36" s="24"/>
    </row>
    <row r="37" spans="1:32">
      <c r="A37" s="1">
        <v>2018</v>
      </c>
      <c r="B37" s="9" t="s">
        <v>91</v>
      </c>
      <c r="C37" s="1" t="s">
        <v>172</v>
      </c>
      <c r="D37" s="10">
        <v>53.5</v>
      </c>
      <c r="E37" s="1">
        <v>23</v>
      </c>
      <c r="F37" s="10">
        <v>20.6</v>
      </c>
      <c r="G37" s="1">
        <v>22</v>
      </c>
      <c r="H37" s="10">
        <v>34.299999999999997</v>
      </c>
      <c r="I37" s="1">
        <v>3</v>
      </c>
      <c r="J37" s="10">
        <v>9.1</v>
      </c>
      <c r="K37" s="1">
        <v>46</v>
      </c>
      <c r="L37" s="10">
        <v>63.8</v>
      </c>
      <c r="M37" s="1">
        <v>47</v>
      </c>
      <c r="N37" s="1"/>
      <c r="O37" s="1"/>
      <c r="P37" s="1"/>
      <c r="Q37" s="1"/>
      <c r="R37" s="1"/>
      <c r="S37" s="2">
        <v>192780.49415141111</v>
      </c>
      <c r="T37" s="2">
        <v>54231.906166092034</v>
      </c>
      <c r="U37" s="2">
        <v>111537.83749381668</v>
      </c>
      <c r="V37" s="2">
        <v>21365.238698717276</v>
      </c>
      <c r="W37" s="2">
        <v>5645.5117927851188</v>
      </c>
      <c r="X37" s="2">
        <v>6569.7608710053064</v>
      </c>
      <c r="Y37" s="2">
        <v>22830.382778119532</v>
      </c>
      <c r="Z37" s="2">
        <v>10537.228109382575</v>
      </c>
      <c r="AA37" s="2">
        <v>2462.2857759897652</v>
      </c>
      <c r="AB37" s="2">
        <v>7875.7526977686339</v>
      </c>
      <c r="AC37" s="2">
        <v>37</v>
      </c>
      <c r="AD37" s="2">
        <v>1951</v>
      </c>
      <c r="AE37" s="24"/>
    </row>
    <row r="38" spans="1:32">
      <c r="A38" s="1">
        <v>2018</v>
      </c>
      <c r="B38" s="9" t="s">
        <v>93</v>
      </c>
      <c r="C38" s="1" t="s">
        <v>173</v>
      </c>
      <c r="D38" s="10">
        <v>52.1</v>
      </c>
      <c r="E38" s="1">
        <v>27</v>
      </c>
      <c r="F38" s="10">
        <v>32.1</v>
      </c>
      <c r="G38" s="1">
        <v>1</v>
      </c>
      <c r="H38" s="10">
        <v>33.4</v>
      </c>
      <c r="I38" s="1">
        <v>19</v>
      </c>
      <c r="J38" s="10">
        <v>9.9</v>
      </c>
      <c r="K38" s="1">
        <v>33</v>
      </c>
      <c r="L38" s="10">
        <v>70.7</v>
      </c>
      <c r="M38" s="1">
        <v>42</v>
      </c>
      <c r="N38" s="1"/>
      <c r="O38" s="1"/>
      <c r="P38" s="1"/>
      <c r="Q38" s="1"/>
      <c r="R38" s="1"/>
      <c r="S38" s="2">
        <v>193134.58339845942</v>
      </c>
      <c r="T38" s="2">
        <v>55053.879066266942</v>
      </c>
      <c r="U38" s="2">
        <v>112593.66673783229</v>
      </c>
      <c r="V38" s="2">
        <v>20854.791449643737</v>
      </c>
      <c r="W38" s="2">
        <v>4632.2461447164305</v>
      </c>
      <c r="X38" s="2">
        <v>6319.459341733741</v>
      </c>
      <c r="Y38" s="2">
        <v>20328.168872273269</v>
      </c>
      <c r="Z38" s="2">
        <v>8687.4979856641039</v>
      </c>
      <c r="AA38" s="2">
        <v>2537.2088584585345</v>
      </c>
      <c r="AB38" s="2">
        <v>6980.2392450159959</v>
      </c>
      <c r="AC38" s="2">
        <v>27.7</v>
      </c>
      <c r="AD38" s="2">
        <v>1503</v>
      </c>
      <c r="AE38" s="24"/>
    </row>
    <row r="39" spans="1:32">
      <c r="A39" s="1">
        <v>2018</v>
      </c>
      <c r="B39" s="9" t="s">
        <v>95</v>
      </c>
      <c r="C39" s="1" t="s">
        <v>174</v>
      </c>
      <c r="D39" s="10">
        <v>54.4</v>
      </c>
      <c r="E39" s="1">
        <v>16</v>
      </c>
      <c r="F39" s="10">
        <v>20.2</v>
      </c>
      <c r="G39" s="1">
        <v>24</v>
      </c>
      <c r="H39" s="10">
        <v>31.7</v>
      </c>
      <c r="I39" s="1">
        <v>41</v>
      </c>
      <c r="J39" s="10">
        <v>9.5</v>
      </c>
      <c r="K39" s="1">
        <v>45</v>
      </c>
      <c r="L39" s="10">
        <v>70.8</v>
      </c>
      <c r="M39" s="1">
        <v>41</v>
      </c>
      <c r="N39" s="1"/>
      <c r="O39" s="1"/>
      <c r="P39" s="1"/>
      <c r="Q39" s="1"/>
      <c r="R39" s="1"/>
      <c r="S39" s="2">
        <v>181011.61724346422</v>
      </c>
      <c r="T39" s="2">
        <v>52066.760110568903</v>
      </c>
      <c r="U39" s="2">
        <v>106693.01350116296</v>
      </c>
      <c r="V39" s="2">
        <v>17716.501438591615</v>
      </c>
      <c r="W39" s="2">
        <v>4535.3421931407429</v>
      </c>
      <c r="X39" s="2">
        <v>5780.525680323597</v>
      </c>
      <c r="Y39" s="2">
        <v>20057.058311496552</v>
      </c>
      <c r="Z39" s="2">
        <v>8266.8579261317755</v>
      </c>
      <c r="AA39" s="2">
        <v>2771.4165041088568</v>
      </c>
      <c r="AB39" s="2">
        <v>6523.121911012754</v>
      </c>
      <c r="AC39" s="2">
        <v>30.5</v>
      </c>
      <c r="AD39" s="2">
        <v>1612</v>
      </c>
      <c r="AE39" s="24"/>
      <c r="AF39" s="26" t="s">
        <v>200</v>
      </c>
    </row>
    <row r="40" spans="1:32">
      <c r="A40" s="1">
        <v>2018</v>
      </c>
      <c r="B40" s="9" t="s">
        <v>97</v>
      </c>
      <c r="C40" s="1" t="s">
        <v>175</v>
      </c>
      <c r="D40" s="10">
        <v>59.2</v>
      </c>
      <c r="E40" s="1">
        <v>8</v>
      </c>
      <c r="F40" s="10">
        <v>15</v>
      </c>
      <c r="G40" s="1">
        <v>36</v>
      </c>
      <c r="H40" s="10">
        <v>29.2</v>
      </c>
      <c r="I40" s="1">
        <v>47</v>
      </c>
      <c r="J40" s="10">
        <v>9</v>
      </c>
      <c r="K40" s="1">
        <v>47</v>
      </c>
      <c r="L40" s="10">
        <v>67.900000000000006</v>
      </c>
      <c r="M40" s="1">
        <v>46</v>
      </c>
      <c r="N40" s="1"/>
      <c r="O40" s="1"/>
      <c r="P40" s="1"/>
      <c r="Q40" s="1"/>
      <c r="R40" s="1"/>
      <c r="S40" s="2">
        <v>190854.86843351729</v>
      </c>
      <c r="T40" s="2">
        <v>59156.064588592999</v>
      </c>
      <c r="U40" s="2">
        <v>108699.68733520433</v>
      </c>
      <c r="V40" s="2">
        <v>18367.07372718343</v>
      </c>
      <c r="W40" s="2">
        <v>4632.0427825365441</v>
      </c>
      <c r="X40" s="2">
        <v>7598.3947439749309</v>
      </c>
      <c r="Y40" s="2">
        <v>21539.237879299148</v>
      </c>
      <c r="Z40" s="2">
        <v>10255.572062825748</v>
      </c>
      <c r="AA40" s="2">
        <v>2602.5600428019834</v>
      </c>
      <c r="AB40" s="2">
        <v>6117.9619268552233</v>
      </c>
      <c r="AC40" s="2">
        <v>45.6</v>
      </c>
      <c r="AD40" s="2">
        <v>2551.6</v>
      </c>
      <c r="AE40" s="24"/>
    </row>
    <row r="41" spans="1:32">
      <c r="A41" s="1">
        <v>2018</v>
      </c>
      <c r="B41" s="9" t="s">
        <v>99</v>
      </c>
      <c r="C41" s="1" t="s">
        <v>176</v>
      </c>
      <c r="D41" s="10">
        <v>51.3</v>
      </c>
      <c r="E41" s="1">
        <v>33</v>
      </c>
      <c r="F41" s="10">
        <v>13.1</v>
      </c>
      <c r="G41" s="1">
        <v>38</v>
      </c>
      <c r="H41" s="10">
        <v>33</v>
      </c>
      <c r="I41" s="1">
        <v>22</v>
      </c>
      <c r="J41" s="10">
        <v>11.6</v>
      </c>
      <c r="K41" s="1">
        <v>4</v>
      </c>
      <c r="L41" s="10">
        <v>75.7</v>
      </c>
      <c r="M41" s="1">
        <v>18</v>
      </c>
      <c r="N41" s="1"/>
      <c r="O41" s="1"/>
      <c r="P41" s="1"/>
      <c r="Q41" s="1"/>
      <c r="R41" s="1"/>
      <c r="S41" s="2">
        <v>189417.2768334462</v>
      </c>
      <c r="T41" s="2">
        <v>56372.932196361311</v>
      </c>
      <c r="U41" s="2">
        <v>105944.14036792726</v>
      </c>
      <c r="V41" s="2">
        <v>20917.631521631505</v>
      </c>
      <c r="W41" s="2">
        <v>6182.5727475261483</v>
      </c>
      <c r="X41" s="2">
        <v>6736.5236624641311</v>
      </c>
      <c r="Y41" s="2">
        <v>20051.713069308578</v>
      </c>
      <c r="Z41" s="2">
        <v>9261.4732935732009</v>
      </c>
      <c r="AA41" s="2">
        <v>2668.8159839919263</v>
      </c>
      <c r="AB41" s="2">
        <v>6171.355281001026</v>
      </c>
      <c r="AC41" s="2">
        <v>33.799999999999997</v>
      </c>
      <c r="AD41" s="2">
        <v>1666.8</v>
      </c>
      <c r="AE41" s="24"/>
    </row>
    <row r="42" spans="1:32">
      <c r="A42" s="1">
        <v>2018</v>
      </c>
      <c r="B42" s="9" t="s">
        <v>101</v>
      </c>
      <c r="C42" s="1" t="s">
        <v>177</v>
      </c>
      <c r="D42" s="10">
        <v>51.8</v>
      </c>
      <c r="E42" s="1">
        <v>29</v>
      </c>
      <c r="F42" s="10">
        <v>22.2</v>
      </c>
      <c r="G42" s="1">
        <v>16</v>
      </c>
      <c r="H42" s="10">
        <v>33.700000000000003</v>
      </c>
      <c r="I42" s="1">
        <v>11</v>
      </c>
      <c r="J42" s="10">
        <v>13.7</v>
      </c>
      <c r="K42" s="1">
        <v>2</v>
      </c>
      <c r="L42" s="10">
        <v>77.7</v>
      </c>
      <c r="M42" s="1">
        <v>7</v>
      </c>
      <c r="N42" s="1"/>
      <c r="O42" s="1"/>
      <c r="P42" s="1"/>
      <c r="Q42" s="1"/>
      <c r="R42" s="1"/>
      <c r="S42" s="2">
        <v>207176.4795478571</v>
      </c>
      <c r="T42" s="2">
        <v>65172.195631485658</v>
      </c>
      <c r="U42" s="2">
        <v>116467.58356998159</v>
      </c>
      <c r="V42" s="2">
        <v>19435.444024768483</v>
      </c>
      <c r="W42" s="2">
        <v>6101.2563216213448</v>
      </c>
      <c r="X42" s="2">
        <v>7653.8425852039309</v>
      </c>
      <c r="Y42" s="2">
        <v>24604.601724438187</v>
      </c>
      <c r="Z42" s="2">
        <v>11603.901048795844</v>
      </c>
      <c r="AA42" s="2">
        <v>3953.0308629540536</v>
      </c>
      <c r="AB42" s="2">
        <v>7138.4240037279887</v>
      </c>
      <c r="AC42" s="2">
        <v>40.799999999999997</v>
      </c>
      <c r="AD42" s="2">
        <v>1800.1</v>
      </c>
      <c r="AE42" s="24"/>
    </row>
    <row r="43" spans="1:32">
      <c r="A43" s="1">
        <v>2018</v>
      </c>
      <c r="B43" s="9" t="s">
        <v>103</v>
      </c>
      <c r="C43" s="1" t="s">
        <v>178</v>
      </c>
      <c r="D43" s="10">
        <v>51.4</v>
      </c>
      <c r="E43" s="1">
        <v>31</v>
      </c>
      <c r="F43" s="10">
        <v>24.9</v>
      </c>
      <c r="G43" s="1">
        <v>10</v>
      </c>
      <c r="H43" s="10">
        <v>33.700000000000003</v>
      </c>
      <c r="I43" s="1">
        <v>9</v>
      </c>
      <c r="J43" s="10">
        <v>10.1</v>
      </c>
      <c r="K43" s="1">
        <v>28</v>
      </c>
      <c r="L43" s="10">
        <v>76.5</v>
      </c>
      <c r="M43" s="1">
        <v>12</v>
      </c>
      <c r="N43" s="1"/>
      <c r="O43" s="1"/>
      <c r="P43" s="1"/>
      <c r="Q43" s="1"/>
      <c r="R43" s="1"/>
      <c r="S43" s="2">
        <v>191730.31889642507</v>
      </c>
      <c r="T43" s="2">
        <v>60119.89478741942</v>
      </c>
      <c r="U43" s="2">
        <v>106347.94061464153</v>
      </c>
      <c r="V43" s="2">
        <v>19482.364214452937</v>
      </c>
      <c r="W43" s="2">
        <v>5780.1192799111686</v>
      </c>
      <c r="X43" s="2">
        <v>6632.0767909766273</v>
      </c>
      <c r="Y43" s="2">
        <v>22030.962424892463</v>
      </c>
      <c r="Z43" s="2">
        <v>10948.146885432616</v>
      </c>
      <c r="AA43" s="2">
        <v>2424.390424755069</v>
      </c>
      <c r="AB43" s="2">
        <v>6558.0596421234113</v>
      </c>
      <c r="AC43" s="2">
        <v>35.5</v>
      </c>
      <c r="AD43" s="2">
        <v>1941.6</v>
      </c>
      <c r="AE43" s="24"/>
    </row>
    <row r="44" spans="1:32">
      <c r="A44" s="1">
        <v>2018</v>
      </c>
      <c r="B44" s="9" t="s">
        <v>105</v>
      </c>
      <c r="C44" s="1" t="s">
        <v>179</v>
      </c>
      <c r="D44" s="10">
        <v>55.7</v>
      </c>
      <c r="E44" s="1">
        <v>14</v>
      </c>
      <c r="F44" s="10">
        <v>29.5</v>
      </c>
      <c r="G44" s="1">
        <v>4</v>
      </c>
      <c r="H44" s="10">
        <v>32.700000000000003</v>
      </c>
      <c r="I44" s="1">
        <v>27</v>
      </c>
      <c r="J44" s="10">
        <v>10.8</v>
      </c>
      <c r="K44" s="1">
        <v>10</v>
      </c>
      <c r="L44" s="10">
        <v>76.3</v>
      </c>
      <c r="M44" s="1">
        <v>13</v>
      </c>
      <c r="N44" s="1"/>
      <c r="O44" s="1"/>
      <c r="P44" s="1"/>
      <c r="Q44" s="1"/>
      <c r="R44" s="1"/>
      <c r="S44" s="2">
        <v>190212.85398978565</v>
      </c>
      <c r="T44" s="2">
        <v>58106.871129666593</v>
      </c>
      <c r="U44" s="2">
        <v>109348.27425034851</v>
      </c>
      <c r="V44" s="2">
        <v>17793.267289212778</v>
      </c>
      <c r="W44" s="2">
        <v>4964.4413205577939</v>
      </c>
      <c r="X44" s="2">
        <v>6287.1461170381644</v>
      </c>
      <c r="Y44" s="2">
        <v>22270.723769092459</v>
      </c>
      <c r="Z44" s="2">
        <v>10905.472725875041</v>
      </c>
      <c r="AA44" s="2">
        <v>2759.2927206465079</v>
      </c>
      <c r="AB44" s="2">
        <v>6960.4349727126173</v>
      </c>
      <c r="AC44" s="2">
        <v>39.1</v>
      </c>
      <c r="AD44" s="2">
        <v>1965.9</v>
      </c>
      <c r="AE44" s="24"/>
    </row>
    <row r="45" spans="1:32">
      <c r="A45" s="1">
        <v>2018</v>
      </c>
      <c r="B45" s="9" t="s">
        <v>107</v>
      </c>
      <c r="C45" s="1" t="s">
        <v>180</v>
      </c>
      <c r="D45" s="10">
        <v>58.5</v>
      </c>
      <c r="E45" s="1">
        <v>9</v>
      </c>
      <c r="F45" s="10">
        <v>22</v>
      </c>
      <c r="G45" s="1">
        <v>17</v>
      </c>
      <c r="H45" s="10">
        <v>33.799999999999997</v>
      </c>
      <c r="I45" s="1">
        <v>8</v>
      </c>
      <c r="J45" s="10">
        <v>10.4</v>
      </c>
      <c r="K45" s="1">
        <v>21</v>
      </c>
      <c r="L45" s="10">
        <v>74.099999999999994</v>
      </c>
      <c r="M45" s="1">
        <v>28</v>
      </c>
      <c r="N45" s="1"/>
      <c r="O45" s="1"/>
      <c r="P45" s="1"/>
      <c r="Q45" s="1"/>
      <c r="R45" s="1"/>
      <c r="S45" s="2">
        <v>191844.31184673926</v>
      </c>
      <c r="T45" s="2">
        <v>58501.735154509726</v>
      </c>
      <c r="U45" s="2">
        <v>110889.39064155136</v>
      </c>
      <c r="V45" s="2">
        <v>17317.079154022787</v>
      </c>
      <c r="W45" s="2">
        <v>5136.1068966553767</v>
      </c>
      <c r="X45" s="2">
        <v>6659.1320987739164</v>
      </c>
      <c r="Y45" s="2">
        <v>22353.31996481189</v>
      </c>
      <c r="Z45" s="2">
        <v>9985.6633184751736</v>
      </c>
      <c r="AA45" s="2">
        <v>2929.2442208279463</v>
      </c>
      <c r="AB45" s="2">
        <v>7407.8932889011248</v>
      </c>
      <c r="AC45" s="2">
        <v>32</v>
      </c>
      <c r="AD45" s="2">
        <v>1750.9</v>
      </c>
      <c r="AE45" s="24"/>
    </row>
    <row r="46" spans="1:32">
      <c r="A46" s="1">
        <v>2018</v>
      </c>
      <c r="B46" s="9" t="s">
        <v>109</v>
      </c>
      <c r="C46" s="1" t="s">
        <v>181</v>
      </c>
      <c r="D46" s="10">
        <v>51.3</v>
      </c>
      <c r="E46" s="1">
        <v>32</v>
      </c>
      <c r="F46" s="10">
        <v>23.9</v>
      </c>
      <c r="G46" s="1">
        <v>13</v>
      </c>
      <c r="H46" s="10">
        <v>33.6</v>
      </c>
      <c r="I46" s="1">
        <v>14</v>
      </c>
      <c r="J46" s="10">
        <v>10.1</v>
      </c>
      <c r="K46" s="1">
        <v>26</v>
      </c>
      <c r="L46" s="10">
        <v>77.8</v>
      </c>
      <c r="M46" s="1">
        <v>6</v>
      </c>
      <c r="N46" s="1"/>
      <c r="O46" s="1"/>
      <c r="P46" s="1"/>
      <c r="Q46" s="1"/>
      <c r="R46" s="1"/>
      <c r="S46" s="2">
        <v>179166.35188839215</v>
      </c>
      <c r="T46" s="2">
        <v>53750.178854206293</v>
      </c>
      <c r="U46" s="2">
        <v>103153.71343084692</v>
      </c>
      <c r="V46" s="2">
        <v>17475.844845604399</v>
      </c>
      <c r="W46" s="2">
        <v>4786.6147577345364</v>
      </c>
      <c r="X46" s="2">
        <v>6595.798006885997</v>
      </c>
      <c r="Y46" s="2">
        <v>20618.644299878841</v>
      </c>
      <c r="Z46" s="2">
        <v>10618.57324860985</v>
      </c>
      <c r="AA46" s="2">
        <v>2006.6208082713119</v>
      </c>
      <c r="AB46" s="2">
        <v>6047.0493473508741</v>
      </c>
      <c r="AC46" s="2">
        <v>35.700000000000003</v>
      </c>
      <c r="AD46" s="2">
        <v>1760.3</v>
      </c>
      <c r="AE46" s="24"/>
    </row>
    <row r="47" spans="1:32">
      <c r="A47" s="1">
        <v>2018</v>
      </c>
      <c r="B47" s="9" t="s">
        <v>111</v>
      </c>
      <c r="C47" s="1" t="s">
        <v>182</v>
      </c>
      <c r="D47" s="10">
        <v>46.7</v>
      </c>
      <c r="E47" s="1">
        <v>42</v>
      </c>
      <c r="F47" s="10">
        <v>19.899999999999999</v>
      </c>
      <c r="G47" s="1">
        <v>25</v>
      </c>
      <c r="H47" s="10">
        <v>33.700000000000003</v>
      </c>
      <c r="I47" s="1">
        <v>12</v>
      </c>
      <c r="J47" s="10">
        <v>11.1</v>
      </c>
      <c r="K47" s="1">
        <v>7</v>
      </c>
      <c r="L47" s="10">
        <v>80.7</v>
      </c>
      <c r="M47" s="1">
        <v>2</v>
      </c>
      <c r="N47" s="1"/>
      <c r="O47" s="1"/>
      <c r="P47" s="1"/>
      <c r="Q47" s="1"/>
      <c r="R47" s="1"/>
      <c r="S47" s="2">
        <v>186343.54741803173</v>
      </c>
      <c r="T47" s="2">
        <v>58391.461767594126</v>
      </c>
      <c r="U47" s="2">
        <v>105259.89004776964</v>
      </c>
      <c r="V47" s="2">
        <v>17406.153890667825</v>
      </c>
      <c r="W47" s="2">
        <v>5286.0417120001166</v>
      </c>
      <c r="X47" s="2">
        <v>7319.6882582099452</v>
      </c>
      <c r="Y47" s="2">
        <v>21550.61731798252</v>
      </c>
      <c r="Z47" s="2">
        <v>10392.282780800899</v>
      </c>
      <c r="AA47" s="2">
        <v>2058.3896863344921</v>
      </c>
      <c r="AB47" s="2">
        <v>6658.7783359682708</v>
      </c>
      <c r="AC47" s="2">
        <v>40.799999999999997</v>
      </c>
      <c r="AD47" s="2">
        <v>2063.6</v>
      </c>
      <c r="AE47" s="24"/>
    </row>
    <row r="48" spans="1:32">
      <c r="A48" s="1">
        <v>2018</v>
      </c>
      <c r="B48" s="9" t="s">
        <v>113</v>
      </c>
      <c r="C48" s="1" t="s">
        <v>183</v>
      </c>
      <c r="D48" s="10">
        <v>55.7</v>
      </c>
      <c r="E48" s="1">
        <v>15</v>
      </c>
      <c r="F48" s="10">
        <v>29.7</v>
      </c>
      <c r="G48" s="1">
        <v>2</v>
      </c>
      <c r="H48" s="10">
        <v>32.700000000000003</v>
      </c>
      <c r="I48" s="1">
        <v>28</v>
      </c>
      <c r="J48" s="10">
        <v>10.7</v>
      </c>
      <c r="K48" s="1">
        <v>13</v>
      </c>
      <c r="L48" s="10">
        <v>85.4</v>
      </c>
      <c r="M48" s="1">
        <v>1</v>
      </c>
      <c r="N48" s="1"/>
      <c r="O48" s="1"/>
      <c r="P48" s="1"/>
      <c r="Q48" s="1"/>
      <c r="R48" s="1"/>
      <c r="S48" s="2">
        <v>168307.87574352816</v>
      </c>
      <c r="T48" s="2">
        <v>54939.673939333639</v>
      </c>
      <c r="U48" s="2">
        <v>92077.629576007923</v>
      </c>
      <c r="V48" s="2">
        <v>16694.729474971653</v>
      </c>
      <c r="W48" s="2">
        <v>4595.8427532149399</v>
      </c>
      <c r="X48" s="2">
        <v>7304.0480205297454</v>
      </c>
      <c r="Y48" s="2">
        <v>17057.83941919477</v>
      </c>
      <c r="Z48" s="2">
        <v>8615.1700579281878</v>
      </c>
      <c r="AA48" s="2">
        <v>1710.5571897607113</v>
      </c>
      <c r="AB48" s="2">
        <v>5067.9145068657281</v>
      </c>
      <c r="AC48" s="2">
        <v>28.8</v>
      </c>
      <c r="AD48" s="2">
        <v>1302.5999999999999</v>
      </c>
      <c r="AE48" s="24"/>
    </row>
    <row r="49" spans="1:32">
      <c r="A49" s="1">
        <v>2019</v>
      </c>
      <c r="B49" s="9" t="s">
        <v>21</v>
      </c>
      <c r="C49" s="1" t="s">
        <v>22</v>
      </c>
      <c r="D49" s="10">
        <v>48</v>
      </c>
      <c r="E49" s="1">
        <v>43</v>
      </c>
      <c r="F49" s="10">
        <v>9.9</v>
      </c>
      <c r="G49" s="1">
        <v>44</v>
      </c>
      <c r="H49" s="10">
        <v>32.5</v>
      </c>
      <c r="I49" s="1">
        <v>34</v>
      </c>
      <c r="J49" s="10">
        <v>10.6</v>
      </c>
      <c r="K49" s="1">
        <v>25</v>
      </c>
      <c r="L49" s="10">
        <v>79.599999999999994</v>
      </c>
      <c r="M49" s="1">
        <v>12</v>
      </c>
      <c r="N49" s="14">
        <f>D49/D2*100</f>
        <v>105.26315789473684</v>
      </c>
      <c r="O49" s="14">
        <f>F49/F2*100</f>
        <v>102.06185567010311</v>
      </c>
      <c r="P49" s="14">
        <f>H49/H2*100</f>
        <v>100</v>
      </c>
      <c r="Q49" s="14">
        <f>J49/J2*100</f>
        <v>110.41666666666667</v>
      </c>
      <c r="R49" s="14">
        <f>L49/L2*100</f>
        <v>103.91644908616189</v>
      </c>
      <c r="S49" s="2">
        <v>206677.6315571031</v>
      </c>
      <c r="T49" s="2">
        <v>64231.920968520382</v>
      </c>
      <c r="U49" s="2">
        <v>117370.47800910196</v>
      </c>
      <c r="V49" s="2">
        <v>20873.847238950337</v>
      </c>
      <c r="W49" s="2">
        <v>4201.3853405304071</v>
      </c>
      <c r="X49" s="2">
        <v>8277.4247651076439</v>
      </c>
      <c r="Y49" s="2">
        <v>23996.004630208608</v>
      </c>
      <c r="Z49" s="2">
        <v>10188.711357758322</v>
      </c>
      <c r="AA49" s="2">
        <v>3091.4356845517141</v>
      </c>
      <c r="AB49" s="2">
        <v>7925.2138603998228</v>
      </c>
      <c r="AC49" s="2">
        <v>30.6</v>
      </c>
      <c r="AD49" s="2">
        <v>1774.6</v>
      </c>
      <c r="AE49" s="24"/>
    </row>
    <row r="50" spans="1:32">
      <c r="A50" s="1">
        <v>2019</v>
      </c>
      <c r="B50" s="9" t="s">
        <v>23</v>
      </c>
      <c r="C50" s="1" t="s">
        <v>138</v>
      </c>
      <c r="D50" s="10">
        <v>55.1</v>
      </c>
      <c r="E50" s="1">
        <v>22</v>
      </c>
      <c r="F50" s="10">
        <v>17.8</v>
      </c>
      <c r="G50" s="1">
        <v>29</v>
      </c>
      <c r="H50" s="10">
        <v>32.299999999999997</v>
      </c>
      <c r="I50" s="1">
        <v>39</v>
      </c>
      <c r="J50" s="10">
        <v>10.6</v>
      </c>
      <c r="K50" s="1">
        <v>26</v>
      </c>
      <c r="L50" s="10">
        <v>80.3</v>
      </c>
      <c r="M50" s="1">
        <v>9</v>
      </c>
      <c r="N50" s="14">
        <f t="shared" ref="N50:N113" si="0">D50/D3*100</f>
        <v>103.76647834274952</v>
      </c>
      <c r="O50" s="14">
        <f t="shared" ref="O50:O113" si="1">F50/F3*100</f>
        <v>82.407407407407405</v>
      </c>
      <c r="P50" s="14">
        <f t="shared" ref="P50:P113" si="2">H50/H3*100</f>
        <v>95</v>
      </c>
      <c r="Q50" s="14">
        <f t="shared" ref="Q50:Q113" si="3">J50/J3*100</f>
        <v>110.41666666666667</v>
      </c>
      <c r="R50" s="14">
        <f t="shared" ref="R50:R113" si="4">L50/L3*100</f>
        <v>103.34620334620335</v>
      </c>
      <c r="S50" s="2">
        <v>189846.65329006984</v>
      </c>
      <c r="T50" s="2">
        <v>51907.511353973139</v>
      </c>
      <c r="U50" s="2">
        <v>116589.82753105834</v>
      </c>
      <c r="V50" s="2">
        <v>17853.863783528352</v>
      </c>
      <c r="W50" s="2">
        <v>3495.4506215100105</v>
      </c>
      <c r="X50" s="2">
        <v>6655.7562721298</v>
      </c>
      <c r="Y50" s="2">
        <v>26639.235903648376</v>
      </c>
      <c r="Z50" s="2">
        <v>12665.488240715971</v>
      </c>
      <c r="AA50" s="2">
        <v>3348.4988767693167</v>
      </c>
      <c r="AB50" s="2">
        <v>8300.9576708490695</v>
      </c>
      <c r="AC50" s="2">
        <v>30.7</v>
      </c>
      <c r="AD50" s="2">
        <v>1372.9</v>
      </c>
      <c r="AE50" s="24"/>
    </row>
    <row r="51" spans="1:32">
      <c r="A51" s="1">
        <v>2019</v>
      </c>
      <c r="B51" s="9" t="s">
        <v>25</v>
      </c>
      <c r="C51" s="1" t="s">
        <v>139</v>
      </c>
      <c r="D51" s="10">
        <v>57.9</v>
      </c>
      <c r="E51" s="1">
        <v>15</v>
      </c>
      <c r="F51" s="10">
        <v>14.6</v>
      </c>
      <c r="G51" s="1">
        <v>38</v>
      </c>
      <c r="H51" s="10">
        <v>32.299999999999997</v>
      </c>
      <c r="I51" s="1">
        <v>38</v>
      </c>
      <c r="J51" s="10">
        <v>11.8</v>
      </c>
      <c r="K51" s="1">
        <v>8</v>
      </c>
      <c r="L51" s="10">
        <v>83.2</v>
      </c>
      <c r="M51" s="1">
        <v>2</v>
      </c>
      <c r="N51" s="14">
        <f t="shared" si="0"/>
        <v>107.82122905027931</v>
      </c>
      <c r="O51" s="14">
        <f t="shared" si="1"/>
        <v>82.954545454545453</v>
      </c>
      <c r="P51" s="14">
        <f t="shared" si="2"/>
        <v>104.87012987012987</v>
      </c>
      <c r="Q51" s="14">
        <f t="shared" si="3"/>
        <v>105.35714285714286</v>
      </c>
      <c r="R51" s="14">
        <f t="shared" si="4"/>
        <v>103.09789343246591</v>
      </c>
      <c r="S51" s="2">
        <v>186056.8040524417</v>
      </c>
      <c r="T51" s="2">
        <v>51936.55124564968</v>
      </c>
      <c r="U51" s="2">
        <v>111817.68874621049</v>
      </c>
      <c r="V51" s="2">
        <v>18474.420918710704</v>
      </c>
      <c r="W51" s="2">
        <v>3828.1431418707957</v>
      </c>
      <c r="X51" s="2">
        <v>6446.9836658697759</v>
      </c>
      <c r="Y51" s="2">
        <v>25375.782904575201</v>
      </c>
      <c r="Z51" s="2">
        <v>11967.950951656858</v>
      </c>
      <c r="AA51" s="2">
        <v>3323.4738694661319</v>
      </c>
      <c r="AB51" s="2">
        <v>7996.4292443776585</v>
      </c>
      <c r="AC51" s="2">
        <v>29.8</v>
      </c>
      <c r="AD51" s="2">
        <v>1270.5</v>
      </c>
      <c r="AE51" s="24"/>
    </row>
    <row r="52" spans="1:32">
      <c r="A52" s="1">
        <v>2019</v>
      </c>
      <c r="B52" s="9" t="s">
        <v>27</v>
      </c>
      <c r="C52" s="1" t="s">
        <v>140</v>
      </c>
      <c r="D52" s="10">
        <v>60</v>
      </c>
      <c r="E52" s="1">
        <v>10</v>
      </c>
      <c r="F52" s="10">
        <v>27.4</v>
      </c>
      <c r="G52" s="1">
        <v>7</v>
      </c>
      <c r="H52" s="10">
        <v>32.700000000000003</v>
      </c>
      <c r="I52" s="1">
        <v>32</v>
      </c>
      <c r="J52" s="10">
        <v>9.9</v>
      </c>
      <c r="K52" s="1">
        <v>40</v>
      </c>
      <c r="L52" s="10">
        <v>81.099999999999994</v>
      </c>
      <c r="M52" s="1">
        <v>5</v>
      </c>
      <c r="N52" s="14">
        <f t="shared" si="0"/>
        <v>103.09278350515463</v>
      </c>
      <c r="O52" s="14">
        <f t="shared" si="1"/>
        <v>100.73529411764706</v>
      </c>
      <c r="P52" s="14">
        <f t="shared" si="2"/>
        <v>97.611940298507477</v>
      </c>
      <c r="Q52" s="14">
        <f t="shared" si="3"/>
        <v>93.396226415094347</v>
      </c>
      <c r="R52" s="14">
        <f t="shared" si="4"/>
        <v>103.97435897435896</v>
      </c>
      <c r="S52" s="2">
        <v>191227.3832113196</v>
      </c>
      <c r="T52" s="2">
        <v>52199.613179616943</v>
      </c>
      <c r="U52" s="2">
        <v>116003.33155743568</v>
      </c>
      <c r="V52" s="2">
        <v>18497.101250397915</v>
      </c>
      <c r="W52" s="2">
        <v>4527.3372238690563</v>
      </c>
      <c r="X52" s="2">
        <v>6317.8698257064343</v>
      </c>
      <c r="Y52" s="2">
        <v>25675.13884225678</v>
      </c>
      <c r="Z52" s="2">
        <v>12253.385095613034</v>
      </c>
      <c r="AA52" s="2">
        <v>3634.1068849874146</v>
      </c>
      <c r="AB52" s="2">
        <v>7767.8731517511278</v>
      </c>
      <c r="AC52" s="2">
        <v>24</v>
      </c>
      <c r="AD52" s="2">
        <v>1092.8</v>
      </c>
      <c r="AE52" s="24"/>
    </row>
    <row r="53" spans="1:32">
      <c r="A53" s="1">
        <v>2019</v>
      </c>
      <c r="B53" s="9" t="s">
        <v>29</v>
      </c>
      <c r="C53" s="1" t="s">
        <v>141</v>
      </c>
      <c r="D53" s="10">
        <v>53.8</v>
      </c>
      <c r="E53" s="1">
        <v>27</v>
      </c>
      <c r="F53" s="10">
        <v>28.7</v>
      </c>
      <c r="G53" s="1">
        <v>6</v>
      </c>
      <c r="H53" s="10">
        <v>32.299999999999997</v>
      </c>
      <c r="I53" s="1">
        <v>40</v>
      </c>
      <c r="J53" s="10">
        <v>9.1999999999999993</v>
      </c>
      <c r="K53" s="1">
        <v>46</v>
      </c>
      <c r="L53" s="10">
        <v>79.3</v>
      </c>
      <c r="M53" s="1">
        <v>14</v>
      </c>
      <c r="N53" s="14">
        <f t="shared" si="0"/>
        <v>104.06189555125724</v>
      </c>
      <c r="O53" s="14">
        <f t="shared" si="1"/>
        <v>97.288135593220332</v>
      </c>
      <c r="P53" s="14">
        <f t="shared" si="2"/>
        <v>102.53968253968253</v>
      </c>
      <c r="Q53" s="14">
        <f t="shared" si="3"/>
        <v>85.981308411214954</v>
      </c>
      <c r="R53" s="14">
        <f t="shared" si="4"/>
        <v>104.06824146981626</v>
      </c>
      <c r="S53" s="2">
        <v>207061.34730914974</v>
      </c>
      <c r="T53" s="2">
        <v>59286.718296229519</v>
      </c>
      <c r="U53" s="2">
        <v>123264.73522303406</v>
      </c>
      <c r="V53" s="2">
        <v>20335.423347054995</v>
      </c>
      <c r="W53" s="2">
        <v>4174.4704428311634</v>
      </c>
      <c r="X53" s="2">
        <v>6766.8180962984106</v>
      </c>
      <c r="Y53" s="2">
        <v>26807.362238643575</v>
      </c>
      <c r="Z53" s="2">
        <v>12553.018218640787</v>
      </c>
      <c r="AA53" s="2">
        <v>4084.4791625348507</v>
      </c>
      <c r="AB53" s="2">
        <v>7809.8981337350733</v>
      </c>
      <c r="AC53" s="2">
        <v>30.6</v>
      </c>
      <c r="AD53" s="2">
        <v>1517</v>
      </c>
      <c r="AE53" s="24"/>
    </row>
    <row r="54" spans="1:32">
      <c r="A54" s="1">
        <v>2019</v>
      </c>
      <c r="B54" s="9" t="s">
        <v>31</v>
      </c>
      <c r="C54" s="1" t="s">
        <v>142</v>
      </c>
      <c r="D54" s="10">
        <v>73.8</v>
      </c>
      <c r="E54" s="1">
        <v>1</v>
      </c>
      <c r="F54" s="10">
        <v>24</v>
      </c>
      <c r="G54" s="1">
        <v>12</v>
      </c>
      <c r="H54" s="10">
        <v>33.6</v>
      </c>
      <c r="I54" s="1">
        <v>15</v>
      </c>
      <c r="J54" s="10">
        <v>11.5</v>
      </c>
      <c r="K54" s="1">
        <v>11</v>
      </c>
      <c r="L54" s="10">
        <v>81.2</v>
      </c>
      <c r="M54" s="1">
        <v>4</v>
      </c>
      <c r="N54" s="14">
        <f t="shared" si="0"/>
        <v>102.64255910987481</v>
      </c>
      <c r="O54" s="14">
        <f t="shared" si="1"/>
        <v>84.805653710247356</v>
      </c>
      <c r="P54" s="14">
        <f t="shared" si="2"/>
        <v>105.66037735849056</v>
      </c>
      <c r="Q54" s="14">
        <f t="shared" si="3"/>
        <v>110.57692307692308</v>
      </c>
      <c r="R54" s="14">
        <f t="shared" si="4"/>
        <v>103.70370370370372</v>
      </c>
      <c r="S54" s="2">
        <v>194064.71194683528</v>
      </c>
      <c r="T54" s="2">
        <v>55107.192711629767</v>
      </c>
      <c r="U54" s="2">
        <v>116260.9026283221</v>
      </c>
      <c r="V54" s="2">
        <v>18950.506200245763</v>
      </c>
      <c r="W54" s="2">
        <v>3746.1104066376342</v>
      </c>
      <c r="X54" s="2">
        <v>6123.7624379708832</v>
      </c>
      <c r="Y54" s="2">
        <v>26229.343641149662</v>
      </c>
      <c r="Z54" s="2">
        <v>12725.194925007381</v>
      </c>
      <c r="AA54" s="2">
        <v>4576.7213564273907</v>
      </c>
      <c r="AB54" s="2">
        <v>6821.7128759029138</v>
      </c>
      <c r="AC54" s="2">
        <v>27</v>
      </c>
      <c r="AD54" s="2">
        <v>1324.2</v>
      </c>
      <c r="AE54" s="24"/>
    </row>
    <row r="55" spans="1:32">
      <c r="A55" s="1">
        <v>2019</v>
      </c>
      <c r="B55" s="9" t="s">
        <v>33</v>
      </c>
      <c r="C55" s="1" t="s">
        <v>143</v>
      </c>
      <c r="D55" s="10">
        <v>55</v>
      </c>
      <c r="E55" s="1">
        <v>24</v>
      </c>
      <c r="F55" s="10">
        <v>23.9</v>
      </c>
      <c r="G55" s="1">
        <v>13</v>
      </c>
      <c r="H55" s="10">
        <v>33.9</v>
      </c>
      <c r="I55" s="1">
        <v>9</v>
      </c>
      <c r="J55" s="10">
        <v>10.6</v>
      </c>
      <c r="K55" s="1">
        <v>27</v>
      </c>
      <c r="L55" s="10">
        <v>79.5</v>
      </c>
      <c r="M55" s="1">
        <v>13</v>
      </c>
      <c r="N55" s="14">
        <f t="shared" si="0"/>
        <v>101.28913443830572</v>
      </c>
      <c r="O55" s="14">
        <f t="shared" si="1"/>
        <v>95.98393574297188</v>
      </c>
      <c r="P55" s="14">
        <f t="shared" si="2"/>
        <v>101.19402985074626</v>
      </c>
      <c r="Q55" s="14">
        <f t="shared" si="3"/>
        <v>108.16326530612244</v>
      </c>
      <c r="R55" s="14">
        <f t="shared" si="4"/>
        <v>104.60526315789474</v>
      </c>
      <c r="S55" s="2">
        <v>184276.21052165932</v>
      </c>
      <c r="T55" s="2">
        <v>51417.28223125395</v>
      </c>
      <c r="U55" s="2">
        <v>110882.88196730528</v>
      </c>
      <c r="V55" s="2">
        <v>17951.940303807281</v>
      </c>
      <c r="W55" s="2">
        <v>4024.1060192928267</v>
      </c>
      <c r="X55" s="2">
        <v>5684.0278211363111</v>
      </c>
      <c r="Y55" s="2">
        <v>25902.843036323542</v>
      </c>
      <c r="Z55" s="2">
        <v>12532.316599469586</v>
      </c>
      <c r="AA55" s="2">
        <v>3242.7207097182832</v>
      </c>
      <c r="AB55" s="2">
        <v>7981.8313741806114</v>
      </c>
      <c r="AC55" s="2">
        <v>27.9</v>
      </c>
      <c r="AD55" s="2">
        <v>1324.3</v>
      </c>
      <c r="AE55" s="24"/>
    </row>
    <row r="56" spans="1:32">
      <c r="A56" s="1">
        <v>2019</v>
      </c>
      <c r="B56" s="9" t="s">
        <v>35</v>
      </c>
      <c r="C56" s="1" t="s">
        <v>144</v>
      </c>
      <c r="D56" s="10">
        <v>52.8</v>
      </c>
      <c r="E56" s="1">
        <v>31</v>
      </c>
      <c r="F56" s="10">
        <v>20.2</v>
      </c>
      <c r="G56" s="1">
        <v>22</v>
      </c>
      <c r="H56" s="10">
        <v>32.4</v>
      </c>
      <c r="I56" s="1">
        <v>37</v>
      </c>
      <c r="J56" s="10">
        <v>11.4</v>
      </c>
      <c r="K56" s="1">
        <v>12</v>
      </c>
      <c r="L56" s="10">
        <v>76.599999999999994</v>
      </c>
      <c r="M56" s="1">
        <v>32</v>
      </c>
      <c r="N56" s="14">
        <f t="shared" si="0"/>
        <v>100.1897533206831</v>
      </c>
      <c r="O56" s="14">
        <f t="shared" si="1"/>
        <v>108.02139037433156</v>
      </c>
      <c r="P56" s="14">
        <f t="shared" si="2"/>
        <v>102.20820189274448</v>
      </c>
      <c r="Q56" s="14">
        <f t="shared" si="3"/>
        <v>103.63636363636364</v>
      </c>
      <c r="R56" s="14">
        <f t="shared" si="4"/>
        <v>104.21768707482993</v>
      </c>
      <c r="S56" s="2">
        <v>178153.10884976777</v>
      </c>
      <c r="T56" s="2">
        <v>47356.51550556541</v>
      </c>
      <c r="U56" s="2">
        <v>108571.6032525927</v>
      </c>
      <c r="V56" s="2">
        <v>18646.129017803367</v>
      </c>
      <c r="W56" s="2">
        <v>3578.8610738062926</v>
      </c>
      <c r="X56" s="2">
        <v>5978.9148472721163</v>
      </c>
      <c r="Y56" s="2">
        <v>22488.638218809556</v>
      </c>
      <c r="Z56" s="2">
        <v>10028.079014457455</v>
      </c>
      <c r="AA56" s="2">
        <v>3036.5604187192271</v>
      </c>
      <c r="AB56" s="2">
        <v>7418.7117055836716</v>
      </c>
      <c r="AC56" s="2">
        <v>26.5</v>
      </c>
      <c r="AD56" s="2">
        <v>1078.8</v>
      </c>
      <c r="AE56" s="24"/>
    </row>
    <row r="57" spans="1:32">
      <c r="A57" s="1">
        <v>2019</v>
      </c>
      <c r="B57" s="9" t="s">
        <v>37</v>
      </c>
      <c r="C57" s="1" t="s">
        <v>145</v>
      </c>
      <c r="D57" s="10">
        <v>53.3</v>
      </c>
      <c r="E57" s="1">
        <v>29</v>
      </c>
      <c r="F57" s="10">
        <v>22.7</v>
      </c>
      <c r="G57" s="1">
        <v>16</v>
      </c>
      <c r="H57" s="10">
        <v>33.9</v>
      </c>
      <c r="I57" s="1">
        <v>10</v>
      </c>
      <c r="J57" s="10">
        <v>10</v>
      </c>
      <c r="K57" s="1">
        <v>39</v>
      </c>
      <c r="L57" s="10">
        <v>76.7</v>
      </c>
      <c r="M57" s="1">
        <v>31</v>
      </c>
      <c r="N57" s="14">
        <f t="shared" si="0"/>
        <v>102.10727969348659</v>
      </c>
      <c r="O57" s="14">
        <f t="shared" si="1"/>
        <v>105.58139534883722</v>
      </c>
      <c r="P57" s="14">
        <f t="shared" si="2"/>
        <v>102.72727272727273</v>
      </c>
      <c r="Q57" s="14">
        <f t="shared" si="3"/>
        <v>105.26315789473684</v>
      </c>
      <c r="R57" s="14">
        <f t="shared" si="4"/>
        <v>104.49591280653951</v>
      </c>
      <c r="S57" s="2">
        <v>182310.95722036145</v>
      </c>
      <c r="T57" s="2">
        <v>48147.117050870511</v>
      </c>
      <c r="U57" s="2">
        <v>111355.23114883235</v>
      </c>
      <c r="V57" s="2">
        <v>18221.556020572181</v>
      </c>
      <c r="W57" s="2">
        <v>4587.0530000864064</v>
      </c>
      <c r="X57" s="2">
        <v>5987.2677927042387</v>
      </c>
      <c r="Y57" s="2">
        <v>22723.499568847219</v>
      </c>
      <c r="Z57" s="2">
        <v>10311.419142304443</v>
      </c>
      <c r="AA57" s="2">
        <v>3439.0825647249062</v>
      </c>
      <c r="AB57" s="2">
        <v>7003.8703072415992</v>
      </c>
      <c r="AC57" s="2">
        <v>28.5</v>
      </c>
      <c r="AD57" s="2">
        <v>1082.2</v>
      </c>
      <c r="AE57" s="24"/>
      <c r="AF57" s="26" t="s">
        <v>201</v>
      </c>
    </row>
    <row r="58" spans="1:32">
      <c r="A58" s="1">
        <v>2019</v>
      </c>
      <c r="B58" s="9" t="s">
        <v>39</v>
      </c>
      <c r="C58" s="1" t="s">
        <v>146</v>
      </c>
      <c r="D58" s="10">
        <v>51.2</v>
      </c>
      <c r="E58" s="1">
        <v>36</v>
      </c>
      <c r="F58" s="10">
        <v>13.5</v>
      </c>
      <c r="G58" s="1">
        <v>40</v>
      </c>
      <c r="H58" s="10">
        <v>33</v>
      </c>
      <c r="I58" s="1">
        <v>27</v>
      </c>
      <c r="J58" s="10">
        <v>10.3</v>
      </c>
      <c r="K58" s="1">
        <v>36</v>
      </c>
      <c r="L58" s="10">
        <v>77.8</v>
      </c>
      <c r="M58" s="1">
        <v>24</v>
      </c>
      <c r="N58" s="14">
        <f t="shared" si="0"/>
        <v>103.64372469635627</v>
      </c>
      <c r="O58" s="14">
        <f t="shared" si="1"/>
        <v>108</v>
      </c>
      <c r="P58" s="14">
        <f t="shared" si="2"/>
        <v>103.44827586206897</v>
      </c>
      <c r="Q58" s="14">
        <f t="shared" si="3"/>
        <v>93.63636363636364</v>
      </c>
      <c r="R58" s="14">
        <f t="shared" si="4"/>
        <v>103.73333333333332</v>
      </c>
      <c r="S58" s="2">
        <v>176581.3153635877</v>
      </c>
      <c r="T58" s="2">
        <v>47350.856386380197</v>
      </c>
      <c r="U58" s="2">
        <v>106656.49611359782</v>
      </c>
      <c r="V58" s="2">
        <v>18080.797508020369</v>
      </c>
      <c r="W58" s="2">
        <v>4493.1653555893126</v>
      </c>
      <c r="X58" s="2">
        <v>5620.3849277592826</v>
      </c>
      <c r="Y58" s="2">
        <v>21224.159652777784</v>
      </c>
      <c r="Z58" s="2">
        <v>9252.4338709852527</v>
      </c>
      <c r="AA58" s="2">
        <v>2644.223230512373</v>
      </c>
      <c r="AB58" s="2">
        <v>7274.1642706220537</v>
      </c>
      <c r="AC58" s="2">
        <v>27.3</v>
      </c>
      <c r="AD58" s="2">
        <v>1230.9000000000001</v>
      </c>
      <c r="AE58" s="24"/>
    </row>
    <row r="59" spans="1:32">
      <c r="A59" s="1">
        <v>2019</v>
      </c>
      <c r="B59" s="9" t="s">
        <v>41</v>
      </c>
      <c r="C59" s="1" t="s">
        <v>147</v>
      </c>
      <c r="D59" s="10">
        <v>47</v>
      </c>
      <c r="E59" s="1">
        <v>44</v>
      </c>
      <c r="F59" s="10">
        <v>8.4</v>
      </c>
      <c r="G59" s="1">
        <v>46</v>
      </c>
      <c r="H59" s="10">
        <v>31.7</v>
      </c>
      <c r="I59" s="1">
        <v>44</v>
      </c>
      <c r="J59" s="10">
        <v>10.5</v>
      </c>
      <c r="K59" s="1">
        <v>29</v>
      </c>
      <c r="L59" s="10">
        <v>77.599999999999994</v>
      </c>
      <c r="M59" s="1">
        <v>26</v>
      </c>
      <c r="N59" s="14">
        <f t="shared" si="0"/>
        <v>109.04872389791183</v>
      </c>
      <c r="O59" s="14">
        <f t="shared" si="1"/>
        <v>91.304347826086968</v>
      </c>
      <c r="P59" s="14">
        <f t="shared" si="2"/>
        <v>100.31645569620254</v>
      </c>
      <c r="Q59" s="14">
        <f t="shared" si="3"/>
        <v>97.222222222222214</v>
      </c>
      <c r="R59" s="14">
        <f t="shared" si="4"/>
        <v>104.02144772117963</v>
      </c>
      <c r="S59" s="2">
        <v>177218.73988704546</v>
      </c>
      <c r="T59" s="2">
        <v>46754.659043918808</v>
      </c>
      <c r="U59" s="2">
        <v>106319.00023517046</v>
      </c>
      <c r="V59" s="2">
        <v>19243.861748621632</v>
      </c>
      <c r="W59" s="2">
        <v>4901.21885933456</v>
      </c>
      <c r="X59" s="2">
        <v>6421.6894913689121</v>
      </c>
      <c r="Y59" s="2">
        <v>21194.20655620535</v>
      </c>
      <c r="Z59" s="2">
        <v>9751.3682145071289</v>
      </c>
      <c r="AA59" s="2">
        <v>2588.868835127907</v>
      </c>
      <c r="AB59" s="2">
        <v>6791.2396969362453</v>
      </c>
      <c r="AC59" s="2">
        <v>27.2</v>
      </c>
      <c r="AD59" s="2">
        <v>853.8</v>
      </c>
      <c r="AE59" s="24"/>
    </row>
    <row r="60" spans="1:32">
      <c r="A60" s="1">
        <v>2019</v>
      </c>
      <c r="B60" s="9" t="s">
        <v>43</v>
      </c>
      <c r="C60" s="1" t="s">
        <v>148</v>
      </c>
      <c r="D60" s="10">
        <v>43.8</v>
      </c>
      <c r="E60" s="1">
        <v>47</v>
      </c>
      <c r="F60" s="10">
        <v>12.9</v>
      </c>
      <c r="G60" s="1">
        <v>41</v>
      </c>
      <c r="H60" s="10">
        <v>32.4</v>
      </c>
      <c r="I60" s="1">
        <v>36</v>
      </c>
      <c r="J60" s="10">
        <v>10.199999999999999</v>
      </c>
      <c r="K60" s="1">
        <v>38</v>
      </c>
      <c r="L60" s="10">
        <v>78</v>
      </c>
      <c r="M60" s="1">
        <v>23</v>
      </c>
      <c r="N60" s="14">
        <f t="shared" si="0"/>
        <v>101.86046511627906</v>
      </c>
      <c r="O60" s="14">
        <f t="shared" si="1"/>
        <v>72.471910112359552</v>
      </c>
      <c r="P60" s="14">
        <f t="shared" si="2"/>
        <v>97.297297297297305</v>
      </c>
      <c r="Q60" s="14">
        <f t="shared" si="3"/>
        <v>104.08163265306121</v>
      </c>
      <c r="R60" s="14">
        <f t="shared" si="4"/>
        <v>104</v>
      </c>
      <c r="S60" s="2">
        <v>181356.26460835992</v>
      </c>
      <c r="T60" s="2">
        <v>49078.396755525544</v>
      </c>
      <c r="U60" s="2">
        <v>108031.62297609836</v>
      </c>
      <c r="V60" s="2">
        <v>19775.388734608179</v>
      </c>
      <c r="W60" s="2">
        <v>4470.8561421278482</v>
      </c>
      <c r="X60" s="2">
        <v>6967.7242379106747</v>
      </c>
      <c r="Y60" s="2">
        <v>21908.047950706714</v>
      </c>
      <c r="Z60" s="2">
        <v>9605.8449994715847</v>
      </c>
      <c r="AA60" s="2">
        <v>2792.254442394028</v>
      </c>
      <c r="AB60" s="2">
        <v>7488.1610491093052</v>
      </c>
      <c r="AC60" s="2">
        <v>25.2</v>
      </c>
      <c r="AD60" s="2">
        <v>947.6</v>
      </c>
      <c r="AE60" s="24"/>
    </row>
    <row r="61" spans="1:32">
      <c r="A61" s="1">
        <v>2019</v>
      </c>
      <c r="B61" s="9" t="s">
        <v>45</v>
      </c>
      <c r="C61" s="1" t="s">
        <v>149</v>
      </c>
      <c r="D61" s="10">
        <v>50.5</v>
      </c>
      <c r="E61" s="1">
        <v>38</v>
      </c>
      <c r="F61" s="10">
        <v>7.5</v>
      </c>
      <c r="G61" s="1">
        <v>47</v>
      </c>
      <c r="H61" s="10">
        <v>32.9</v>
      </c>
      <c r="I61" s="1">
        <v>28</v>
      </c>
      <c r="J61" s="10">
        <v>9.9</v>
      </c>
      <c r="K61" s="1">
        <v>41</v>
      </c>
      <c r="L61" s="10">
        <v>76.3</v>
      </c>
      <c r="M61" s="1">
        <v>34</v>
      </c>
      <c r="N61" s="14">
        <f t="shared" si="0"/>
        <v>106.31578947368421</v>
      </c>
      <c r="O61" s="14">
        <f t="shared" si="1"/>
        <v>102.73972602739727</v>
      </c>
      <c r="P61" s="14">
        <f t="shared" si="2"/>
        <v>100</v>
      </c>
      <c r="Q61" s="14">
        <f t="shared" si="3"/>
        <v>102.06185567010311</v>
      </c>
      <c r="R61" s="14">
        <f t="shared" si="4"/>
        <v>104.37756497948017</v>
      </c>
      <c r="S61" s="2">
        <v>177350.19285018565</v>
      </c>
      <c r="T61" s="2">
        <v>44383.599458815122</v>
      </c>
      <c r="U61" s="2">
        <v>107302.49936921187</v>
      </c>
      <c r="V61" s="2">
        <v>20754.81739961456</v>
      </c>
      <c r="W61" s="2">
        <v>4909.2766225440828</v>
      </c>
      <c r="X61" s="2">
        <v>5343.407898486772</v>
      </c>
      <c r="Y61" s="2">
        <v>17424.340526644308</v>
      </c>
      <c r="Z61" s="2">
        <v>7511.183144835778</v>
      </c>
      <c r="AA61" s="2">
        <v>2554.8276357491177</v>
      </c>
      <c r="AB61" s="2">
        <v>5618.2341529036285</v>
      </c>
      <c r="AC61" s="2">
        <v>21.7</v>
      </c>
      <c r="AD61" s="2">
        <v>915.3</v>
      </c>
      <c r="AE61" s="24"/>
    </row>
    <row r="62" spans="1:32">
      <c r="A62" s="1">
        <v>2019</v>
      </c>
      <c r="B62" s="9" t="s">
        <v>47</v>
      </c>
      <c r="C62" s="1" t="s">
        <v>150</v>
      </c>
      <c r="D62" s="10">
        <v>46.1</v>
      </c>
      <c r="E62" s="1">
        <v>45</v>
      </c>
      <c r="F62" s="10">
        <v>8.9</v>
      </c>
      <c r="G62" s="1">
        <v>45</v>
      </c>
      <c r="H62" s="10">
        <v>32.1</v>
      </c>
      <c r="I62" s="1">
        <v>42</v>
      </c>
      <c r="J62" s="10">
        <v>10.4</v>
      </c>
      <c r="K62" s="1">
        <v>30</v>
      </c>
      <c r="L62" s="10">
        <v>76.8</v>
      </c>
      <c r="M62" s="1">
        <v>30</v>
      </c>
      <c r="N62" s="14">
        <f t="shared" si="0"/>
        <v>108.98345153664305</v>
      </c>
      <c r="O62" s="14">
        <f t="shared" si="1"/>
        <v>130.88235294117646</v>
      </c>
      <c r="P62" s="14">
        <f t="shared" si="2"/>
        <v>98.769230769230774</v>
      </c>
      <c r="Q62" s="14">
        <f t="shared" si="3"/>
        <v>99.047619047619051</v>
      </c>
      <c r="R62" s="14">
        <f t="shared" si="4"/>
        <v>104.06504065040652</v>
      </c>
      <c r="S62" s="2">
        <v>185918.24748797098</v>
      </c>
      <c r="T62" s="2">
        <v>48944.451119863683</v>
      </c>
      <c r="U62" s="2">
        <v>111652.63093561042</v>
      </c>
      <c r="V62" s="2">
        <v>20666.900933658257</v>
      </c>
      <c r="W62" s="2">
        <v>4654.264498838611</v>
      </c>
      <c r="X62" s="2">
        <v>6334.2560960083101</v>
      </c>
      <c r="Y62" s="2">
        <v>20712.614861476439</v>
      </c>
      <c r="Z62" s="2">
        <v>8932.8863536950266</v>
      </c>
      <c r="AA62" s="2">
        <v>3014.2023297315604</v>
      </c>
      <c r="AB62" s="2">
        <v>6750.4171028838828</v>
      </c>
      <c r="AC62" s="2">
        <v>21.8</v>
      </c>
      <c r="AD62" s="2">
        <v>804.7</v>
      </c>
      <c r="AE62" s="24"/>
    </row>
    <row r="63" spans="1:32">
      <c r="A63" s="1">
        <v>2019</v>
      </c>
      <c r="B63" s="9" t="s">
        <v>49</v>
      </c>
      <c r="C63" s="1" t="s">
        <v>151</v>
      </c>
      <c r="D63" s="10">
        <v>66.400000000000006</v>
      </c>
      <c r="E63" s="1">
        <v>2</v>
      </c>
      <c r="F63" s="10">
        <v>17.7</v>
      </c>
      <c r="G63" s="1">
        <v>31</v>
      </c>
      <c r="H63" s="10">
        <v>33.4</v>
      </c>
      <c r="I63" s="1">
        <v>17</v>
      </c>
      <c r="J63" s="10">
        <v>10.6</v>
      </c>
      <c r="K63" s="1">
        <v>23</v>
      </c>
      <c r="L63" s="10">
        <v>79.3</v>
      </c>
      <c r="M63" s="1">
        <v>15</v>
      </c>
      <c r="N63" s="14">
        <f t="shared" si="0"/>
        <v>102.46913580246914</v>
      </c>
      <c r="O63" s="14">
        <f t="shared" si="1"/>
        <v>103.50877192982455</v>
      </c>
      <c r="P63" s="14">
        <f t="shared" si="2"/>
        <v>100</v>
      </c>
      <c r="Q63" s="14">
        <f t="shared" si="3"/>
        <v>107.07070707070707</v>
      </c>
      <c r="R63" s="14">
        <f t="shared" si="4"/>
        <v>104.20499342969778</v>
      </c>
      <c r="S63" s="2">
        <v>174138.30824651546</v>
      </c>
      <c r="T63" s="2">
        <v>46710.68122793558</v>
      </c>
      <c r="U63" s="2">
        <v>105319.8089927632</v>
      </c>
      <c r="V63" s="2">
        <v>18548.031461520768</v>
      </c>
      <c r="W63" s="2">
        <v>3559.7865642959055</v>
      </c>
      <c r="X63" s="2">
        <v>5044.3542167952855</v>
      </c>
      <c r="Y63" s="2">
        <v>19924.735387001449</v>
      </c>
      <c r="Z63" s="2">
        <v>8781.7765142478656</v>
      </c>
      <c r="AA63" s="2">
        <v>3479.8363987573753</v>
      </c>
      <c r="AB63" s="2">
        <v>5849.0995265666324</v>
      </c>
      <c r="AC63" s="2">
        <v>30.3</v>
      </c>
      <c r="AD63" s="2">
        <v>1257.8</v>
      </c>
      <c r="AE63" s="24"/>
    </row>
    <row r="64" spans="1:32">
      <c r="A64" s="1">
        <v>2019</v>
      </c>
      <c r="B64" s="9" t="s">
        <v>51</v>
      </c>
      <c r="C64" s="1" t="s">
        <v>152</v>
      </c>
      <c r="D64" s="10">
        <v>66.3</v>
      </c>
      <c r="E64" s="1">
        <v>3</v>
      </c>
      <c r="F64" s="10">
        <v>29.3</v>
      </c>
      <c r="G64" s="1">
        <v>5</v>
      </c>
      <c r="H64" s="10">
        <v>31.4</v>
      </c>
      <c r="I64" s="1">
        <v>46</v>
      </c>
      <c r="J64" s="10">
        <v>14.4</v>
      </c>
      <c r="K64" s="1">
        <v>2</v>
      </c>
      <c r="L64" s="10">
        <v>78.8</v>
      </c>
      <c r="M64" s="1">
        <v>18</v>
      </c>
      <c r="N64" s="14">
        <f t="shared" si="0"/>
        <v>103.43213728549144</v>
      </c>
      <c r="O64" s="14">
        <f t="shared" si="1"/>
        <v>113.56589147286822</v>
      </c>
      <c r="P64" s="14">
        <f t="shared" si="2"/>
        <v>99.682539682539669</v>
      </c>
      <c r="Q64" s="14">
        <f t="shared" si="3"/>
        <v>135.84905660377359</v>
      </c>
      <c r="R64" s="14">
        <f t="shared" si="4"/>
        <v>104.23280423280423</v>
      </c>
      <c r="S64" s="2">
        <v>175833.75119391939</v>
      </c>
      <c r="T64" s="2">
        <v>50848.021827489247</v>
      </c>
      <c r="U64" s="2">
        <v>102481.07594884535</v>
      </c>
      <c r="V64" s="2">
        <v>17907.63094734239</v>
      </c>
      <c r="W64" s="2">
        <v>4597.0224702424339</v>
      </c>
      <c r="X64" s="2">
        <v>6348.5307964439853</v>
      </c>
      <c r="Y64" s="2">
        <v>19896.444060164584</v>
      </c>
      <c r="Z64" s="2">
        <v>8690.6318772434461</v>
      </c>
      <c r="AA64" s="2">
        <v>2858.2370279615452</v>
      </c>
      <c r="AB64" s="2">
        <v>6432.3822003057849</v>
      </c>
      <c r="AC64" s="2">
        <v>30.2</v>
      </c>
      <c r="AD64" s="2">
        <v>1516.7</v>
      </c>
      <c r="AE64" s="24"/>
    </row>
    <row r="65" spans="1:31">
      <c r="A65" s="1">
        <v>2019</v>
      </c>
      <c r="B65" s="9" t="s">
        <v>53</v>
      </c>
      <c r="C65" s="1" t="s">
        <v>153</v>
      </c>
      <c r="D65" s="10">
        <v>63.7</v>
      </c>
      <c r="E65" s="1">
        <v>7</v>
      </c>
      <c r="F65" s="10">
        <v>21.1</v>
      </c>
      <c r="G65" s="1">
        <v>21</v>
      </c>
      <c r="H65" s="10">
        <v>31.5</v>
      </c>
      <c r="I65" s="1">
        <v>45</v>
      </c>
      <c r="J65" s="10">
        <v>12.1</v>
      </c>
      <c r="K65" s="1">
        <v>7</v>
      </c>
      <c r="L65" s="10">
        <v>77.8</v>
      </c>
      <c r="M65" s="1">
        <v>25</v>
      </c>
      <c r="N65" s="14">
        <f t="shared" si="0"/>
        <v>103.07443365695794</v>
      </c>
      <c r="O65" s="14">
        <f t="shared" si="1"/>
        <v>97.68518518518519</v>
      </c>
      <c r="P65" s="14">
        <f t="shared" si="2"/>
        <v>99.056603773584911</v>
      </c>
      <c r="Q65" s="14">
        <f t="shared" si="3"/>
        <v>104.31034482758621</v>
      </c>
      <c r="R65" s="14">
        <f t="shared" si="4"/>
        <v>103.87182910547395</v>
      </c>
      <c r="S65" s="2">
        <v>187098.49864819704</v>
      </c>
      <c r="T65" s="2">
        <v>56770.824478508199</v>
      </c>
      <c r="U65" s="2">
        <v>107972.03246346577</v>
      </c>
      <c r="V65" s="2">
        <v>17704.865535681969</v>
      </c>
      <c r="W65" s="2">
        <v>4650.7761705411049</v>
      </c>
      <c r="X65" s="2">
        <v>6851.8938019913103</v>
      </c>
      <c r="Y65" s="2">
        <v>20640.326350610598</v>
      </c>
      <c r="Z65" s="2">
        <v>8394.4786529550001</v>
      </c>
      <c r="AA65" s="2">
        <v>3195.6271865764265</v>
      </c>
      <c r="AB65" s="2">
        <v>6970.1899147818112</v>
      </c>
      <c r="AC65" s="2">
        <v>30.4</v>
      </c>
      <c r="AD65" s="2">
        <v>1529.9</v>
      </c>
      <c r="AE65" s="24"/>
    </row>
    <row r="66" spans="1:31">
      <c r="A66" s="1">
        <v>2019</v>
      </c>
      <c r="B66" s="9" t="s">
        <v>55</v>
      </c>
      <c r="C66" s="1" t="s">
        <v>154</v>
      </c>
      <c r="D66" s="10">
        <v>61.2</v>
      </c>
      <c r="E66" s="1">
        <v>8</v>
      </c>
      <c r="F66" s="10">
        <v>19.600000000000001</v>
      </c>
      <c r="G66" s="1">
        <v>25</v>
      </c>
      <c r="H66" s="10">
        <v>33.700000000000003</v>
      </c>
      <c r="I66" s="1">
        <v>12</v>
      </c>
      <c r="J66" s="10">
        <v>17.3</v>
      </c>
      <c r="K66" s="1">
        <v>1</v>
      </c>
      <c r="L66" s="10">
        <v>77.5</v>
      </c>
      <c r="M66" s="1">
        <v>27</v>
      </c>
      <c r="N66" s="14">
        <f t="shared" si="0"/>
        <v>102</v>
      </c>
      <c r="O66" s="14">
        <f t="shared" si="1"/>
        <v>111.36363636363636</v>
      </c>
      <c r="P66" s="14">
        <f t="shared" si="2"/>
        <v>103.69230769230771</v>
      </c>
      <c r="Q66" s="14">
        <f t="shared" si="3"/>
        <v>106.79012345679013</v>
      </c>
      <c r="R66" s="14">
        <f t="shared" si="4"/>
        <v>103.6096256684492</v>
      </c>
      <c r="S66" s="2">
        <v>186395.32620019629</v>
      </c>
      <c r="T66" s="2">
        <v>56532.153714969609</v>
      </c>
      <c r="U66" s="2">
        <v>107552.52119303436</v>
      </c>
      <c r="V66" s="2">
        <v>17519.497557877585</v>
      </c>
      <c r="W66" s="2">
        <v>4791.1537343147156</v>
      </c>
      <c r="X66" s="2">
        <v>6357.0713423618618</v>
      </c>
      <c r="Y66" s="2">
        <v>21945.569387045674</v>
      </c>
      <c r="Z66" s="2">
        <v>9601.4821099072014</v>
      </c>
      <c r="AA66" s="2">
        <v>3193.0659714637295</v>
      </c>
      <c r="AB66" s="2">
        <v>7146.2998674782821</v>
      </c>
      <c r="AC66" s="2">
        <v>27.4</v>
      </c>
      <c r="AD66" s="2">
        <v>1368.4</v>
      </c>
      <c r="AE66" s="24"/>
    </row>
    <row r="67" spans="1:31">
      <c r="A67" s="1">
        <v>2019</v>
      </c>
      <c r="B67" s="9" t="s">
        <v>57</v>
      </c>
      <c r="C67" s="1" t="s">
        <v>155</v>
      </c>
      <c r="D67" s="10">
        <v>65.099999999999994</v>
      </c>
      <c r="E67" s="1">
        <v>5</v>
      </c>
      <c r="F67" s="10">
        <v>18.899999999999999</v>
      </c>
      <c r="G67" s="1">
        <v>27</v>
      </c>
      <c r="H67" s="10">
        <v>31.7</v>
      </c>
      <c r="I67" s="1">
        <v>43</v>
      </c>
      <c r="J67" s="10">
        <v>9.1999999999999993</v>
      </c>
      <c r="K67" s="1">
        <v>45</v>
      </c>
      <c r="L67" s="10">
        <v>74.8</v>
      </c>
      <c r="M67" s="1">
        <v>39</v>
      </c>
      <c r="N67" s="14">
        <f t="shared" si="0"/>
        <v>102.84360189573458</v>
      </c>
      <c r="O67" s="14">
        <f t="shared" si="1"/>
        <v>116.66666666666667</v>
      </c>
      <c r="P67" s="14">
        <f t="shared" si="2"/>
        <v>99.685534591194966</v>
      </c>
      <c r="Q67" s="14">
        <f t="shared" si="3"/>
        <v>94.845360824742258</v>
      </c>
      <c r="R67" s="14">
        <f t="shared" si="4"/>
        <v>107.31707317073169</v>
      </c>
      <c r="S67" s="2">
        <v>183950.46138953636</v>
      </c>
      <c r="T67" s="2">
        <v>50278.722371872653</v>
      </c>
      <c r="U67" s="2">
        <v>109846.99086019155</v>
      </c>
      <c r="V67" s="2">
        <v>19264.668488579973</v>
      </c>
      <c r="W67" s="2">
        <v>4560.0796688921673</v>
      </c>
      <c r="X67" s="2">
        <v>5495.7973198684931</v>
      </c>
      <c r="Y67" s="2">
        <v>21285.870906052081</v>
      </c>
      <c r="Z67" s="2">
        <v>9357.2977791387202</v>
      </c>
      <c r="AA67" s="2">
        <v>2966.7220050604046</v>
      </c>
      <c r="AB67" s="2">
        <v>6975.6506637109796</v>
      </c>
      <c r="AC67" s="2">
        <v>28.5</v>
      </c>
      <c r="AD67" s="2">
        <v>1317.4</v>
      </c>
      <c r="AE67" s="24"/>
    </row>
    <row r="68" spans="1:31">
      <c r="A68" s="1">
        <v>2019</v>
      </c>
      <c r="B68" s="9" t="s">
        <v>59</v>
      </c>
      <c r="C68" s="1" t="s">
        <v>156</v>
      </c>
      <c r="D68" s="10">
        <v>58.7</v>
      </c>
      <c r="E68" s="1">
        <v>11</v>
      </c>
      <c r="F68" s="10">
        <v>22.5</v>
      </c>
      <c r="G68" s="1">
        <v>18</v>
      </c>
      <c r="H68" s="10">
        <v>33.1</v>
      </c>
      <c r="I68" s="1">
        <v>23</v>
      </c>
      <c r="J68" s="10">
        <v>9.9</v>
      </c>
      <c r="K68" s="1">
        <v>42</v>
      </c>
      <c r="L68" s="10">
        <v>79.099999999999994</v>
      </c>
      <c r="M68" s="1">
        <v>17</v>
      </c>
      <c r="N68" s="14">
        <f t="shared" si="0"/>
        <v>105.19713261648747</v>
      </c>
      <c r="O68" s="14">
        <f t="shared" si="1"/>
        <v>91.093117408906892</v>
      </c>
      <c r="P68" s="14">
        <f t="shared" si="2"/>
        <v>103.4375</v>
      </c>
      <c r="Q68" s="14">
        <f t="shared" si="3"/>
        <v>91.666666666666657</v>
      </c>
      <c r="R68" s="14">
        <f t="shared" si="4"/>
        <v>103.26370757180156</v>
      </c>
      <c r="S68" s="2">
        <v>175086.42900908669</v>
      </c>
      <c r="T68" s="2">
        <v>50498.567503371989</v>
      </c>
      <c r="U68" s="2">
        <v>102589.09990755476</v>
      </c>
      <c r="V68" s="2">
        <v>17692.49251064923</v>
      </c>
      <c r="W68" s="2">
        <v>4306.2690875106846</v>
      </c>
      <c r="X68" s="2">
        <v>5449.7442961737406</v>
      </c>
      <c r="Y68" s="2">
        <v>19189.766982983056</v>
      </c>
      <c r="Z68" s="2">
        <v>8278.3259092974986</v>
      </c>
      <c r="AA68" s="2">
        <v>3004.6188924900753</v>
      </c>
      <c r="AB68" s="2">
        <v>6000.587150494488</v>
      </c>
      <c r="AC68" s="2">
        <v>23.5</v>
      </c>
      <c r="AD68" s="2">
        <v>1141.4000000000001</v>
      </c>
      <c r="AE68" s="24"/>
    </row>
    <row r="69" spans="1:31">
      <c r="A69" s="1">
        <v>2019</v>
      </c>
      <c r="B69" s="9" t="s">
        <v>61</v>
      </c>
      <c r="C69" s="1" t="s">
        <v>157</v>
      </c>
      <c r="D69" s="10">
        <v>57</v>
      </c>
      <c r="E69" s="1">
        <v>17</v>
      </c>
      <c r="F69" s="10">
        <v>27.4</v>
      </c>
      <c r="G69" s="1">
        <v>8</v>
      </c>
      <c r="H69" s="10">
        <v>33.6</v>
      </c>
      <c r="I69" s="1">
        <v>14</v>
      </c>
      <c r="J69" s="10">
        <v>9.6</v>
      </c>
      <c r="K69" s="1">
        <v>43</v>
      </c>
      <c r="L69" s="10">
        <v>75.5</v>
      </c>
      <c r="M69" s="1">
        <v>38</v>
      </c>
      <c r="N69" s="14">
        <f t="shared" si="0"/>
        <v>99.824868651488615</v>
      </c>
      <c r="O69" s="14">
        <f t="shared" si="1"/>
        <v>133.65853658536585</v>
      </c>
      <c r="P69" s="14">
        <f t="shared" si="2"/>
        <v>99.703264094955486</v>
      </c>
      <c r="Q69" s="14">
        <f t="shared" si="3"/>
        <v>94.117647058823522</v>
      </c>
      <c r="R69" s="14">
        <f t="shared" si="4"/>
        <v>104.13793103448276</v>
      </c>
      <c r="S69" s="2">
        <v>179707.57664784518</v>
      </c>
      <c r="T69" s="2">
        <v>46394.472353543846</v>
      </c>
      <c r="U69" s="2">
        <v>107376.2172097752</v>
      </c>
      <c r="V69" s="2">
        <v>21138.218198605482</v>
      </c>
      <c r="W69" s="2">
        <v>4798.6688859206415</v>
      </c>
      <c r="X69" s="2">
        <v>5190.8907958511063</v>
      </c>
      <c r="Y69" s="2">
        <v>20717.661389531171</v>
      </c>
      <c r="Z69" s="2">
        <v>9202.6398068140243</v>
      </c>
      <c r="AA69" s="2">
        <v>3175.4703075265897</v>
      </c>
      <c r="AB69" s="2">
        <v>6415.6815651021843</v>
      </c>
      <c r="AC69" s="2">
        <v>24.1</v>
      </c>
      <c r="AD69" s="2">
        <v>1011.4</v>
      </c>
      <c r="AE69" s="24"/>
    </row>
    <row r="70" spans="1:31">
      <c r="A70" s="1">
        <v>2019</v>
      </c>
      <c r="B70" s="9" t="s">
        <v>63</v>
      </c>
      <c r="C70" s="1" t="s">
        <v>158</v>
      </c>
      <c r="D70" s="10">
        <v>55.1</v>
      </c>
      <c r="E70" s="1">
        <v>23</v>
      </c>
      <c r="F70" s="10">
        <v>14.7</v>
      </c>
      <c r="G70" s="1">
        <v>37</v>
      </c>
      <c r="H70" s="10">
        <v>33.700000000000003</v>
      </c>
      <c r="I70" s="1">
        <v>11</v>
      </c>
      <c r="J70" s="10">
        <v>10.3</v>
      </c>
      <c r="K70" s="1">
        <v>34</v>
      </c>
      <c r="L70" s="10">
        <v>78.2</v>
      </c>
      <c r="M70" s="1">
        <v>22</v>
      </c>
      <c r="N70" s="14">
        <f t="shared" si="0"/>
        <v>105.96153846153847</v>
      </c>
      <c r="O70" s="14">
        <f t="shared" si="1"/>
        <v>109.70149253731343</v>
      </c>
      <c r="P70" s="14">
        <f t="shared" si="2"/>
        <v>96.83908045977013</v>
      </c>
      <c r="Q70" s="14">
        <f t="shared" si="3"/>
        <v>106.1855670103093</v>
      </c>
      <c r="R70" s="14">
        <f t="shared" si="4"/>
        <v>103.71352785145889</v>
      </c>
      <c r="S70" s="2">
        <v>176994.79493686129</v>
      </c>
      <c r="T70" s="2">
        <v>46073.644275763159</v>
      </c>
      <c r="U70" s="2">
        <v>109117.73764589988</v>
      </c>
      <c r="V70" s="2">
        <v>18122.368840543964</v>
      </c>
      <c r="W70" s="2">
        <v>3681.0441746543115</v>
      </c>
      <c r="X70" s="2">
        <v>5842.2205140573069</v>
      </c>
      <c r="Y70" s="2">
        <v>20535.730306119385</v>
      </c>
      <c r="Z70" s="2">
        <v>8756.418518942608</v>
      </c>
      <c r="AA70" s="2">
        <v>3253.4836306179368</v>
      </c>
      <c r="AB70" s="2">
        <v>6606.6083211107198</v>
      </c>
      <c r="AC70" s="2">
        <v>26.7</v>
      </c>
      <c r="AD70" s="2">
        <v>1037.0999999999999</v>
      </c>
      <c r="AE70" s="24"/>
    </row>
    <row r="71" spans="1:31">
      <c r="A71" s="1">
        <v>2019</v>
      </c>
      <c r="B71" s="9" t="s">
        <v>65</v>
      </c>
      <c r="C71" s="1" t="s">
        <v>159</v>
      </c>
      <c r="D71" s="10">
        <v>50.3</v>
      </c>
      <c r="E71" s="1">
        <v>40</v>
      </c>
      <c r="F71" s="10">
        <v>11.8</v>
      </c>
      <c r="G71" s="1">
        <v>43</v>
      </c>
      <c r="H71" s="10">
        <v>33.299999999999997</v>
      </c>
      <c r="I71" s="1">
        <v>18</v>
      </c>
      <c r="J71" s="10">
        <v>10.199999999999999</v>
      </c>
      <c r="K71" s="1">
        <v>37</v>
      </c>
      <c r="L71" s="10">
        <v>76.2</v>
      </c>
      <c r="M71" s="1">
        <v>36</v>
      </c>
      <c r="N71" s="14">
        <f t="shared" si="0"/>
        <v>106.11814345991561</v>
      </c>
      <c r="O71" s="14">
        <f t="shared" si="1"/>
        <v>115.68627450980394</v>
      </c>
      <c r="P71" s="14">
        <f t="shared" si="2"/>
        <v>101.21580547112461</v>
      </c>
      <c r="Q71" s="14">
        <f t="shared" si="3"/>
        <v>99.029126213592221</v>
      </c>
      <c r="R71" s="14">
        <f t="shared" si="4"/>
        <v>103.81471389645776</v>
      </c>
      <c r="S71" s="2">
        <v>175111.96268022194</v>
      </c>
      <c r="T71" s="2">
        <v>43580.181311815591</v>
      </c>
      <c r="U71" s="2">
        <v>105848.16248612087</v>
      </c>
      <c r="V71" s="2">
        <v>21433.648822671523</v>
      </c>
      <c r="W71" s="2">
        <v>4249.9700596139583</v>
      </c>
      <c r="X71" s="2">
        <v>5305.5125756206871</v>
      </c>
      <c r="Y71" s="2">
        <v>19182.042968858077</v>
      </c>
      <c r="Z71" s="2">
        <v>8086.1908092422691</v>
      </c>
      <c r="AA71" s="2">
        <v>2995.6175183057967</v>
      </c>
      <c r="AB71" s="2">
        <v>6288.1182955388249</v>
      </c>
      <c r="AC71" s="2">
        <v>23</v>
      </c>
      <c r="AD71" s="2">
        <v>888.8</v>
      </c>
      <c r="AE71" s="24"/>
    </row>
    <row r="72" spans="1:31">
      <c r="A72" s="1">
        <v>2019</v>
      </c>
      <c r="B72" s="9" t="s">
        <v>67</v>
      </c>
      <c r="C72" s="1" t="s">
        <v>160</v>
      </c>
      <c r="D72" s="10">
        <v>58.1</v>
      </c>
      <c r="E72" s="1">
        <v>14</v>
      </c>
      <c r="F72" s="10">
        <v>15.2</v>
      </c>
      <c r="G72" s="1">
        <v>36</v>
      </c>
      <c r="H72" s="10">
        <v>32.799999999999997</v>
      </c>
      <c r="I72" s="1">
        <v>30</v>
      </c>
      <c r="J72" s="10">
        <v>12.7</v>
      </c>
      <c r="K72" s="1">
        <v>5</v>
      </c>
      <c r="L72" s="10">
        <v>76.400000000000006</v>
      </c>
      <c r="M72" s="1">
        <v>33</v>
      </c>
      <c r="N72" s="14">
        <f t="shared" si="0"/>
        <v>107.99256505576209</v>
      </c>
      <c r="O72" s="14">
        <f t="shared" si="1"/>
        <v>87.861271676300561</v>
      </c>
      <c r="P72" s="14">
        <f t="shared" si="2"/>
        <v>97.329376854599388</v>
      </c>
      <c r="Q72" s="14">
        <f t="shared" si="3"/>
        <v>106.72268907563026</v>
      </c>
      <c r="R72" s="14">
        <f t="shared" si="4"/>
        <v>103.80434782608697</v>
      </c>
      <c r="S72" s="2">
        <v>178412.0308486252</v>
      </c>
      <c r="T72" s="2">
        <v>47775.478880979674</v>
      </c>
      <c r="U72" s="2">
        <v>107181.29315828026</v>
      </c>
      <c r="V72" s="2">
        <v>19428.356145579575</v>
      </c>
      <c r="W72" s="2">
        <v>4026.902663785701</v>
      </c>
      <c r="X72" s="2">
        <v>5590.1916497776547</v>
      </c>
      <c r="Y72" s="2">
        <v>20604.252694880903</v>
      </c>
      <c r="Z72" s="2">
        <v>8665.2781858474318</v>
      </c>
      <c r="AA72" s="2">
        <v>3216.5319884922337</v>
      </c>
      <c r="AB72" s="2">
        <v>6846.6710492811526</v>
      </c>
      <c r="AC72" s="2">
        <v>27.6</v>
      </c>
      <c r="AD72" s="2">
        <v>1101.7</v>
      </c>
      <c r="AE72" s="24"/>
    </row>
    <row r="73" spans="1:31">
      <c r="A73" s="1">
        <v>2019</v>
      </c>
      <c r="B73" s="9" t="s">
        <v>69</v>
      </c>
      <c r="C73" s="1" t="s">
        <v>161</v>
      </c>
      <c r="D73" s="10">
        <v>57.8</v>
      </c>
      <c r="E73" s="1">
        <v>16</v>
      </c>
      <c r="F73" s="10">
        <v>23.5</v>
      </c>
      <c r="G73" s="1">
        <v>15</v>
      </c>
      <c r="H73" s="10">
        <v>35.5</v>
      </c>
      <c r="I73" s="1">
        <v>1</v>
      </c>
      <c r="J73" s="10">
        <v>10.7</v>
      </c>
      <c r="K73" s="1">
        <v>22</v>
      </c>
      <c r="L73" s="10">
        <v>78.3</v>
      </c>
      <c r="M73" s="1">
        <v>20</v>
      </c>
      <c r="N73" s="14">
        <f t="shared" si="0"/>
        <v>107.03703703703704</v>
      </c>
      <c r="O73" s="14">
        <f t="shared" si="1"/>
        <v>107.30593607305936</v>
      </c>
      <c r="P73" s="14">
        <f t="shared" si="2"/>
        <v>103.80116959064327</v>
      </c>
      <c r="Q73" s="14">
        <f t="shared" si="3"/>
        <v>100.94339622641509</v>
      </c>
      <c r="R73" s="14">
        <f t="shared" si="4"/>
        <v>103.98406374501991</v>
      </c>
      <c r="S73" s="2">
        <v>177059.56208009861</v>
      </c>
      <c r="T73" s="2">
        <v>50106.950504308516</v>
      </c>
      <c r="U73" s="2">
        <v>103804.38426554634</v>
      </c>
      <c r="V73" s="2">
        <v>18585.109091531769</v>
      </c>
      <c r="W73" s="2">
        <v>4563.1182187119812</v>
      </c>
      <c r="X73" s="2">
        <v>6158.9965969396917</v>
      </c>
      <c r="Y73" s="2">
        <v>19753.826839552712</v>
      </c>
      <c r="Z73" s="2">
        <v>8638.1057254113257</v>
      </c>
      <c r="AA73" s="2">
        <v>2932.9043204616432</v>
      </c>
      <c r="AB73" s="2">
        <v>6250.6133755856135</v>
      </c>
      <c r="AC73" s="2">
        <v>24.5</v>
      </c>
      <c r="AD73" s="2">
        <v>999.2</v>
      </c>
      <c r="AE73" s="24"/>
    </row>
    <row r="74" spans="1:31">
      <c r="A74" s="1">
        <v>2019</v>
      </c>
      <c r="B74" s="9" t="s">
        <v>71</v>
      </c>
      <c r="C74" s="1" t="s">
        <v>162</v>
      </c>
      <c r="D74" s="10">
        <v>55.6</v>
      </c>
      <c r="E74" s="1">
        <v>20</v>
      </c>
      <c r="F74" s="10">
        <v>15.6</v>
      </c>
      <c r="G74" s="1">
        <v>35</v>
      </c>
      <c r="H74" s="10">
        <v>34.299999999999997</v>
      </c>
      <c r="I74" s="1">
        <v>4</v>
      </c>
      <c r="J74" s="10">
        <v>10.7</v>
      </c>
      <c r="K74" s="1">
        <v>21</v>
      </c>
      <c r="L74" s="10">
        <v>74</v>
      </c>
      <c r="M74" s="1">
        <v>42</v>
      </c>
      <c r="N74" s="14">
        <f t="shared" si="0"/>
        <v>102.39410681399632</v>
      </c>
      <c r="O74" s="14">
        <f t="shared" si="1"/>
        <v>123.80952380952381</v>
      </c>
      <c r="P74" s="14">
        <f t="shared" si="2"/>
        <v>100.88235294117646</v>
      </c>
      <c r="Q74" s="14">
        <f t="shared" si="3"/>
        <v>108.08080808080807</v>
      </c>
      <c r="R74" s="14">
        <f t="shared" si="4"/>
        <v>104.51977401129943</v>
      </c>
      <c r="S74" s="2">
        <v>184384.89941114202</v>
      </c>
      <c r="T74" s="2">
        <v>51220.931945630015</v>
      </c>
      <c r="U74" s="2">
        <v>106930.01366281342</v>
      </c>
      <c r="V74" s="2">
        <v>20196.656916585682</v>
      </c>
      <c r="W74" s="2">
        <v>6037.2968861128811</v>
      </c>
      <c r="X74" s="2">
        <v>5947.4599969800056</v>
      </c>
      <c r="Y74" s="2">
        <v>17551.804280054777</v>
      </c>
      <c r="Z74" s="2">
        <v>7267.5435297397362</v>
      </c>
      <c r="AA74" s="2">
        <v>2959.8912334771603</v>
      </c>
      <c r="AB74" s="2">
        <v>5386.8918862280234</v>
      </c>
      <c r="AC74" s="2">
        <v>27.5</v>
      </c>
      <c r="AD74" s="2">
        <v>1340.8</v>
      </c>
      <c r="AE74" s="24"/>
    </row>
    <row r="75" spans="1:31">
      <c r="A75" s="1">
        <v>2019</v>
      </c>
      <c r="B75" s="9" t="s">
        <v>73</v>
      </c>
      <c r="C75" s="1" t="s">
        <v>163</v>
      </c>
      <c r="D75" s="10">
        <v>45.2</v>
      </c>
      <c r="E75" s="1">
        <v>46</v>
      </c>
      <c r="F75" s="10">
        <v>12.5</v>
      </c>
      <c r="G75" s="1">
        <v>42</v>
      </c>
      <c r="H75" s="10">
        <v>33.5</v>
      </c>
      <c r="I75" s="1">
        <v>16</v>
      </c>
      <c r="J75" s="10">
        <v>10.9</v>
      </c>
      <c r="K75" s="1">
        <v>18</v>
      </c>
      <c r="L75" s="10">
        <v>74.3</v>
      </c>
      <c r="M75" s="1">
        <v>40</v>
      </c>
      <c r="N75" s="14">
        <f t="shared" si="0"/>
        <v>104.38799076212473</v>
      </c>
      <c r="O75" s="14">
        <f t="shared" si="1"/>
        <v>125</v>
      </c>
      <c r="P75" s="14">
        <f t="shared" si="2"/>
        <v>100.29940119760479</v>
      </c>
      <c r="Q75" s="14">
        <f t="shared" si="3"/>
        <v>102.8301886792453</v>
      </c>
      <c r="R75" s="14">
        <f t="shared" si="4"/>
        <v>104.35393258426966</v>
      </c>
      <c r="S75" s="2">
        <v>188847.58393137722</v>
      </c>
      <c r="T75" s="2">
        <v>50149.482416518411</v>
      </c>
      <c r="U75" s="2">
        <v>108354.32193035859</v>
      </c>
      <c r="V75" s="2">
        <v>23091.143627262409</v>
      </c>
      <c r="W75" s="2">
        <v>7252.6359572378178</v>
      </c>
      <c r="X75" s="2">
        <v>5970.1648448945416</v>
      </c>
      <c r="Y75" s="2">
        <v>18603.168561908289</v>
      </c>
      <c r="Z75" s="2">
        <v>8094.1024367359041</v>
      </c>
      <c r="AA75" s="2">
        <v>2890.5394834876633</v>
      </c>
      <c r="AB75" s="2">
        <v>5874.8998091224894</v>
      </c>
      <c r="AC75" s="2">
        <v>24.8</v>
      </c>
      <c r="AD75" s="2">
        <v>1197</v>
      </c>
      <c r="AE75" s="24"/>
    </row>
    <row r="76" spans="1:31">
      <c r="A76" s="1">
        <v>2019</v>
      </c>
      <c r="B76" s="9" t="s">
        <v>75</v>
      </c>
      <c r="C76" s="1" t="s">
        <v>164</v>
      </c>
      <c r="D76" s="10">
        <v>50.9</v>
      </c>
      <c r="E76" s="1">
        <v>37</v>
      </c>
      <c r="F76" s="10">
        <v>14.3</v>
      </c>
      <c r="G76" s="1">
        <v>39</v>
      </c>
      <c r="H76" s="10">
        <v>33.200000000000003</v>
      </c>
      <c r="I76" s="1">
        <v>20</v>
      </c>
      <c r="J76" s="10">
        <v>10.9</v>
      </c>
      <c r="K76" s="1">
        <v>16</v>
      </c>
      <c r="L76" s="10">
        <v>76.900000000000006</v>
      </c>
      <c r="M76" s="1">
        <v>29</v>
      </c>
      <c r="N76" s="14">
        <f t="shared" si="0"/>
        <v>106.70859538784066</v>
      </c>
      <c r="O76" s="14">
        <f t="shared" si="1"/>
        <v>118.18181818181819</v>
      </c>
      <c r="P76" s="14">
        <f t="shared" si="2"/>
        <v>101.21951219512198</v>
      </c>
      <c r="Q76" s="14">
        <f t="shared" si="3"/>
        <v>107.92079207920793</v>
      </c>
      <c r="R76" s="14">
        <f t="shared" si="4"/>
        <v>103.91891891891893</v>
      </c>
      <c r="S76" s="2">
        <v>191287.69835882148</v>
      </c>
      <c r="T76" s="2">
        <v>51811.322214768348</v>
      </c>
      <c r="U76" s="2">
        <v>112189.62938908245</v>
      </c>
      <c r="V76" s="2">
        <v>21929.221380059465</v>
      </c>
      <c r="W76" s="2">
        <v>5357.5253749112017</v>
      </c>
      <c r="X76" s="2">
        <v>6250.5097761911402</v>
      </c>
      <c r="Y76" s="2">
        <v>19992.574302025227</v>
      </c>
      <c r="Z76" s="2">
        <v>8418.6380457425421</v>
      </c>
      <c r="AA76" s="2">
        <v>3160.1859537255486</v>
      </c>
      <c r="AB76" s="2">
        <v>6579.0206368437448</v>
      </c>
      <c r="AC76" s="2">
        <v>25.6</v>
      </c>
      <c r="AD76" s="2">
        <v>1178.9000000000001</v>
      </c>
      <c r="AE76" s="24"/>
    </row>
    <row r="77" spans="1:31">
      <c r="A77" s="1">
        <v>2019</v>
      </c>
      <c r="B77" s="9" t="s">
        <v>77</v>
      </c>
      <c r="C77" s="1" t="s">
        <v>165</v>
      </c>
      <c r="D77" s="10">
        <v>49.6</v>
      </c>
      <c r="E77" s="1">
        <v>41</v>
      </c>
      <c r="F77" s="10">
        <v>23.5</v>
      </c>
      <c r="G77" s="1">
        <v>14</v>
      </c>
      <c r="H77" s="10">
        <v>35.4</v>
      </c>
      <c r="I77" s="1">
        <v>2</v>
      </c>
      <c r="J77" s="10">
        <v>10.8</v>
      </c>
      <c r="K77" s="1">
        <v>19</v>
      </c>
      <c r="L77" s="10">
        <v>71.7</v>
      </c>
      <c r="M77" s="1">
        <v>45</v>
      </c>
      <c r="N77" s="14">
        <f t="shared" si="0"/>
        <v>103.11850311850313</v>
      </c>
      <c r="O77" s="14">
        <f t="shared" si="1"/>
        <v>147.79874213836476</v>
      </c>
      <c r="P77" s="14">
        <f t="shared" si="2"/>
        <v>102.90697674418605</v>
      </c>
      <c r="Q77" s="14">
        <f t="shared" si="3"/>
        <v>100.93457943925235</v>
      </c>
      <c r="R77" s="14">
        <f t="shared" si="4"/>
        <v>104.36681222707425</v>
      </c>
      <c r="S77" s="2">
        <v>186904.80183241484</v>
      </c>
      <c r="T77" s="2">
        <v>53094.30890635206</v>
      </c>
      <c r="U77" s="2">
        <v>108673.64811878423</v>
      </c>
      <c r="V77" s="2">
        <v>19392.288381197293</v>
      </c>
      <c r="W77" s="2">
        <v>5744.5564260812553</v>
      </c>
      <c r="X77" s="2">
        <v>6457.7149564767305</v>
      </c>
      <c r="Y77" s="2">
        <v>20713.90242232976</v>
      </c>
      <c r="Z77" s="2">
        <v>8635.8102512146179</v>
      </c>
      <c r="AA77" s="2">
        <v>3359.287811995498</v>
      </c>
      <c r="AB77" s="2">
        <v>6630.9195067460632</v>
      </c>
      <c r="AC77" s="2">
        <v>24.9</v>
      </c>
      <c r="AD77" s="2">
        <v>1244.5</v>
      </c>
      <c r="AE77" s="24"/>
    </row>
    <row r="78" spans="1:31">
      <c r="A78" s="1">
        <v>2019</v>
      </c>
      <c r="B78" s="9" t="s">
        <v>79</v>
      </c>
      <c r="C78" s="1" t="s">
        <v>166</v>
      </c>
      <c r="D78" s="10">
        <v>49.4</v>
      </c>
      <c r="E78" s="1">
        <v>42</v>
      </c>
      <c r="F78" s="10">
        <v>19.600000000000001</v>
      </c>
      <c r="G78" s="1">
        <v>26</v>
      </c>
      <c r="H78" s="10">
        <v>34</v>
      </c>
      <c r="I78" s="1">
        <v>7</v>
      </c>
      <c r="J78" s="10">
        <v>12.5</v>
      </c>
      <c r="K78" s="1">
        <v>6</v>
      </c>
      <c r="L78" s="10">
        <v>72.7</v>
      </c>
      <c r="M78" s="1">
        <v>44</v>
      </c>
      <c r="N78" s="14">
        <f t="shared" si="0"/>
        <v>105.33049040511726</v>
      </c>
      <c r="O78" s="14">
        <f t="shared" si="1"/>
        <v>107.69230769230771</v>
      </c>
      <c r="P78" s="14">
        <f t="shared" si="2"/>
        <v>100</v>
      </c>
      <c r="Q78" s="14">
        <f t="shared" si="3"/>
        <v>126.26262626262626</v>
      </c>
      <c r="R78" s="14">
        <f t="shared" si="4"/>
        <v>104.45402298850577</v>
      </c>
      <c r="S78" s="2">
        <v>189429.71270895549</v>
      </c>
      <c r="T78" s="2">
        <v>50408.749821216632</v>
      </c>
      <c r="U78" s="2">
        <v>112105.89080957291</v>
      </c>
      <c r="V78" s="2">
        <v>20498.717192728891</v>
      </c>
      <c r="W78" s="2">
        <v>6416.3548854370501</v>
      </c>
      <c r="X78" s="2">
        <v>5712.5569576632624</v>
      </c>
      <c r="Y78" s="2">
        <v>20599.300525193761</v>
      </c>
      <c r="Z78" s="2">
        <v>9378.7387261489966</v>
      </c>
      <c r="AA78" s="2">
        <v>2852.0245483326898</v>
      </c>
      <c r="AB78" s="2">
        <v>6372.2956227976174</v>
      </c>
      <c r="AC78" s="2">
        <v>28</v>
      </c>
      <c r="AD78" s="2">
        <v>1431.4</v>
      </c>
      <c r="AE78" s="24"/>
    </row>
    <row r="79" spans="1:31">
      <c r="A79" s="1">
        <v>2019</v>
      </c>
      <c r="B79" s="9" t="s">
        <v>81</v>
      </c>
      <c r="C79" s="1" t="s">
        <v>167</v>
      </c>
      <c r="D79" s="10">
        <v>53.1</v>
      </c>
      <c r="E79" s="1">
        <v>30</v>
      </c>
      <c r="F79" s="10">
        <v>16.100000000000001</v>
      </c>
      <c r="G79" s="1">
        <v>34</v>
      </c>
      <c r="H79" s="10">
        <v>32.799999999999997</v>
      </c>
      <c r="I79" s="1">
        <v>31</v>
      </c>
      <c r="J79" s="10">
        <v>10.4</v>
      </c>
      <c r="K79" s="1">
        <v>33</v>
      </c>
      <c r="L79" s="10">
        <v>79.099999999999994</v>
      </c>
      <c r="M79" s="1">
        <v>16</v>
      </c>
      <c r="N79" s="14">
        <f t="shared" si="0"/>
        <v>103.91389432485323</v>
      </c>
      <c r="O79" s="14">
        <f t="shared" si="1"/>
        <v>63.888888888888893</v>
      </c>
      <c r="P79" s="14">
        <f t="shared" si="2"/>
        <v>99.093655589123856</v>
      </c>
      <c r="Q79" s="14">
        <f t="shared" si="3"/>
        <v>104</v>
      </c>
      <c r="R79" s="14">
        <f t="shared" si="4"/>
        <v>103.94218134034165</v>
      </c>
      <c r="S79" s="2">
        <v>187029.3450560343</v>
      </c>
      <c r="T79" s="2">
        <v>57965.232317014234</v>
      </c>
      <c r="U79" s="2">
        <v>107111.963384847</v>
      </c>
      <c r="V79" s="2">
        <v>18427.812923294961</v>
      </c>
      <c r="W79" s="2">
        <v>3524.3364308781152</v>
      </c>
      <c r="X79" s="2">
        <v>6791.4661390322599</v>
      </c>
      <c r="Y79" s="2">
        <v>19297.223790431268</v>
      </c>
      <c r="Z79" s="2">
        <v>8491.1909004905719</v>
      </c>
      <c r="AA79" s="2">
        <v>3180.9414857040242</v>
      </c>
      <c r="AB79" s="2">
        <v>5953.0746274917692</v>
      </c>
      <c r="AC79" s="2">
        <v>27.8</v>
      </c>
      <c r="AD79" s="2">
        <v>1514.6</v>
      </c>
      <c r="AE79" s="24"/>
    </row>
    <row r="80" spans="1:31">
      <c r="A80" s="1">
        <v>2019</v>
      </c>
      <c r="B80" s="9" t="s">
        <v>83</v>
      </c>
      <c r="C80" s="1" t="s">
        <v>168</v>
      </c>
      <c r="D80" s="10">
        <v>65.3</v>
      </c>
      <c r="E80" s="1">
        <v>4</v>
      </c>
      <c r="F80" s="10">
        <v>25.8</v>
      </c>
      <c r="G80" s="1">
        <v>10</v>
      </c>
      <c r="H80" s="10">
        <v>34.200000000000003</v>
      </c>
      <c r="I80" s="1">
        <v>6</v>
      </c>
      <c r="J80" s="10">
        <v>11.2</v>
      </c>
      <c r="K80" s="1">
        <v>14</v>
      </c>
      <c r="L80" s="10">
        <v>80.599999999999994</v>
      </c>
      <c r="M80" s="1">
        <v>6</v>
      </c>
      <c r="N80" s="14">
        <f t="shared" si="0"/>
        <v>102.19092331768387</v>
      </c>
      <c r="O80" s="14">
        <f t="shared" si="1"/>
        <v>109.78723404255319</v>
      </c>
      <c r="P80" s="14">
        <f t="shared" si="2"/>
        <v>104.9079754601227</v>
      </c>
      <c r="Q80" s="14">
        <f t="shared" si="3"/>
        <v>109.80392156862746</v>
      </c>
      <c r="R80" s="14">
        <f t="shared" si="4"/>
        <v>104.1343669250646</v>
      </c>
      <c r="S80" s="2">
        <v>197446.37939856816</v>
      </c>
      <c r="T80" s="2">
        <v>60669.162024720303</v>
      </c>
      <c r="U80" s="2">
        <v>115144.22718231601</v>
      </c>
      <c r="V80" s="2">
        <v>18195.266246812262</v>
      </c>
      <c r="W80" s="2">
        <v>3437.723944719568</v>
      </c>
      <c r="X80" s="2">
        <v>6179.8209356039533</v>
      </c>
      <c r="Y80" s="2">
        <v>22377.363970382361</v>
      </c>
      <c r="Z80" s="2">
        <v>10331.69800037582</v>
      </c>
      <c r="AA80" s="2">
        <v>3972.4276522723744</v>
      </c>
      <c r="AB80" s="2">
        <v>6128.5034244687949</v>
      </c>
      <c r="AC80" s="2">
        <v>28.1</v>
      </c>
      <c r="AD80" s="2">
        <v>1524.3</v>
      </c>
      <c r="AE80" s="24"/>
    </row>
    <row r="81" spans="1:31">
      <c r="A81" s="1">
        <v>2019</v>
      </c>
      <c r="B81" s="9" t="s">
        <v>85</v>
      </c>
      <c r="C81" s="1" t="s">
        <v>169</v>
      </c>
      <c r="D81" s="10">
        <v>56.8</v>
      </c>
      <c r="E81" s="1">
        <v>18</v>
      </c>
      <c r="F81" s="10">
        <v>31.6</v>
      </c>
      <c r="G81" s="1">
        <v>2</v>
      </c>
      <c r="H81" s="10">
        <v>32.4</v>
      </c>
      <c r="I81" s="1">
        <v>35</v>
      </c>
      <c r="J81" s="10">
        <v>11.7</v>
      </c>
      <c r="K81" s="1">
        <v>9</v>
      </c>
      <c r="L81" s="10">
        <v>76.2</v>
      </c>
      <c r="M81" s="1">
        <v>35</v>
      </c>
      <c r="N81" s="14">
        <f t="shared" si="0"/>
        <v>99.127399650959859</v>
      </c>
      <c r="O81" s="14">
        <f t="shared" si="1"/>
        <v>124.40944881889766</v>
      </c>
      <c r="P81" s="14">
        <f t="shared" si="2"/>
        <v>100.30959752321982</v>
      </c>
      <c r="Q81" s="14">
        <f t="shared" si="3"/>
        <v>118.18181818181816</v>
      </c>
      <c r="R81" s="14">
        <f t="shared" si="4"/>
        <v>104.5267489711934</v>
      </c>
      <c r="S81" s="2">
        <v>190069.56944656544</v>
      </c>
      <c r="T81" s="2">
        <v>53431.24492075642</v>
      </c>
      <c r="U81" s="2">
        <v>111243.97001885583</v>
      </c>
      <c r="V81" s="2">
        <v>21528.98570342952</v>
      </c>
      <c r="W81" s="2">
        <v>3865.3688035236869</v>
      </c>
      <c r="X81" s="2">
        <v>6057.4836346454122</v>
      </c>
      <c r="Y81" s="2">
        <v>20549.583346912244</v>
      </c>
      <c r="Z81" s="2">
        <v>8912.541128113422</v>
      </c>
      <c r="AA81" s="2">
        <v>3341.2517205852764</v>
      </c>
      <c r="AB81" s="2">
        <v>6690.8612839410744</v>
      </c>
      <c r="AC81" s="2">
        <v>26.2</v>
      </c>
      <c r="AD81" s="2">
        <v>1462.5</v>
      </c>
      <c r="AE81" s="24"/>
    </row>
    <row r="82" spans="1:31">
      <c r="A82" s="1">
        <v>2019</v>
      </c>
      <c r="B82" s="9" t="s">
        <v>87</v>
      </c>
      <c r="C82" s="1" t="s">
        <v>170</v>
      </c>
      <c r="D82" s="10">
        <v>54.7</v>
      </c>
      <c r="E82" s="1">
        <v>25</v>
      </c>
      <c r="F82" s="10">
        <v>19.7</v>
      </c>
      <c r="G82" s="1">
        <v>24</v>
      </c>
      <c r="H82" s="10">
        <v>32.9</v>
      </c>
      <c r="I82" s="1">
        <v>29</v>
      </c>
      <c r="J82" s="10">
        <v>10.9</v>
      </c>
      <c r="K82" s="1">
        <v>17</v>
      </c>
      <c r="L82" s="10">
        <v>75.7</v>
      </c>
      <c r="M82" s="1">
        <v>37</v>
      </c>
      <c r="N82" s="14">
        <f t="shared" si="0"/>
        <v>101.86219739292366</v>
      </c>
      <c r="O82" s="14">
        <f t="shared" si="1"/>
        <v>101.54639175257731</v>
      </c>
      <c r="P82" s="14">
        <f t="shared" si="2"/>
        <v>102.17391304347825</v>
      </c>
      <c r="Q82" s="14">
        <f t="shared" si="3"/>
        <v>107.92079207920793</v>
      </c>
      <c r="R82" s="14">
        <f t="shared" si="4"/>
        <v>104.41379310344827</v>
      </c>
      <c r="S82" s="2">
        <v>185389.16310094635</v>
      </c>
      <c r="T82" s="2">
        <v>50330.01990027952</v>
      </c>
      <c r="U82" s="2">
        <v>110972.73595067652</v>
      </c>
      <c r="V82" s="2">
        <v>20136.130262848004</v>
      </c>
      <c r="W82" s="2">
        <v>3950.2769871423093</v>
      </c>
      <c r="X82" s="2">
        <v>5596.3489924798851</v>
      </c>
      <c r="Y82" s="2">
        <v>20107.774009170345</v>
      </c>
      <c r="Z82" s="2">
        <v>8466.3316575805966</v>
      </c>
      <c r="AA82" s="2">
        <v>3038.6935086900939</v>
      </c>
      <c r="AB82" s="2">
        <v>6721.5583691938446</v>
      </c>
      <c r="AC82" s="2">
        <v>30.2</v>
      </c>
      <c r="AD82" s="2">
        <v>1381.7</v>
      </c>
      <c r="AE82" s="24"/>
    </row>
    <row r="83" spans="1:31">
      <c r="A83" s="1">
        <v>2019</v>
      </c>
      <c r="B83" s="9" t="s">
        <v>89</v>
      </c>
      <c r="C83" s="1" t="s">
        <v>171</v>
      </c>
      <c r="D83" s="10">
        <v>51.2</v>
      </c>
      <c r="E83" s="1">
        <v>35</v>
      </c>
      <c r="F83" s="10">
        <v>18.8</v>
      </c>
      <c r="G83" s="1">
        <v>28</v>
      </c>
      <c r="H83" s="10">
        <v>33.1</v>
      </c>
      <c r="I83" s="1">
        <v>25</v>
      </c>
      <c r="J83" s="10">
        <v>10.4</v>
      </c>
      <c r="K83" s="1">
        <v>32</v>
      </c>
      <c r="L83" s="10">
        <v>78.2</v>
      </c>
      <c r="M83" s="1">
        <v>21</v>
      </c>
      <c r="N83" s="14">
        <f t="shared" si="0"/>
        <v>105.56701030927836</v>
      </c>
      <c r="O83" s="14">
        <f t="shared" si="1"/>
        <v>83.555555555555557</v>
      </c>
      <c r="P83" s="14">
        <f t="shared" si="2"/>
        <v>101.84615384615385</v>
      </c>
      <c r="Q83" s="14">
        <f t="shared" si="3"/>
        <v>109.47368421052633</v>
      </c>
      <c r="R83" s="14">
        <f t="shared" si="4"/>
        <v>103.57615894039736</v>
      </c>
      <c r="S83" s="2">
        <v>198520.92025315491</v>
      </c>
      <c r="T83" s="2">
        <v>58162.827887145926</v>
      </c>
      <c r="U83" s="2">
        <v>115978.33472768417</v>
      </c>
      <c r="V83" s="2">
        <v>20038.519915853565</v>
      </c>
      <c r="W83" s="2">
        <v>4341.2377224712554</v>
      </c>
      <c r="X83" s="2">
        <v>6799.0136189471214</v>
      </c>
      <c r="Y83" s="2">
        <v>22598.269617952719</v>
      </c>
      <c r="Z83" s="2">
        <v>9927.3519697001448</v>
      </c>
      <c r="AA83" s="2">
        <v>3238.0496518329614</v>
      </c>
      <c r="AB83" s="2">
        <v>7062.7114456079998</v>
      </c>
      <c r="AC83" s="2">
        <v>38.9</v>
      </c>
      <c r="AD83" s="2">
        <v>1908.5</v>
      </c>
      <c r="AE83" s="24"/>
    </row>
    <row r="84" spans="1:31">
      <c r="A84" s="1">
        <v>2019</v>
      </c>
      <c r="B84" s="9" t="s">
        <v>91</v>
      </c>
      <c r="C84" s="1" t="s">
        <v>172</v>
      </c>
      <c r="D84" s="10">
        <v>54.7</v>
      </c>
      <c r="E84" s="1">
        <v>26</v>
      </c>
      <c r="F84" s="10">
        <v>24.2</v>
      </c>
      <c r="G84" s="1">
        <v>11</v>
      </c>
      <c r="H84" s="10">
        <v>34</v>
      </c>
      <c r="I84" s="1">
        <v>8</v>
      </c>
      <c r="J84" s="10">
        <v>10.4</v>
      </c>
      <c r="K84" s="1">
        <v>31</v>
      </c>
      <c r="L84" s="10">
        <v>68</v>
      </c>
      <c r="M84" s="1">
        <v>47</v>
      </c>
      <c r="N84" s="14">
        <f t="shared" si="0"/>
        <v>102.24299065420561</v>
      </c>
      <c r="O84" s="14">
        <f t="shared" si="1"/>
        <v>117.47572815533979</v>
      </c>
      <c r="P84" s="14">
        <f t="shared" si="2"/>
        <v>99.125364431486886</v>
      </c>
      <c r="Q84" s="14">
        <f t="shared" si="3"/>
        <v>114.28571428571431</v>
      </c>
      <c r="R84" s="14">
        <f t="shared" si="4"/>
        <v>106.58307210031349</v>
      </c>
      <c r="S84" s="2">
        <v>198586.0953740768</v>
      </c>
      <c r="T84" s="2">
        <v>55260.213205938388</v>
      </c>
      <c r="U84" s="2">
        <v>115789.57569974358</v>
      </c>
      <c r="V84" s="2">
        <v>21851.504440251301</v>
      </c>
      <c r="W84" s="2">
        <v>5684.8020281435047</v>
      </c>
      <c r="X84" s="2">
        <v>6287.1754707281998</v>
      </c>
      <c r="Y84" s="2">
        <v>23569.515906207871</v>
      </c>
      <c r="Z84" s="2">
        <v>10819.566268469531</v>
      </c>
      <c r="AA84" s="2">
        <v>2607.0256373228244</v>
      </c>
      <c r="AB84" s="2">
        <v>8213.9059943884749</v>
      </c>
      <c r="AC84" s="2">
        <v>36.299999999999997</v>
      </c>
      <c r="AD84" s="2">
        <v>1931.6</v>
      </c>
      <c r="AE84" s="24"/>
    </row>
    <row r="85" spans="1:31">
      <c r="A85" s="1">
        <v>2019</v>
      </c>
      <c r="B85" s="9" t="s">
        <v>93</v>
      </c>
      <c r="C85" s="1" t="s">
        <v>173</v>
      </c>
      <c r="D85" s="10">
        <v>52.3</v>
      </c>
      <c r="E85" s="1">
        <v>32</v>
      </c>
      <c r="F85" s="10">
        <v>36.1</v>
      </c>
      <c r="G85" s="1">
        <v>1</v>
      </c>
      <c r="H85" s="10">
        <v>32.5</v>
      </c>
      <c r="I85" s="1">
        <v>33</v>
      </c>
      <c r="J85" s="10">
        <v>11.6</v>
      </c>
      <c r="K85" s="1">
        <v>10</v>
      </c>
      <c r="L85" s="10">
        <v>73.8</v>
      </c>
      <c r="M85" s="1">
        <v>43</v>
      </c>
      <c r="N85" s="14">
        <f t="shared" si="0"/>
        <v>100.38387715930901</v>
      </c>
      <c r="O85" s="14">
        <f t="shared" si="1"/>
        <v>112.46105919003115</v>
      </c>
      <c r="P85" s="14">
        <f t="shared" si="2"/>
        <v>97.305389221556894</v>
      </c>
      <c r="Q85" s="14">
        <f t="shared" si="3"/>
        <v>117.17171717171718</v>
      </c>
      <c r="R85" s="14">
        <f t="shared" si="4"/>
        <v>104.38472418670437</v>
      </c>
      <c r="S85" s="2">
        <v>197805.98896808454</v>
      </c>
      <c r="T85" s="2">
        <v>55745.212848737719</v>
      </c>
      <c r="U85" s="2">
        <v>115694.38692174332</v>
      </c>
      <c r="V85" s="2">
        <v>21689.287590354015</v>
      </c>
      <c r="W85" s="2">
        <v>4677.1016072494594</v>
      </c>
      <c r="X85" s="2">
        <v>6447.1469084571636</v>
      </c>
      <c r="Y85" s="2">
        <v>21037.891168977301</v>
      </c>
      <c r="Z85" s="2">
        <v>8937.1305862504905</v>
      </c>
      <c r="AA85" s="2">
        <v>2666.4807882440277</v>
      </c>
      <c r="AB85" s="2">
        <v>7325.3488137608965</v>
      </c>
      <c r="AC85" s="2">
        <v>27.2</v>
      </c>
      <c r="AD85" s="2">
        <v>1512.1</v>
      </c>
      <c r="AE85" s="24"/>
    </row>
    <row r="86" spans="1:31">
      <c r="A86" s="1">
        <v>2019</v>
      </c>
      <c r="B86" s="9" t="s">
        <v>95</v>
      </c>
      <c r="C86" s="1" t="s">
        <v>174</v>
      </c>
      <c r="D86" s="10">
        <v>58.3</v>
      </c>
      <c r="E86" s="1">
        <v>13</v>
      </c>
      <c r="F86" s="10">
        <v>22.1</v>
      </c>
      <c r="G86" s="1">
        <v>19</v>
      </c>
      <c r="H86" s="10">
        <v>32.200000000000003</v>
      </c>
      <c r="I86" s="1">
        <v>41</v>
      </c>
      <c r="J86" s="10">
        <v>10.6</v>
      </c>
      <c r="K86" s="1">
        <v>24</v>
      </c>
      <c r="L86" s="10">
        <v>74.099999999999994</v>
      </c>
      <c r="M86" s="1">
        <v>41</v>
      </c>
      <c r="N86" s="14">
        <f t="shared" si="0"/>
        <v>107.16911764705883</v>
      </c>
      <c r="O86" s="14">
        <f t="shared" si="1"/>
        <v>109.40594059405942</v>
      </c>
      <c r="P86" s="14">
        <f t="shared" si="2"/>
        <v>101.57728706624607</v>
      </c>
      <c r="Q86" s="14">
        <f t="shared" si="3"/>
        <v>111.57894736842104</v>
      </c>
      <c r="R86" s="14">
        <f t="shared" si="4"/>
        <v>104.66101694915253</v>
      </c>
      <c r="S86" s="2">
        <v>188510.8979890036</v>
      </c>
      <c r="T86" s="2">
        <v>54164.669422588508</v>
      </c>
      <c r="U86" s="2">
        <v>111383.92213920048</v>
      </c>
      <c r="V86" s="2">
        <v>18312.25954978948</v>
      </c>
      <c r="W86" s="2">
        <v>4650.0468774251494</v>
      </c>
      <c r="X86" s="2">
        <v>6046.1329844602478</v>
      </c>
      <c r="Y86" s="2">
        <v>20762.33216721793</v>
      </c>
      <c r="Z86" s="2">
        <v>8596.6922875412529</v>
      </c>
      <c r="AA86" s="2">
        <v>2894.9169696417994</v>
      </c>
      <c r="AB86" s="2">
        <v>6770.3022301762494</v>
      </c>
      <c r="AC86" s="2">
        <v>29.8</v>
      </c>
      <c r="AD86" s="2">
        <v>1581</v>
      </c>
      <c r="AE86" s="24"/>
    </row>
    <row r="87" spans="1:31">
      <c r="A87" s="1">
        <v>2019</v>
      </c>
      <c r="B87" s="9" t="s">
        <v>97</v>
      </c>
      <c r="C87" s="1" t="s">
        <v>175</v>
      </c>
      <c r="D87" s="10">
        <v>61.2</v>
      </c>
      <c r="E87" s="1">
        <v>9</v>
      </c>
      <c r="F87" s="10">
        <v>17.7</v>
      </c>
      <c r="G87" s="1">
        <v>30</v>
      </c>
      <c r="H87" s="10">
        <v>30.6</v>
      </c>
      <c r="I87" s="1">
        <v>47</v>
      </c>
      <c r="J87" s="10">
        <v>9.4</v>
      </c>
      <c r="K87" s="1">
        <v>44</v>
      </c>
      <c r="L87" s="10">
        <v>71.7</v>
      </c>
      <c r="M87" s="1">
        <v>46</v>
      </c>
      <c r="N87" s="14">
        <f t="shared" si="0"/>
        <v>103.37837837837837</v>
      </c>
      <c r="O87" s="14">
        <f t="shared" si="1"/>
        <v>118</v>
      </c>
      <c r="P87" s="14">
        <f t="shared" si="2"/>
        <v>104.7945205479452</v>
      </c>
      <c r="Q87" s="14">
        <f t="shared" si="3"/>
        <v>104.44444444444446</v>
      </c>
      <c r="R87" s="14">
        <f t="shared" si="4"/>
        <v>105.59646539027983</v>
      </c>
      <c r="S87" s="2">
        <v>194340.71434730245</v>
      </c>
      <c r="T87" s="2">
        <v>59134.228073420221</v>
      </c>
      <c r="U87" s="2">
        <v>111668.07228812572</v>
      </c>
      <c r="V87" s="2">
        <v>18788.456660231725</v>
      </c>
      <c r="W87" s="2">
        <v>4749.9573255247715</v>
      </c>
      <c r="X87" s="2">
        <v>7462.326992073371</v>
      </c>
      <c r="Y87" s="2">
        <v>21972.279882201467</v>
      </c>
      <c r="Z87" s="2">
        <v>10417.855597558781</v>
      </c>
      <c r="AA87" s="2">
        <v>2630.241093248876</v>
      </c>
      <c r="AB87" s="2">
        <v>6400.7552714832254</v>
      </c>
      <c r="AC87" s="2">
        <v>44.2</v>
      </c>
      <c r="AD87" s="2">
        <v>2508.3000000000002</v>
      </c>
      <c r="AE87" s="24"/>
    </row>
    <row r="88" spans="1:31">
      <c r="A88" s="1">
        <v>2019</v>
      </c>
      <c r="B88" s="9" t="s">
        <v>99</v>
      </c>
      <c r="C88" s="1" t="s">
        <v>176</v>
      </c>
      <c r="D88" s="10">
        <v>51.5</v>
      </c>
      <c r="E88" s="1">
        <v>34</v>
      </c>
      <c r="F88" s="10">
        <v>17.3</v>
      </c>
      <c r="G88" s="1">
        <v>32</v>
      </c>
      <c r="H88" s="10">
        <v>33</v>
      </c>
      <c r="I88" s="1">
        <v>26</v>
      </c>
      <c r="J88" s="10">
        <v>13.5</v>
      </c>
      <c r="K88" s="1">
        <v>3</v>
      </c>
      <c r="L88" s="10">
        <v>78.599999999999994</v>
      </c>
      <c r="M88" s="1">
        <v>19</v>
      </c>
      <c r="N88" s="14">
        <f t="shared" si="0"/>
        <v>100.3898635477583</v>
      </c>
      <c r="O88" s="14">
        <f t="shared" si="1"/>
        <v>132.06106870229007</v>
      </c>
      <c r="P88" s="14">
        <f t="shared" si="2"/>
        <v>100</v>
      </c>
      <c r="Q88" s="14">
        <f t="shared" si="3"/>
        <v>116.37931034482759</v>
      </c>
      <c r="R88" s="14">
        <f t="shared" si="4"/>
        <v>103.83091149273447</v>
      </c>
      <c r="S88" s="2">
        <v>193249.30595098776</v>
      </c>
      <c r="T88" s="2">
        <v>56705.60689796981</v>
      </c>
      <c r="U88" s="2">
        <v>108819.59296264465</v>
      </c>
      <c r="V88" s="2">
        <v>21451.209370226319</v>
      </c>
      <c r="W88" s="2">
        <v>6272.8967201470068</v>
      </c>
      <c r="X88" s="2">
        <v>6779.3663961399952</v>
      </c>
      <c r="Y88" s="2">
        <v>20726.230763232183</v>
      </c>
      <c r="Z88" s="2">
        <v>9503.8372974982267</v>
      </c>
      <c r="AA88" s="2">
        <v>2805.3415347746168</v>
      </c>
      <c r="AB88" s="2">
        <v>6461.1638548483261</v>
      </c>
      <c r="AC88" s="2">
        <v>33</v>
      </c>
      <c r="AD88" s="2">
        <v>1643.3</v>
      </c>
      <c r="AE88" s="24"/>
    </row>
    <row r="89" spans="1:31">
      <c r="A89" s="1">
        <v>2019</v>
      </c>
      <c r="B89" s="9" t="s">
        <v>101</v>
      </c>
      <c r="C89" s="1" t="s">
        <v>177</v>
      </c>
      <c r="D89" s="10">
        <v>53.4</v>
      </c>
      <c r="E89" s="1">
        <v>28</v>
      </c>
      <c r="F89" s="10">
        <v>19.899999999999999</v>
      </c>
      <c r="G89" s="1">
        <v>23</v>
      </c>
      <c r="H89" s="10">
        <v>35.299999999999997</v>
      </c>
      <c r="I89" s="1">
        <v>3</v>
      </c>
      <c r="J89" s="10">
        <v>13.2</v>
      </c>
      <c r="K89" s="1">
        <v>4</v>
      </c>
      <c r="L89" s="10">
        <v>80.400000000000006</v>
      </c>
      <c r="M89" s="1">
        <v>8</v>
      </c>
      <c r="N89" s="14">
        <f t="shared" si="0"/>
        <v>103.08880308880308</v>
      </c>
      <c r="O89" s="14">
        <f t="shared" si="1"/>
        <v>89.63963963963964</v>
      </c>
      <c r="P89" s="14">
        <f t="shared" si="2"/>
        <v>104.74777448071215</v>
      </c>
      <c r="Q89" s="14">
        <f t="shared" si="3"/>
        <v>96.350364963503651</v>
      </c>
      <c r="R89" s="14">
        <f t="shared" si="4"/>
        <v>103.47490347490347</v>
      </c>
      <c r="S89" s="2">
        <v>212575.55967476653</v>
      </c>
      <c r="T89" s="2">
        <v>65523.854883335633</v>
      </c>
      <c r="U89" s="2">
        <v>120890.35450220644</v>
      </c>
      <c r="V89" s="2">
        <v>19975.066694091835</v>
      </c>
      <c r="W89" s="2">
        <v>6186.2835951326242</v>
      </c>
      <c r="X89" s="2">
        <v>7428.3414816288405</v>
      </c>
      <c r="Y89" s="2">
        <v>25880.180535850202</v>
      </c>
      <c r="Z89" s="2">
        <v>12003.402501690591</v>
      </c>
      <c r="AA89" s="2">
        <v>4223.6796606203598</v>
      </c>
      <c r="AB89" s="2">
        <v>7688.1696890160229</v>
      </c>
      <c r="AC89" s="2">
        <v>40.1</v>
      </c>
      <c r="AD89" s="2">
        <v>1786.6</v>
      </c>
      <c r="AE89" s="24"/>
    </row>
    <row r="90" spans="1:31">
      <c r="A90" s="1">
        <v>2019</v>
      </c>
      <c r="B90" s="9" t="s">
        <v>103</v>
      </c>
      <c r="C90" s="1" t="s">
        <v>178</v>
      </c>
      <c r="D90" s="10">
        <v>55.3</v>
      </c>
      <c r="E90" s="1">
        <v>21</v>
      </c>
      <c r="F90" s="10">
        <v>22.5</v>
      </c>
      <c r="G90" s="1">
        <v>17</v>
      </c>
      <c r="H90" s="10">
        <v>33.299999999999997</v>
      </c>
      <c r="I90" s="1">
        <v>19</v>
      </c>
      <c r="J90" s="10">
        <v>10.7</v>
      </c>
      <c r="K90" s="1">
        <v>20</v>
      </c>
      <c r="L90" s="10">
        <v>79.7</v>
      </c>
      <c r="M90" s="1">
        <v>10</v>
      </c>
      <c r="N90" s="14">
        <f t="shared" si="0"/>
        <v>107.58754863813229</v>
      </c>
      <c r="O90" s="14">
        <f t="shared" si="1"/>
        <v>90.361445783132538</v>
      </c>
      <c r="P90" s="14">
        <f t="shared" si="2"/>
        <v>98.813056379821944</v>
      </c>
      <c r="Q90" s="14">
        <f t="shared" si="3"/>
        <v>105.94059405940595</v>
      </c>
      <c r="R90" s="14">
        <f t="shared" si="4"/>
        <v>104.18300653594773</v>
      </c>
      <c r="S90" s="2">
        <v>199743.72159430684</v>
      </c>
      <c r="T90" s="2">
        <v>62997.988322387682</v>
      </c>
      <c r="U90" s="2">
        <v>110790.92896866069</v>
      </c>
      <c r="V90" s="2">
        <v>20070.004553661649</v>
      </c>
      <c r="W90" s="2">
        <v>5884.7997495967975</v>
      </c>
      <c r="X90" s="2">
        <v>6925.8690265717005</v>
      </c>
      <c r="Y90" s="2">
        <v>22798.223454257841</v>
      </c>
      <c r="Z90" s="2">
        <v>11272.107502057808</v>
      </c>
      <c r="AA90" s="2">
        <v>2535.0152054563132</v>
      </c>
      <c r="AB90" s="2">
        <v>6829.7439914124734</v>
      </c>
      <c r="AC90" s="2">
        <v>35.1</v>
      </c>
      <c r="AD90" s="2">
        <v>1957.5</v>
      </c>
      <c r="AE90" s="24"/>
    </row>
    <row r="91" spans="1:31">
      <c r="A91" s="1">
        <v>2019</v>
      </c>
      <c r="B91" s="9" t="s">
        <v>105</v>
      </c>
      <c r="C91" s="1" t="s">
        <v>179</v>
      </c>
      <c r="D91" s="10">
        <v>58.5</v>
      </c>
      <c r="E91" s="1">
        <v>12</v>
      </c>
      <c r="F91" s="10">
        <v>30.1</v>
      </c>
      <c r="G91" s="1">
        <v>4</v>
      </c>
      <c r="H91" s="10">
        <v>33.200000000000003</v>
      </c>
      <c r="I91" s="1">
        <v>21</v>
      </c>
      <c r="J91" s="10">
        <v>11.1</v>
      </c>
      <c r="K91" s="1">
        <v>15</v>
      </c>
      <c r="L91" s="10">
        <v>79.599999999999994</v>
      </c>
      <c r="M91" s="1">
        <v>11</v>
      </c>
      <c r="N91" s="14">
        <f t="shared" si="0"/>
        <v>105.02692998204668</v>
      </c>
      <c r="O91" s="14">
        <f t="shared" si="1"/>
        <v>102.03389830508476</v>
      </c>
      <c r="P91" s="14">
        <f t="shared" si="2"/>
        <v>101.52905198776759</v>
      </c>
      <c r="Q91" s="14">
        <f t="shared" si="3"/>
        <v>102.77777777777777</v>
      </c>
      <c r="R91" s="14">
        <f t="shared" si="4"/>
        <v>104.32503276539973</v>
      </c>
      <c r="S91" s="2">
        <v>195351.55184150254</v>
      </c>
      <c r="T91" s="2">
        <v>59150.65736875718</v>
      </c>
      <c r="U91" s="2">
        <v>112703.12788939309</v>
      </c>
      <c r="V91" s="2">
        <v>18319.85949346366</v>
      </c>
      <c r="W91" s="2">
        <v>5177.907089888613</v>
      </c>
      <c r="X91" s="2">
        <v>6516.3472338244774</v>
      </c>
      <c r="Y91" s="2">
        <v>23194.141794466021</v>
      </c>
      <c r="Z91" s="2">
        <v>11236.018164751356</v>
      </c>
      <c r="AA91" s="2">
        <v>2911.8200508797372</v>
      </c>
      <c r="AB91" s="2">
        <v>7356.330001227333</v>
      </c>
      <c r="AC91" s="2">
        <v>38.200000000000003</v>
      </c>
      <c r="AD91" s="2">
        <v>1941.1</v>
      </c>
      <c r="AE91" s="24"/>
    </row>
    <row r="92" spans="1:31">
      <c r="A92" s="1">
        <v>2019</v>
      </c>
      <c r="B92" s="9" t="s">
        <v>107</v>
      </c>
      <c r="C92" s="1" t="s">
        <v>180</v>
      </c>
      <c r="D92" s="10">
        <v>63.8</v>
      </c>
      <c r="E92" s="1">
        <v>6</v>
      </c>
      <c r="F92" s="10">
        <v>26.5</v>
      </c>
      <c r="G92" s="1">
        <v>9</v>
      </c>
      <c r="H92" s="10">
        <v>33.700000000000003</v>
      </c>
      <c r="I92" s="1">
        <v>13</v>
      </c>
      <c r="J92" s="10">
        <v>8.5</v>
      </c>
      <c r="K92" s="1">
        <v>47</v>
      </c>
      <c r="L92" s="10">
        <v>76.900000000000006</v>
      </c>
      <c r="M92" s="1">
        <v>28</v>
      </c>
      <c r="N92" s="14">
        <f t="shared" si="0"/>
        <v>109.05982905982906</v>
      </c>
      <c r="O92" s="14">
        <f t="shared" si="1"/>
        <v>120.45454545454545</v>
      </c>
      <c r="P92" s="14">
        <f t="shared" si="2"/>
        <v>99.704142011834335</v>
      </c>
      <c r="Q92" s="14">
        <f t="shared" si="3"/>
        <v>81.730769230769226</v>
      </c>
      <c r="R92" s="14">
        <f t="shared" si="4"/>
        <v>103.778677462888</v>
      </c>
      <c r="S92" s="2">
        <v>198577.17468236946</v>
      </c>
      <c r="T92" s="2">
        <v>61118.23091227909</v>
      </c>
      <c r="U92" s="2">
        <v>114464.69899848942</v>
      </c>
      <c r="V92" s="2">
        <v>17809.365875057043</v>
      </c>
      <c r="W92" s="2">
        <v>5184.8788965438916</v>
      </c>
      <c r="X92" s="2">
        <v>7398.6447473464623</v>
      </c>
      <c r="Y92" s="2">
        <v>23472.853524902854</v>
      </c>
      <c r="Z92" s="2">
        <v>10324.82699547618</v>
      </c>
      <c r="AA92" s="2">
        <v>3152.284362004606</v>
      </c>
      <c r="AB92" s="2">
        <v>7919.8989146962049</v>
      </c>
      <c r="AC92" s="2">
        <v>31.3</v>
      </c>
      <c r="AD92" s="2">
        <v>1747.8</v>
      </c>
      <c r="AE92" s="24"/>
    </row>
    <row r="93" spans="1:31">
      <c r="A93" s="1">
        <v>2019</v>
      </c>
      <c r="B93" s="9" t="s">
        <v>109</v>
      </c>
      <c r="C93" s="1" t="s">
        <v>181</v>
      </c>
      <c r="D93" s="10">
        <v>51.9</v>
      </c>
      <c r="E93" s="1">
        <v>33</v>
      </c>
      <c r="F93" s="10">
        <v>21.7</v>
      </c>
      <c r="G93" s="1">
        <v>20</v>
      </c>
      <c r="H93" s="10">
        <v>34.200000000000003</v>
      </c>
      <c r="I93" s="1">
        <v>5</v>
      </c>
      <c r="J93" s="10">
        <v>11.3</v>
      </c>
      <c r="K93" s="1">
        <v>13</v>
      </c>
      <c r="L93" s="10">
        <v>80.5</v>
      </c>
      <c r="M93" s="1">
        <v>7</v>
      </c>
      <c r="N93" s="14">
        <f t="shared" si="0"/>
        <v>101.16959064327486</v>
      </c>
      <c r="O93" s="14">
        <f t="shared" si="1"/>
        <v>90.794979079497907</v>
      </c>
      <c r="P93" s="14">
        <f t="shared" si="2"/>
        <v>101.78571428571428</v>
      </c>
      <c r="Q93" s="14">
        <f t="shared" si="3"/>
        <v>111.88118811881189</v>
      </c>
      <c r="R93" s="14">
        <f t="shared" si="4"/>
        <v>103.47043701799485</v>
      </c>
      <c r="S93" s="2">
        <v>184653.09953358182</v>
      </c>
      <c r="T93" s="2">
        <v>54861.681053030334</v>
      </c>
      <c r="U93" s="2">
        <v>106772.97646324705</v>
      </c>
      <c r="V93" s="2">
        <v>18133.397302694731</v>
      </c>
      <c r="W93" s="2">
        <v>4885.0447146096922</v>
      </c>
      <c r="X93" s="2">
        <v>6309.3902560122988</v>
      </c>
      <c r="Y93" s="2">
        <v>21104.434932178152</v>
      </c>
      <c r="Z93" s="2">
        <v>10687.46177612101</v>
      </c>
      <c r="AA93" s="2">
        <v>2133.9094367753164</v>
      </c>
      <c r="AB93" s="2">
        <v>6315.1466394989147</v>
      </c>
      <c r="AC93" s="2">
        <v>35.700000000000003</v>
      </c>
      <c r="AD93" s="2">
        <v>1749.4</v>
      </c>
      <c r="AE93" s="24"/>
    </row>
    <row r="94" spans="1:31">
      <c r="A94" s="1">
        <v>2019</v>
      </c>
      <c r="B94" s="9" t="s">
        <v>111</v>
      </c>
      <c r="C94" s="1" t="s">
        <v>182</v>
      </c>
      <c r="D94" s="10">
        <v>50.5</v>
      </c>
      <c r="E94" s="1">
        <v>39</v>
      </c>
      <c r="F94" s="10">
        <v>16.899999999999999</v>
      </c>
      <c r="G94" s="1">
        <v>33</v>
      </c>
      <c r="H94" s="10">
        <v>33.1</v>
      </c>
      <c r="I94" s="1">
        <v>24</v>
      </c>
      <c r="J94" s="10">
        <v>10.5</v>
      </c>
      <c r="K94" s="1">
        <v>28</v>
      </c>
      <c r="L94" s="10">
        <v>83</v>
      </c>
      <c r="M94" s="1">
        <v>3</v>
      </c>
      <c r="N94" s="14">
        <f t="shared" si="0"/>
        <v>108.13704496788009</v>
      </c>
      <c r="O94" s="14">
        <f t="shared" si="1"/>
        <v>84.924623115577887</v>
      </c>
      <c r="P94" s="14">
        <f t="shared" si="2"/>
        <v>98.21958456973293</v>
      </c>
      <c r="Q94" s="14">
        <f t="shared" si="3"/>
        <v>94.594594594594597</v>
      </c>
      <c r="R94" s="14">
        <f t="shared" si="4"/>
        <v>102.85006195786866</v>
      </c>
      <c r="S94" s="2">
        <v>193541.71094605493</v>
      </c>
      <c r="T94" s="2">
        <v>60651.685626103179</v>
      </c>
      <c r="U94" s="2">
        <v>109506.21909946525</v>
      </c>
      <c r="V94" s="2">
        <v>17881.477113132114</v>
      </c>
      <c r="W94" s="2">
        <v>5502.3291073543814</v>
      </c>
      <c r="X94" s="2">
        <v>7668.0033012512231</v>
      </c>
      <c r="Y94" s="2">
        <v>22499.389423065346</v>
      </c>
      <c r="Z94" s="2">
        <v>10838.788615977757</v>
      </c>
      <c r="AA94" s="2">
        <v>2192.9918462025803</v>
      </c>
      <c r="AB94" s="2">
        <v>7027.1156447956137</v>
      </c>
      <c r="AC94" s="2">
        <v>40</v>
      </c>
      <c r="AD94" s="2">
        <v>2061.3000000000002</v>
      </c>
      <c r="AE94" s="24"/>
    </row>
    <row r="95" spans="1:31">
      <c r="A95" s="1">
        <v>2019</v>
      </c>
      <c r="B95" s="9" t="s">
        <v>113</v>
      </c>
      <c r="C95" s="1" t="s">
        <v>183</v>
      </c>
      <c r="D95" s="10">
        <v>55.8</v>
      </c>
      <c r="E95" s="1">
        <v>19</v>
      </c>
      <c r="F95" s="10">
        <v>30.8</v>
      </c>
      <c r="G95" s="1">
        <v>3</v>
      </c>
      <c r="H95" s="10">
        <v>33.200000000000003</v>
      </c>
      <c r="I95" s="1">
        <v>22</v>
      </c>
      <c r="J95" s="10">
        <v>10.3</v>
      </c>
      <c r="K95" s="1">
        <v>35</v>
      </c>
      <c r="L95" s="10">
        <v>87.6</v>
      </c>
      <c r="M95" s="1">
        <v>1</v>
      </c>
      <c r="N95" s="14">
        <f t="shared" si="0"/>
        <v>100.17953321364452</v>
      </c>
      <c r="O95" s="14">
        <f t="shared" si="1"/>
        <v>103.7037037037037</v>
      </c>
      <c r="P95" s="14">
        <f t="shared" si="2"/>
        <v>101.52905198776759</v>
      </c>
      <c r="Q95" s="14">
        <f t="shared" si="3"/>
        <v>96.261682242990659</v>
      </c>
      <c r="R95" s="14">
        <f t="shared" si="4"/>
        <v>102.57611241217796</v>
      </c>
      <c r="S95" s="2">
        <v>174452.28824652854</v>
      </c>
      <c r="T95" s="2">
        <v>55494.30956992336</v>
      </c>
      <c r="U95" s="2">
        <v>97202.308990321151</v>
      </c>
      <c r="V95" s="2">
        <v>17130.178421443259</v>
      </c>
      <c r="W95" s="2">
        <v>4625.4912648407571</v>
      </c>
      <c r="X95" s="2">
        <v>6685.5529261908587</v>
      </c>
      <c r="Y95" s="2">
        <v>17933.371151086798</v>
      </c>
      <c r="Z95" s="2">
        <v>9012.759423359983</v>
      </c>
      <c r="AA95" s="2">
        <v>1841.474818895369</v>
      </c>
      <c r="AB95" s="2">
        <v>5379.9391726571548</v>
      </c>
      <c r="AC95" s="2">
        <v>28.4</v>
      </c>
      <c r="AD95" s="2">
        <v>1278</v>
      </c>
      <c r="AE95" s="24"/>
    </row>
    <row r="96" spans="1:31">
      <c r="A96" s="1">
        <v>2020</v>
      </c>
      <c r="B96" s="9" t="s">
        <v>21</v>
      </c>
      <c r="C96" s="1" t="s">
        <v>22</v>
      </c>
      <c r="D96" s="10">
        <v>45</v>
      </c>
      <c r="E96" s="1">
        <v>43</v>
      </c>
      <c r="F96" s="10">
        <v>9.8000000000000007</v>
      </c>
      <c r="G96" s="1">
        <v>44</v>
      </c>
      <c r="H96" s="10">
        <v>31.7</v>
      </c>
      <c r="I96" s="1">
        <v>35</v>
      </c>
      <c r="J96" s="10">
        <v>9.1999999999999993</v>
      </c>
      <c r="K96" s="1">
        <v>29</v>
      </c>
      <c r="L96" s="10">
        <v>81.5</v>
      </c>
      <c r="M96" s="1">
        <v>15</v>
      </c>
      <c r="N96" s="14">
        <f t="shared" si="0"/>
        <v>93.75</v>
      </c>
      <c r="O96" s="14">
        <f t="shared" si="1"/>
        <v>98.98989898989899</v>
      </c>
      <c r="P96" s="14">
        <f t="shared" si="2"/>
        <v>97.538461538461547</v>
      </c>
      <c r="Q96" s="14">
        <f t="shared" si="3"/>
        <v>86.792452830188665</v>
      </c>
      <c r="R96" s="14">
        <f t="shared" si="4"/>
        <v>102.38693467336684</v>
      </c>
      <c r="S96" s="2">
        <v>201779.85276831497</v>
      </c>
      <c r="T96" s="2">
        <v>61643.307363378975</v>
      </c>
      <c r="U96" s="2">
        <v>114276.53453266762</v>
      </c>
      <c r="V96" s="2">
        <v>21705.759802970952</v>
      </c>
      <c r="W96" s="2">
        <v>4154.2510692974347</v>
      </c>
      <c r="X96" s="2">
        <v>7838.4304711064842</v>
      </c>
      <c r="Y96" s="2">
        <v>24131.240088952487</v>
      </c>
      <c r="Z96" s="2">
        <v>10135.8406286268</v>
      </c>
      <c r="AA96" s="2">
        <v>3068.4021356312624</v>
      </c>
      <c r="AB96" s="2">
        <v>8161.4747352534059</v>
      </c>
      <c r="AC96" s="2"/>
      <c r="AD96" s="2"/>
      <c r="AE96" s="24"/>
    </row>
    <row r="97" spans="1:31">
      <c r="A97" s="1">
        <v>2020</v>
      </c>
      <c r="B97" s="9" t="s">
        <v>23</v>
      </c>
      <c r="C97" s="1" t="s">
        <v>138</v>
      </c>
      <c r="D97" s="10">
        <v>55.8</v>
      </c>
      <c r="E97" s="1">
        <v>21</v>
      </c>
      <c r="F97" s="10">
        <v>17.600000000000001</v>
      </c>
      <c r="G97" s="1">
        <v>20</v>
      </c>
      <c r="H97" s="10">
        <v>31.4</v>
      </c>
      <c r="I97" s="1">
        <v>45</v>
      </c>
      <c r="J97" s="10">
        <v>9.1999999999999993</v>
      </c>
      <c r="K97" s="1">
        <v>31</v>
      </c>
      <c r="L97" s="10">
        <v>82.1</v>
      </c>
      <c r="M97" s="1">
        <v>8</v>
      </c>
      <c r="N97" s="14">
        <f t="shared" si="0"/>
        <v>101.27041742286751</v>
      </c>
      <c r="O97" s="14">
        <f t="shared" si="1"/>
        <v>98.876404494382029</v>
      </c>
      <c r="P97" s="14">
        <f t="shared" si="2"/>
        <v>97.213622291021679</v>
      </c>
      <c r="Q97" s="14">
        <f t="shared" si="3"/>
        <v>86.792452830188665</v>
      </c>
      <c r="R97" s="14">
        <f t="shared" si="4"/>
        <v>102.24159402241592</v>
      </c>
      <c r="S97" s="2">
        <v>186476.73692133275</v>
      </c>
      <c r="T97" s="2">
        <v>51181.771704412997</v>
      </c>
      <c r="U97" s="2">
        <v>112917.36050103065</v>
      </c>
      <c r="V97" s="2">
        <v>18888.924818120497</v>
      </c>
      <c r="W97" s="2">
        <v>3488.679897768614</v>
      </c>
      <c r="X97" s="2">
        <v>6460.5363481474305</v>
      </c>
      <c r="Y97" s="2">
        <v>27131.077626520691</v>
      </c>
      <c r="Z97" s="2">
        <v>12825.015687181367</v>
      </c>
      <c r="AA97" s="2">
        <v>3448.7843427359671</v>
      </c>
      <c r="AB97" s="2">
        <v>8591.7175392900226</v>
      </c>
      <c r="AC97" s="2"/>
      <c r="AD97" s="2"/>
      <c r="AE97" s="24"/>
    </row>
    <row r="98" spans="1:31">
      <c r="A98" s="1">
        <v>2020</v>
      </c>
      <c r="B98" s="9" t="s">
        <v>25</v>
      </c>
      <c r="C98" s="1" t="s">
        <v>139</v>
      </c>
      <c r="D98" s="10">
        <v>55.7</v>
      </c>
      <c r="E98" s="1">
        <v>22</v>
      </c>
      <c r="F98" s="10">
        <v>14.5</v>
      </c>
      <c r="G98" s="1">
        <v>31</v>
      </c>
      <c r="H98" s="10">
        <v>31.4</v>
      </c>
      <c r="I98" s="1">
        <v>43</v>
      </c>
      <c r="J98" s="10">
        <v>9</v>
      </c>
      <c r="K98" s="1">
        <v>35</v>
      </c>
      <c r="L98" s="10">
        <v>85</v>
      </c>
      <c r="M98" s="1">
        <v>2</v>
      </c>
      <c r="N98" s="14">
        <f t="shared" si="0"/>
        <v>96.200345423143361</v>
      </c>
      <c r="O98" s="14">
        <f t="shared" si="1"/>
        <v>99.315068493150676</v>
      </c>
      <c r="P98" s="14">
        <f t="shared" si="2"/>
        <v>97.213622291021679</v>
      </c>
      <c r="Q98" s="14">
        <f t="shared" si="3"/>
        <v>76.271186440677965</v>
      </c>
      <c r="R98" s="14">
        <f t="shared" si="4"/>
        <v>102.16346153846155</v>
      </c>
      <c r="S98" s="2">
        <v>184277.74111695637</v>
      </c>
      <c r="T98" s="2">
        <v>50621.28285082303</v>
      </c>
      <c r="U98" s="2">
        <v>110075.85755655954</v>
      </c>
      <c r="V98" s="2">
        <v>19671.710251985063</v>
      </c>
      <c r="W98" s="2">
        <v>3908.8904575887373</v>
      </c>
      <c r="X98" s="2">
        <v>6626.7962806217847</v>
      </c>
      <c r="Y98" s="2">
        <v>25950.363036327821</v>
      </c>
      <c r="Z98" s="2">
        <v>12093.711413283112</v>
      </c>
      <c r="AA98" s="2">
        <v>3545.3241484771088</v>
      </c>
      <c r="AB98" s="2">
        <v>8235.0319816205192</v>
      </c>
      <c r="AC98" s="2"/>
      <c r="AD98" s="2"/>
      <c r="AE98" s="24"/>
    </row>
    <row r="99" spans="1:31">
      <c r="A99" s="1">
        <v>2020</v>
      </c>
      <c r="B99" s="9" t="s">
        <v>27</v>
      </c>
      <c r="C99" s="1" t="s">
        <v>140</v>
      </c>
      <c r="D99" s="10">
        <v>58.5</v>
      </c>
      <c r="E99" s="1">
        <v>10</v>
      </c>
      <c r="F99" s="10">
        <v>22.9</v>
      </c>
      <c r="G99" s="1">
        <v>11</v>
      </c>
      <c r="H99" s="10">
        <v>31.6</v>
      </c>
      <c r="I99" s="1">
        <v>41</v>
      </c>
      <c r="J99" s="10">
        <v>11.6</v>
      </c>
      <c r="K99" s="1">
        <v>6</v>
      </c>
      <c r="L99" s="10">
        <v>83.1</v>
      </c>
      <c r="M99" s="1">
        <v>5</v>
      </c>
      <c r="N99" s="14">
        <f t="shared" si="0"/>
        <v>97.5</v>
      </c>
      <c r="O99" s="14">
        <f t="shared" si="1"/>
        <v>83.576642335766422</v>
      </c>
      <c r="P99" s="14">
        <f t="shared" si="2"/>
        <v>96.63608562691131</v>
      </c>
      <c r="Q99" s="14">
        <f t="shared" si="3"/>
        <v>117.17171717171718</v>
      </c>
      <c r="R99" s="14">
        <f t="shared" si="4"/>
        <v>102.46609124537609</v>
      </c>
      <c r="S99" s="2">
        <v>188766.56856061661</v>
      </c>
      <c r="T99" s="2">
        <v>52522.485942057632</v>
      </c>
      <c r="U99" s="2">
        <v>112632.89503915588</v>
      </c>
      <c r="V99" s="2">
        <v>19085.692839892665</v>
      </c>
      <c r="W99" s="2">
        <v>4525.4947395104464</v>
      </c>
      <c r="X99" s="2">
        <v>6807.3877932958212</v>
      </c>
      <c r="Y99" s="2">
        <v>25803.941290270974</v>
      </c>
      <c r="Z99" s="2">
        <v>12233.754548025434</v>
      </c>
      <c r="AA99" s="2">
        <v>3648.9373165414299</v>
      </c>
      <c r="AB99" s="2">
        <v>7956.4453762055373</v>
      </c>
      <c r="AC99" s="2"/>
      <c r="AD99" s="2"/>
      <c r="AE99" s="24"/>
    </row>
    <row r="100" spans="1:31">
      <c r="A100" s="1">
        <v>2020</v>
      </c>
      <c r="B100" s="9" t="s">
        <v>29</v>
      </c>
      <c r="C100" s="1" t="s">
        <v>141</v>
      </c>
      <c r="D100" s="10">
        <v>55.9</v>
      </c>
      <c r="E100" s="1">
        <v>19</v>
      </c>
      <c r="F100" s="10">
        <v>24.4</v>
      </c>
      <c r="G100" s="1">
        <v>7</v>
      </c>
      <c r="H100" s="10">
        <v>33.200000000000003</v>
      </c>
      <c r="I100" s="1">
        <v>12</v>
      </c>
      <c r="J100" s="10">
        <v>9</v>
      </c>
      <c r="K100" s="1">
        <v>34</v>
      </c>
      <c r="L100" s="10">
        <v>81.7</v>
      </c>
      <c r="M100" s="1">
        <v>12</v>
      </c>
      <c r="N100" s="14">
        <f t="shared" si="0"/>
        <v>103.90334572490707</v>
      </c>
      <c r="O100" s="14">
        <f t="shared" si="1"/>
        <v>85.017421602787451</v>
      </c>
      <c r="P100" s="14">
        <f t="shared" si="2"/>
        <v>102.78637770897834</v>
      </c>
      <c r="Q100" s="14">
        <f t="shared" si="3"/>
        <v>97.826086956521749</v>
      </c>
      <c r="R100" s="14">
        <f t="shared" si="4"/>
        <v>103.0264817150063</v>
      </c>
      <c r="S100" s="2">
        <v>205305.14695259108</v>
      </c>
      <c r="T100" s="2">
        <v>58657.578229827282</v>
      </c>
      <c r="U100" s="2">
        <v>121445.1691837402</v>
      </c>
      <c r="V100" s="2">
        <v>21210.579791148957</v>
      </c>
      <c r="W100" s="2">
        <v>3991.8197478746529</v>
      </c>
      <c r="X100" s="2">
        <v>6006.7783365905098</v>
      </c>
      <c r="Y100" s="2">
        <v>27109.735030741031</v>
      </c>
      <c r="Z100" s="2">
        <v>12645.875614102173</v>
      </c>
      <c r="AA100" s="2">
        <v>4194.3128077824276</v>
      </c>
      <c r="AB100" s="2">
        <v>8016.232775743103</v>
      </c>
      <c r="AC100" s="2"/>
      <c r="AD100" s="2"/>
      <c r="AE100" s="24"/>
    </row>
    <row r="101" spans="1:31">
      <c r="A101" s="1">
        <v>2020</v>
      </c>
      <c r="B101" s="9" t="s">
        <v>31</v>
      </c>
      <c r="C101" s="1" t="s">
        <v>142</v>
      </c>
      <c r="D101" s="10">
        <v>73</v>
      </c>
      <c r="E101" s="1">
        <v>1</v>
      </c>
      <c r="F101" s="10">
        <v>22.7</v>
      </c>
      <c r="G101" s="1">
        <v>12</v>
      </c>
      <c r="H101" s="10">
        <v>33.299999999999997</v>
      </c>
      <c r="I101" s="1">
        <v>10</v>
      </c>
      <c r="J101" s="10">
        <v>10.8</v>
      </c>
      <c r="K101" s="1">
        <v>12</v>
      </c>
      <c r="L101" s="10">
        <v>83.3</v>
      </c>
      <c r="M101" s="1">
        <v>4</v>
      </c>
      <c r="N101" s="14">
        <f t="shared" si="0"/>
        <v>98.915989159891609</v>
      </c>
      <c r="O101" s="14">
        <f t="shared" si="1"/>
        <v>94.583333333333329</v>
      </c>
      <c r="P101" s="14">
        <f t="shared" si="2"/>
        <v>99.107142857142847</v>
      </c>
      <c r="Q101" s="14">
        <f t="shared" si="3"/>
        <v>93.913043478260875</v>
      </c>
      <c r="R101" s="14">
        <f t="shared" si="4"/>
        <v>102.58620689655172</v>
      </c>
      <c r="S101" s="2">
        <v>188703.94778775101</v>
      </c>
      <c r="T101" s="2">
        <v>52221.9256817961</v>
      </c>
      <c r="U101" s="2">
        <v>113126.21207794914</v>
      </c>
      <c r="V101" s="2">
        <v>19706.227682709985</v>
      </c>
      <c r="W101" s="2">
        <v>3649.5823452957761</v>
      </c>
      <c r="X101" s="2">
        <v>6171.9707777730173</v>
      </c>
      <c r="Y101" s="2">
        <v>26418.056805402535</v>
      </c>
      <c r="Z101" s="2">
        <v>12724.121899826603</v>
      </c>
      <c r="AA101" s="2">
        <v>4728.537827628913</v>
      </c>
      <c r="AB101" s="2">
        <v>6995.7263072593569</v>
      </c>
      <c r="AC101" s="2"/>
      <c r="AD101" s="2"/>
      <c r="AE101" s="24"/>
    </row>
    <row r="102" spans="1:31">
      <c r="A102" s="1">
        <v>2020</v>
      </c>
      <c r="B102" s="9" t="s">
        <v>33</v>
      </c>
      <c r="C102" s="1" t="s">
        <v>143</v>
      </c>
      <c r="D102" s="10">
        <v>53.1</v>
      </c>
      <c r="E102" s="1">
        <v>29</v>
      </c>
      <c r="F102" s="10">
        <v>24.9</v>
      </c>
      <c r="G102" s="1">
        <v>6</v>
      </c>
      <c r="H102" s="10">
        <v>33.5</v>
      </c>
      <c r="I102" s="1">
        <v>8</v>
      </c>
      <c r="J102" s="10">
        <v>10.3</v>
      </c>
      <c r="K102" s="1">
        <v>17</v>
      </c>
      <c r="L102" s="10">
        <v>81.8</v>
      </c>
      <c r="M102" s="1">
        <v>10</v>
      </c>
      <c r="N102" s="14">
        <f t="shared" si="0"/>
        <v>96.545454545454547</v>
      </c>
      <c r="O102" s="14">
        <f t="shared" si="1"/>
        <v>104.18410041841004</v>
      </c>
      <c r="P102" s="14">
        <f t="shared" si="2"/>
        <v>98.820058997050154</v>
      </c>
      <c r="Q102" s="14">
        <f t="shared" si="3"/>
        <v>97.169811320754732</v>
      </c>
      <c r="R102" s="14">
        <f t="shared" si="4"/>
        <v>102.89308176100629</v>
      </c>
      <c r="S102" s="2">
        <v>179237.44964058357</v>
      </c>
      <c r="T102" s="2">
        <v>48859.130044563746</v>
      </c>
      <c r="U102" s="2">
        <v>107702.6261204253</v>
      </c>
      <c r="V102" s="2">
        <v>18782.528565709294</v>
      </c>
      <c r="W102" s="2">
        <v>3893.1649098852472</v>
      </c>
      <c r="X102" s="2">
        <v>5907.3326101777329</v>
      </c>
      <c r="Y102" s="2">
        <v>26107.358190224943</v>
      </c>
      <c r="Z102" s="2">
        <v>12518.637409006771</v>
      </c>
      <c r="AA102" s="2">
        <v>3322.8320215100648</v>
      </c>
      <c r="AB102" s="2">
        <v>8141.0711324714284</v>
      </c>
      <c r="AC102" s="2"/>
      <c r="AD102" s="2"/>
      <c r="AE102" s="24"/>
    </row>
    <row r="103" spans="1:31">
      <c r="A103" s="1">
        <v>2020</v>
      </c>
      <c r="B103" s="9" t="s">
        <v>35</v>
      </c>
      <c r="C103" s="1" t="s">
        <v>144</v>
      </c>
      <c r="D103" s="10">
        <v>52.3</v>
      </c>
      <c r="E103" s="1">
        <v>30</v>
      </c>
      <c r="F103" s="10">
        <v>13.9</v>
      </c>
      <c r="G103" s="1">
        <v>35</v>
      </c>
      <c r="H103" s="10">
        <v>31.7</v>
      </c>
      <c r="I103" s="1">
        <v>38</v>
      </c>
      <c r="J103" s="10">
        <v>12</v>
      </c>
      <c r="K103" s="1">
        <v>4</v>
      </c>
      <c r="L103" s="10">
        <v>78.8</v>
      </c>
      <c r="M103" s="1">
        <v>33</v>
      </c>
      <c r="N103" s="14">
        <f t="shared" si="0"/>
        <v>99.053030303030297</v>
      </c>
      <c r="O103" s="14">
        <f t="shared" si="1"/>
        <v>68.811881188118818</v>
      </c>
      <c r="P103" s="14">
        <f t="shared" si="2"/>
        <v>97.839506172839506</v>
      </c>
      <c r="Q103" s="14">
        <f t="shared" si="3"/>
        <v>105.26315789473684</v>
      </c>
      <c r="R103" s="14">
        <f t="shared" si="4"/>
        <v>102.87206266318537</v>
      </c>
      <c r="S103" s="2">
        <v>174142.73435449944</v>
      </c>
      <c r="T103" s="2">
        <v>45942.307788423757</v>
      </c>
      <c r="U103" s="2">
        <v>105596.49217123065</v>
      </c>
      <c r="V103" s="2">
        <v>19042.810795061672</v>
      </c>
      <c r="W103" s="2">
        <v>3561.123599783351</v>
      </c>
      <c r="X103" s="2">
        <v>5464.7184534623957</v>
      </c>
      <c r="Y103" s="2">
        <v>22632.798273292265</v>
      </c>
      <c r="Z103" s="2">
        <v>10000.145740998712</v>
      </c>
      <c r="AA103" s="2">
        <v>3090.2406570725843</v>
      </c>
      <c r="AB103" s="2">
        <v>7549.2719094545009</v>
      </c>
      <c r="AC103" s="2"/>
      <c r="AD103" s="2"/>
      <c r="AE103" s="24"/>
    </row>
    <row r="104" spans="1:31">
      <c r="A104" s="1">
        <v>2020</v>
      </c>
      <c r="B104" s="9" t="s">
        <v>37</v>
      </c>
      <c r="C104" s="1" t="s">
        <v>145</v>
      </c>
      <c r="D104" s="10">
        <v>53.4</v>
      </c>
      <c r="E104" s="1">
        <v>26</v>
      </c>
      <c r="F104" s="10">
        <v>23.5</v>
      </c>
      <c r="G104" s="1">
        <v>9</v>
      </c>
      <c r="H104" s="10">
        <v>32.4</v>
      </c>
      <c r="I104" s="1">
        <v>27</v>
      </c>
      <c r="J104" s="10">
        <v>10.5</v>
      </c>
      <c r="K104" s="1">
        <v>16</v>
      </c>
      <c r="L104" s="10">
        <v>79.5</v>
      </c>
      <c r="M104" s="1">
        <v>27</v>
      </c>
      <c r="N104" s="14">
        <f t="shared" si="0"/>
        <v>100.187617260788</v>
      </c>
      <c r="O104" s="14">
        <f t="shared" si="1"/>
        <v>103.52422907488987</v>
      </c>
      <c r="P104" s="14">
        <f t="shared" si="2"/>
        <v>95.575221238938056</v>
      </c>
      <c r="Q104" s="14">
        <f t="shared" si="3"/>
        <v>105</v>
      </c>
      <c r="R104" s="14">
        <f t="shared" si="4"/>
        <v>103.65058670143415</v>
      </c>
      <c r="S104" s="2">
        <v>178606.3397000047</v>
      </c>
      <c r="T104" s="2">
        <v>47247.603953563121</v>
      </c>
      <c r="U104" s="2">
        <v>108095.66264758496</v>
      </c>
      <c r="V104" s="2">
        <v>18791.164117579126</v>
      </c>
      <c r="W104" s="2">
        <v>4471.9089812774982</v>
      </c>
      <c r="X104" s="2">
        <v>5701.0460496138685</v>
      </c>
      <c r="Y104" s="2">
        <v>22676.552031207761</v>
      </c>
      <c r="Z104" s="2">
        <v>10190.822063594474</v>
      </c>
      <c r="AA104" s="2">
        <v>3456.1434207847306</v>
      </c>
      <c r="AB104" s="2">
        <v>7122.9028358666537</v>
      </c>
      <c r="AC104" s="2"/>
      <c r="AD104" s="2"/>
      <c r="AE104" s="24"/>
    </row>
    <row r="105" spans="1:31">
      <c r="A105" s="1">
        <v>2020</v>
      </c>
      <c r="B105" s="9" t="s">
        <v>39</v>
      </c>
      <c r="C105" s="1" t="s">
        <v>146</v>
      </c>
      <c r="D105" s="10">
        <v>51.2</v>
      </c>
      <c r="E105" s="1">
        <v>33</v>
      </c>
      <c r="F105" s="10">
        <v>10.6</v>
      </c>
      <c r="G105" s="1">
        <v>43</v>
      </c>
      <c r="H105" s="10">
        <v>31.7</v>
      </c>
      <c r="I105" s="1">
        <v>37</v>
      </c>
      <c r="J105" s="10">
        <v>9.3000000000000007</v>
      </c>
      <c r="K105" s="1">
        <v>28</v>
      </c>
      <c r="L105" s="10">
        <v>80.3</v>
      </c>
      <c r="M105" s="1">
        <v>23</v>
      </c>
      <c r="N105" s="14">
        <f t="shared" si="0"/>
        <v>100</v>
      </c>
      <c r="O105" s="14">
        <f t="shared" si="1"/>
        <v>78.518518518518519</v>
      </c>
      <c r="P105" s="14">
        <f t="shared" si="2"/>
        <v>96.060606060606062</v>
      </c>
      <c r="Q105" s="14">
        <f t="shared" si="3"/>
        <v>90.291262135922338</v>
      </c>
      <c r="R105" s="14">
        <f t="shared" si="4"/>
        <v>103.2133676092545</v>
      </c>
      <c r="S105" s="2">
        <v>172839.12903544682</v>
      </c>
      <c r="T105" s="2">
        <v>46952.555264039154</v>
      </c>
      <c r="U105" s="2">
        <v>102837.0339281147</v>
      </c>
      <c r="V105" s="2">
        <v>18641.002850415174</v>
      </c>
      <c r="W105" s="2">
        <v>4408.5369928778173</v>
      </c>
      <c r="X105" s="2">
        <v>5860.1673438929665</v>
      </c>
      <c r="Y105" s="2">
        <v>21108.590495381584</v>
      </c>
      <c r="Z105" s="2">
        <v>9121.8302082833416</v>
      </c>
      <c r="AA105" s="2">
        <v>2618.868525193609</v>
      </c>
      <c r="AB105" s="2">
        <v>7400.6361749590651</v>
      </c>
      <c r="AC105" s="2"/>
      <c r="AD105" s="2"/>
      <c r="AE105" s="24"/>
    </row>
    <row r="106" spans="1:31">
      <c r="A106" s="1">
        <v>2020</v>
      </c>
      <c r="B106" s="9" t="s">
        <v>41</v>
      </c>
      <c r="C106" s="1" t="s">
        <v>147</v>
      </c>
      <c r="D106" s="10">
        <v>43</v>
      </c>
      <c r="E106" s="1">
        <v>44</v>
      </c>
      <c r="F106" s="10">
        <v>6.6</v>
      </c>
      <c r="G106" s="1">
        <v>47</v>
      </c>
      <c r="H106" s="10">
        <v>31.8</v>
      </c>
      <c r="I106" s="1">
        <v>34</v>
      </c>
      <c r="J106" s="10">
        <v>8.6999999999999993</v>
      </c>
      <c r="K106" s="1">
        <v>42</v>
      </c>
      <c r="L106" s="10">
        <v>79.8</v>
      </c>
      <c r="M106" s="1">
        <v>25</v>
      </c>
      <c r="N106" s="14">
        <f t="shared" si="0"/>
        <v>91.489361702127653</v>
      </c>
      <c r="O106" s="14">
        <f t="shared" si="1"/>
        <v>78.571428571428555</v>
      </c>
      <c r="P106" s="14">
        <f t="shared" si="2"/>
        <v>100.31545741324921</v>
      </c>
      <c r="Q106" s="14">
        <f t="shared" si="3"/>
        <v>82.857142857142847</v>
      </c>
      <c r="R106" s="14">
        <f t="shared" si="4"/>
        <v>102.83505154639177</v>
      </c>
      <c r="S106" s="2">
        <v>172250.86326253632</v>
      </c>
      <c r="T106" s="2">
        <v>45148.718666916386</v>
      </c>
      <c r="U106" s="2">
        <v>102977.26035905447</v>
      </c>
      <c r="V106" s="2">
        <v>19321.659100760367</v>
      </c>
      <c r="W106" s="2">
        <v>4803.2251358051089</v>
      </c>
      <c r="X106" s="2">
        <v>6330.9336167660531</v>
      </c>
      <c r="Y106" s="2">
        <v>21109.670719541333</v>
      </c>
      <c r="Z106" s="2">
        <v>9630.2811908087642</v>
      </c>
      <c r="AA106" s="2">
        <v>2616.1583792219426</v>
      </c>
      <c r="AB106" s="2">
        <v>6879.8737123982373</v>
      </c>
      <c r="AC106" s="2"/>
      <c r="AD106" s="2"/>
      <c r="AE106" s="24"/>
    </row>
    <row r="107" spans="1:31">
      <c r="A107" s="1">
        <v>2020</v>
      </c>
      <c r="B107" s="9" t="s">
        <v>43</v>
      </c>
      <c r="C107" s="1" t="s">
        <v>148</v>
      </c>
      <c r="D107" s="10">
        <v>40</v>
      </c>
      <c r="E107" s="1">
        <v>47</v>
      </c>
      <c r="F107" s="10">
        <v>12.6</v>
      </c>
      <c r="G107" s="1">
        <v>38</v>
      </c>
      <c r="H107" s="10">
        <v>31.4</v>
      </c>
      <c r="I107" s="1">
        <v>44</v>
      </c>
      <c r="J107" s="10">
        <v>9.6999999999999993</v>
      </c>
      <c r="K107" s="1">
        <v>23</v>
      </c>
      <c r="L107" s="10">
        <v>80.099999999999994</v>
      </c>
      <c r="M107" s="1">
        <v>24</v>
      </c>
      <c r="N107" s="14">
        <f t="shared" si="0"/>
        <v>91.324200913242009</v>
      </c>
      <c r="O107" s="14">
        <f t="shared" si="1"/>
        <v>97.674418604651152</v>
      </c>
      <c r="P107" s="14">
        <f t="shared" si="2"/>
        <v>96.913580246913583</v>
      </c>
      <c r="Q107" s="14">
        <f t="shared" si="3"/>
        <v>95.098039215686271</v>
      </c>
      <c r="R107" s="14">
        <f t="shared" si="4"/>
        <v>102.69230769230768</v>
      </c>
      <c r="S107" s="2">
        <v>176096.2851709199</v>
      </c>
      <c r="T107" s="2">
        <v>47668.477274631165</v>
      </c>
      <c r="U107" s="2">
        <v>104189.2034921625</v>
      </c>
      <c r="V107" s="2">
        <v>19861.978355793319</v>
      </c>
      <c r="W107" s="2">
        <v>4376.6260483329143</v>
      </c>
      <c r="X107" s="2">
        <v>6948.5953260752285</v>
      </c>
      <c r="Y107" s="2">
        <v>21812.48614953622</v>
      </c>
      <c r="Z107" s="2">
        <v>9493.9009037372653</v>
      </c>
      <c r="AA107" s="2">
        <v>2782.5037535996807</v>
      </c>
      <c r="AB107" s="2">
        <v>7567.2701004362389</v>
      </c>
      <c r="AC107" s="2"/>
      <c r="AD107" s="2"/>
      <c r="AE107" s="24"/>
    </row>
    <row r="108" spans="1:31">
      <c r="A108" s="1">
        <v>2020</v>
      </c>
      <c r="B108" s="9" t="s">
        <v>45</v>
      </c>
      <c r="C108" s="1" t="s">
        <v>149</v>
      </c>
      <c r="D108" s="10">
        <v>47.2</v>
      </c>
      <c r="E108" s="1">
        <v>42</v>
      </c>
      <c r="F108" s="10">
        <v>7.7</v>
      </c>
      <c r="G108" s="1">
        <v>46</v>
      </c>
      <c r="H108" s="10">
        <v>32.4</v>
      </c>
      <c r="I108" s="1">
        <v>28</v>
      </c>
      <c r="J108" s="10">
        <v>9.1999999999999993</v>
      </c>
      <c r="K108" s="1">
        <v>32</v>
      </c>
      <c r="L108" s="10">
        <v>78.400000000000006</v>
      </c>
      <c r="M108" s="1">
        <v>34</v>
      </c>
      <c r="N108" s="14">
        <f t="shared" si="0"/>
        <v>93.465346534653477</v>
      </c>
      <c r="O108" s="14">
        <f t="shared" si="1"/>
        <v>102.66666666666666</v>
      </c>
      <c r="P108" s="14">
        <f t="shared" si="2"/>
        <v>98.480243161094222</v>
      </c>
      <c r="Q108" s="14">
        <f t="shared" si="3"/>
        <v>92.929292929292913</v>
      </c>
      <c r="R108" s="14">
        <f t="shared" si="4"/>
        <v>102.75229357798166</v>
      </c>
      <c r="S108" s="2">
        <v>170452.42555604773</v>
      </c>
      <c r="T108" s="2">
        <v>42935.762396210812</v>
      </c>
      <c r="U108" s="2">
        <v>102001.18744681851</v>
      </c>
      <c r="V108" s="2">
        <v>20715.439052792379</v>
      </c>
      <c r="W108" s="2">
        <v>4800.0366602260392</v>
      </c>
      <c r="X108" s="2">
        <v>5148.0651542677742</v>
      </c>
      <c r="Y108" s="2">
        <v>17405.883048810825</v>
      </c>
      <c r="Z108" s="2">
        <v>7434.3039014789292</v>
      </c>
      <c r="AA108" s="2">
        <v>2589.089119987927</v>
      </c>
      <c r="AB108" s="2">
        <v>5695.1765027272668</v>
      </c>
      <c r="AC108" s="2"/>
      <c r="AD108" s="2"/>
      <c r="AE108" s="24"/>
    </row>
    <row r="109" spans="1:31">
      <c r="A109" s="1">
        <v>2020</v>
      </c>
      <c r="B109" s="9" t="s">
        <v>47</v>
      </c>
      <c r="C109" s="1" t="s">
        <v>150</v>
      </c>
      <c r="D109" s="10">
        <v>41.7</v>
      </c>
      <c r="E109" s="1">
        <v>46</v>
      </c>
      <c r="F109" s="10">
        <v>8.9</v>
      </c>
      <c r="G109" s="1">
        <v>45</v>
      </c>
      <c r="H109" s="10">
        <v>31.7</v>
      </c>
      <c r="I109" s="1">
        <v>36</v>
      </c>
      <c r="J109" s="10">
        <v>10.199999999999999</v>
      </c>
      <c r="K109" s="1">
        <v>18</v>
      </c>
      <c r="L109" s="10">
        <v>79</v>
      </c>
      <c r="M109" s="1">
        <v>30</v>
      </c>
      <c r="N109" s="14">
        <f t="shared" si="0"/>
        <v>90.455531453362255</v>
      </c>
      <c r="O109" s="14">
        <f t="shared" si="1"/>
        <v>100</v>
      </c>
      <c r="P109" s="14">
        <f t="shared" si="2"/>
        <v>98.753894080996872</v>
      </c>
      <c r="Q109" s="14">
        <f t="shared" si="3"/>
        <v>98.076923076923066</v>
      </c>
      <c r="R109" s="14">
        <f t="shared" si="4"/>
        <v>102.86458333333334</v>
      </c>
      <c r="S109" s="2">
        <v>179204.60536641101</v>
      </c>
      <c r="T109" s="2">
        <v>45926.881641184576</v>
      </c>
      <c r="U109" s="2">
        <v>107949.72889581625</v>
      </c>
      <c r="V109" s="2">
        <v>20816.282330116916</v>
      </c>
      <c r="W109" s="2">
        <v>4511.7124992932595</v>
      </c>
      <c r="X109" s="2">
        <v>6407.8178323557941</v>
      </c>
      <c r="Y109" s="2">
        <v>20821.951432492737</v>
      </c>
      <c r="Z109" s="2">
        <v>8914.1278895065461</v>
      </c>
      <c r="AA109" s="2">
        <v>3065.2788153607298</v>
      </c>
      <c r="AB109" s="2">
        <v>6903.1839164031335</v>
      </c>
      <c r="AC109" s="2"/>
      <c r="AD109" s="2"/>
      <c r="AE109" s="24"/>
    </row>
    <row r="110" spans="1:31">
      <c r="A110" s="1">
        <v>2020</v>
      </c>
      <c r="B110" s="9" t="s">
        <v>49</v>
      </c>
      <c r="C110" s="1" t="s">
        <v>151</v>
      </c>
      <c r="D110" s="10">
        <v>65.2</v>
      </c>
      <c r="E110" s="1">
        <v>3</v>
      </c>
      <c r="F110" s="10">
        <v>17.5</v>
      </c>
      <c r="G110" s="1">
        <v>21</v>
      </c>
      <c r="H110" s="10">
        <v>33.1</v>
      </c>
      <c r="I110" s="1">
        <v>13</v>
      </c>
      <c r="J110" s="10">
        <v>11.1</v>
      </c>
      <c r="K110" s="1">
        <v>10</v>
      </c>
      <c r="L110" s="10">
        <v>81.5</v>
      </c>
      <c r="M110" s="1">
        <v>14</v>
      </c>
      <c r="N110" s="14">
        <f t="shared" si="0"/>
        <v>98.192771084337352</v>
      </c>
      <c r="O110" s="14">
        <f t="shared" si="1"/>
        <v>98.870056497175142</v>
      </c>
      <c r="P110" s="14">
        <f t="shared" si="2"/>
        <v>99.101796407185645</v>
      </c>
      <c r="Q110" s="14">
        <f t="shared" si="3"/>
        <v>104.71698113207549</v>
      </c>
      <c r="R110" s="14">
        <f t="shared" si="4"/>
        <v>102.77427490542246</v>
      </c>
      <c r="S110" s="2">
        <v>169496.80148399557</v>
      </c>
      <c r="T110" s="2">
        <v>45542.483623141765</v>
      </c>
      <c r="U110" s="2">
        <v>101273.39541312343</v>
      </c>
      <c r="V110" s="2">
        <v>19076.990985792545</v>
      </c>
      <c r="W110" s="2">
        <v>3603.9314619378251</v>
      </c>
      <c r="X110" s="2">
        <v>4727.092187563575</v>
      </c>
      <c r="Y110" s="2">
        <v>19939.760626740801</v>
      </c>
      <c r="Z110" s="2">
        <v>8674.727173686555</v>
      </c>
      <c r="AA110" s="2">
        <v>3469.4002261257906</v>
      </c>
      <c r="AB110" s="2">
        <v>6030.6278277745132</v>
      </c>
      <c r="AC110" s="2"/>
      <c r="AD110" s="2"/>
      <c r="AE110" s="24"/>
    </row>
    <row r="111" spans="1:31">
      <c r="A111" s="1">
        <v>2020</v>
      </c>
      <c r="B111" s="9" t="s">
        <v>51</v>
      </c>
      <c r="C111" s="1" t="s">
        <v>152</v>
      </c>
      <c r="D111" s="10">
        <v>67.2</v>
      </c>
      <c r="E111" s="1">
        <v>2</v>
      </c>
      <c r="F111" s="10">
        <v>27.6</v>
      </c>
      <c r="G111" s="1">
        <v>4</v>
      </c>
      <c r="H111" s="10">
        <v>31.6</v>
      </c>
      <c r="I111" s="1">
        <v>39</v>
      </c>
      <c r="J111" s="10">
        <v>15.9</v>
      </c>
      <c r="K111" s="1">
        <v>1</v>
      </c>
      <c r="L111" s="10">
        <v>80.8</v>
      </c>
      <c r="M111" s="1">
        <v>19</v>
      </c>
      <c r="N111" s="14">
        <f t="shared" si="0"/>
        <v>101.35746606334844</v>
      </c>
      <c r="O111" s="14">
        <f t="shared" si="1"/>
        <v>94.197952218430032</v>
      </c>
      <c r="P111" s="14">
        <f t="shared" si="2"/>
        <v>100.63694267515923</v>
      </c>
      <c r="Q111" s="14">
        <f t="shared" si="3"/>
        <v>110.41666666666667</v>
      </c>
      <c r="R111" s="14">
        <f t="shared" si="4"/>
        <v>102.53807106598984</v>
      </c>
      <c r="S111" s="2">
        <v>169711.22740488642</v>
      </c>
      <c r="T111" s="2">
        <v>49053.366119814971</v>
      </c>
      <c r="U111" s="2">
        <v>98028.844119417932</v>
      </c>
      <c r="V111" s="2">
        <v>18241.831165261945</v>
      </c>
      <c r="W111" s="2">
        <v>4387.1860003915617</v>
      </c>
      <c r="X111" s="2">
        <v>5878.4139661924091</v>
      </c>
      <c r="Y111" s="2">
        <v>19987.631003383445</v>
      </c>
      <c r="Z111" s="2">
        <v>8604.5722201082299</v>
      </c>
      <c r="AA111" s="2">
        <v>2886.8084096019602</v>
      </c>
      <c r="AB111" s="2">
        <v>6672.5977231322813</v>
      </c>
      <c r="AC111" s="2"/>
      <c r="AD111" s="2"/>
      <c r="AE111" s="24"/>
    </row>
    <row r="112" spans="1:31">
      <c r="A112" s="1">
        <v>2020</v>
      </c>
      <c r="B112" s="9" t="s">
        <v>53</v>
      </c>
      <c r="C112" s="1" t="s">
        <v>153</v>
      </c>
      <c r="D112" s="10">
        <v>61.1</v>
      </c>
      <c r="E112" s="1">
        <v>6</v>
      </c>
      <c r="F112" s="10">
        <v>15.4</v>
      </c>
      <c r="G112" s="1">
        <v>28</v>
      </c>
      <c r="H112" s="10">
        <v>31</v>
      </c>
      <c r="I112" s="1">
        <v>46</v>
      </c>
      <c r="J112" s="10">
        <v>13.1</v>
      </c>
      <c r="K112" s="1">
        <v>3</v>
      </c>
      <c r="L112" s="10">
        <v>79.5</v>
      </c>
      <c r="M112" s="1">
        <v>26</v>
      </c>
      <c r="N112" s="14">
        <f t="shared" si="0"/>
        <v>95.918367346938766</v>
      </c>
      <c r="O112" s="14">
        <f t="shared" si="1"/>
        <v>72.985781990521332</v>
      </c>
      <c r="P112" s="14">
        <f t="shared" si="2"/>
        <v>98.412698412698404</v>
      </c>
      <c r="Q112" s="14">
        <f t="shared" si="3"/>
        <v>108.26446280991735</v>
      </c>
      <c r="R112" s="14">
        <f t="shared" si="4"/>
        <v>102.18508997429305</v>
      </c>
      <c r="S112" s="2">
        <v>177989.48959386049</v>
      </c>
      <c r="T112" s="2">
        <v>52104.651691366453</v>
      </c>
      <c r="U112" s="2">
        <v>103790.39226816779</v>
      </c>
      <c r="V112" s="2">
        <v>17666.289963980889</v>
      </c>
      <c r="W112" s="2">
        <v>4428.1556703453371</v>
      </c>
      <c r="X112" s="2">
        <v>6491.6818604693071</v>
      </c>
      <c r="Y112" s="2">
        <v>20663.06063599974</v>
      </c>
      <c r="Z112" s="2">
        <v>8262.5058549639507</v>
      </c>
      <c r="AA112" s="2">
        <v>3103.6664305939421</v>
      </c>
      <c r="AB112" s="2">
        <v>7232.5304959554524</v>
      </c>
      <c r="AC112" s="2"/>
      <c r="AD112" s="2"/>
      <c r="AE112" s="24"/>
    </row>
    <row r="113" spans="1:31">
      <c r="A113" s="1">
        <v>2020</v>
      </c>
      <c r="B113" s="9" t="s">
        <v>55</v>
      </c>
      <c r="C113" s="1" t="s">
        <v>154</v>
      </c>
      <c r="D113" s="10">
        <v>58.3</v>
      </c>
      <c r="E113" s="1">
        <v>11</v>
      </c>
      <c r="F113" s="10">
        <v>17</v>
      </c>
      <c r="G113" s="1">
        <v>22</v>
      </c>
      <c r="H113" s="10">
        <v>32.700000000000003</v>
      </c>
      <c r="I113" s="1">
        <v>22</v>
      </c>
      <c r="J113" s="10">
        <v>13.9</v>
      </c>
      <c r="K113" s="1">
        <v>2</v>
      </c>
      <c r="L113" s="10">
        <v>79.099999999999994</v>
      </c>
      <c r="M113" s="1">
        <v>29</v>
      </c>
      <c r="N113" s="14">
        <f t="shared" si="0"/>
        <v>95.261437908496731</v>
      </c>
      <c r="O113" s="14">
        <f t="shared" si="1"/>
        <v>86.734693877551024</v>
      </c>
      <c r="P113" s="14">
        <f t="shared" si="2"/>
        <v>97.032640949554889</v>
      </c>
      <c r="Q113" s="14">
        <f t="shared" si="3"/>
        <v>80.346820809248555</v>
      </c>
      <c r="R113" s="14">
        <f t="shared" si="4"/>
        <v>102.06451612903224</v>
      </c>
      <c r="S113" s="2">
        <v>181135.96771392273</v>
      </c>
      <c r="T113" s="2">
        <v>55832.263135659297</v>
      </c>
      <c r="U113" s="2">
        <v>102831.40961481207</v>
      </c>
      <c r="V113" s="2">
        <v>17798.99876660476</v>
      </c>
      <c r="W113" s="2">
        <v>4673.2961968465934</v>
      </c>
      <c r="X113" s="2">
        <v>6299.8261338021175</v>
      </c>
      <c r="Y113" s="2">
        <v>21740.189433063497</v>
      </c>
      <c r="Z113" s="2">
        <v>9535.5718909508487</v>
      </c>
      <c r="AA113" s="2">
        <v>3142.9746375377445</v>
      </c>
      <c r="AB113" s="2">
        <v>7190.720232955754</v>
      </c>
      <c r="AC113" s="2"/>
      <c r="AD113" s="2"/>
      <c r="AE113" s="24"/>
    </row>
    <row r="114" spans="1:31">
      <c r="A114" s="1">
        <v>2020</v>
      </c>
      <c r="B114" s="9" t="s">
        <v>57</v>
      </c>
      <c r="C114" s="1" t="s">
        <v>155</v>
      </c>
      <c r="D114" s="10">
        <v>62.9</v>
      </c>
      <c r="E114" s="1">
        <v>5</v>
      </c>
      <c r="F114" s="10">
        <v>16.2</v>
      </c>
      <c r="G114" s="1">
        <v>24</v>
      </c>
      <c r="H114" s="10">
        <v>31.6</v>
      </c>
      <c r="I114" s="1">
        <v>42</v>
      </c>
      <c r="J114" s="10">
        <v>10.6</v>
      </c>
      <c r="K114" s="1">
        <v>13</v>
      </c>
      <c r="L114" s="10">
        <v>78.900000000000006</v>
      </c>
      <c r="M114" s="1">
        <v>31</v>
      </c>
      <c r="N114" s="14">
        <f t="shared" ref="N114:N177" si="5">D114/D67*100</f>
        <v>96.620583717357917</v>
      </c>
      <c r="O114" s="14">
        <f t="shared" ref="O114:O177" si="6">F114/F67*100</f>
        <v>85.714285714285722</v>
      </c>
      <c r="P114" s="14">
        <f t="shared" ref="P114:P177" si="7">H114/H67*100</f>
        <v>99.684542586750794</v>
      </c>
      <c r="Q114" s="14">
        <f t="shared" ref="Q114:Q177" si="8">J114/J67*100</f>
        <v>115.21739130434783</v>
      </c>
      <c r="R114" s="14">
        <f t="shared" ref="R114:R177" si="9">L114/L67*100</f>
        <v>105.48128342245991</v>
      </c>
      <c r="S114" s="2">
        <v>177920.46185129209</v>
      </c>
      <c r="T114" s="2">
        <v>47521.60040854886</v>
      </c>
      <c r="U114" s="2">
        <v>106158.62660983748</v>
      </c>
      <c r="V114" s="2">
        <v>19854.154072540456</v>
      </c>
      <c r="W114" s="2">
        <v>4386.080760365292</v>
      </c>
      <c r="X114" s="2">
        <v>5344.8618564557528</v>
      </c>
      <c r="Y114" s="2">
        <v>21354.006949937302</v>
      </c>
      <c r="Z114" s="2">
        <v>9415.2402370610052</v>
      </c>
      <c r="AA114" s="2">
        <v>3029.6299838535006</v>
      </c>
      <c r="AB114" s="2">
        <v>7026.3378824099236</v>
      </c>
      <c r="AC114" s="2"/>
      <c r="AD114" s="2"/>
      <c r="AE114" s="24"/>
    </row>
    <row r="115" spans="1:31">
      <c r="A115" s="1">
        <v>2020</v>
      </c>
      <c r="B115" s="9" t="s">
        <v>59</v>
      </c>
      <c r="C115" s="1" t="s">
        <v>156</v>
      </c>
      <c r="D115" s="10">
        <v>58.8</v>
      </c>
      <c r="E115" s="1">
        <v>9</v>
      </c>
      <c r="F115" s="10">
        <v>18.7</v>
      </c>
      <c r="G115" s="1">
        <v>17</v>
      </c>
      <c r="H115" s="10">
        <v>32.299999999999997</v>
      </c>
      <c r="I115" s="1">
        <v>29</v>
      </c>
      <c r="J115" s="10">
        <v>9.9</v>
      </c>
      <c r="K115" s="1">
        <v>21</v>
      </c>
      <c r="L115" s="10">
        <v>81.2</v>
      </c>
      <c r="M115" s="1">
        <v>16</v>
      </c>
      <c r="N115" s="14">
        <f t="shared" si="5"/>
        <v>100.17035775127768</v>
      </c>
      <c r="O115" s="14">
        <f t="shared" si="6"/>
        <v>83.111111111111114</v>
      </c>
      <c r="P115" s="14">
        <f t="shared" si="7"/>
        <v>97.583081570996967</v>
      </c>
      <c r="Q115" s="14">
        <f t="shared" si="8"/>
        <v>100</v>
      </c>
      <c r="R115" s="14">
        <f t="shared" si="9"/>
        <v>102.65486725663717</v>
      </c>
      <c r="S115" s="2">
        <v>170560.87995150845</v>
      </c>
      <c r="T115" s="2">
        <v>48570.126532798778</v>
      </c>
      <c r="U115" s="2">
        <v>99189.917224562043</v>
      </c>
      <c r="V115" s="2">
        <v>18576.480970459477</v>
      </c>
      <c r="W115" s="2">
        <v>4224.3552236881587</v>
      </c>
      <c r="X115" s="2">
        <v>5802.8286029948631</v>
      </c>
      <c r="Y115" s="2">
        <v>19456.047192126309</v>
      </c>
      <c r="Z115" s="2">
        <v>8278.8315312747163</v>
      </c>
      <c r="AA115" s="2">
        <v>3200.5256335500781</v>
      </c>
      <c r="AB115" s="2">
        <v>6133.9147818056072</v>
      </c>
      <c r="AC115" s="2"/>
      <c r="AD115" s="2"/>
      <c r="AE115" s="24"/>
    </row>
    <row r="116" spans="1:31">
      <c r="A116" s="1">
        <v>2020</v>
      </c>
      <c r="B116" s="9" t="s">
        <v>61</v>
      </c>
      <c r="C116" s="1" t="s">
        <v>157</v>
      </c>
      <c r="D116" s="10">
        <v>56.6</v>
      </c>
      <c r="E116" s="1">
        <v>16</v>
      </c>
      <c r="F116" s="10">
        <v>21.8</v>
      </c>
      <c r="G116" s="1">
        <v>13</v>
      </c>
      <c r="H116" s="10">
        <v>33.200000000000003</v>
      </c>
      <c r="I116" s="1">
        <v>11</v>
      </c>
      <c r="J116" s="10">
        <v>8.9</v>
      </c>
      <c r="K116" s="1">
        <v>37</v>
      </c>
      <c r="L116" s="10">
        <v>77.900000000000006</v>
      </c>
      <c r="M116" s="1">
        <v>38</v>
      </c>
      <c r="N116" s="14">
        <f t="shared" si="5"/>
        <v>99.298245614035082</v>
      </c>
      <c r="O116" s="14">
        <f t="shared" si="6"/>
        <v>79.56204379562044</v>
      </c>
      <c r="P116" s="14">
        <f t="shared" si="7"/>
        <v>98.80952380952381</v>
      </c>
      <c r="Q116" s="14">
        <f t="shared" si="8"/>
        <v>92.708333333333343</v>
      </c>
      <c r="R116" s="14">
        <f t="shared" si="9"/>
        <v>103.17880794701988</v>
      </c>
      <c r="S116" s="2">
        <v>175296.53302120644</v>
      </c>
      <c r="T116" s="2">
        <v>45834.353308520025</v>
      </c>
      <c r="U116" s="2">
        <v>103167.96744384714</v>
      </c>
      <c r="V116" s="2">
        <v>21595.613098704751</v>
      </c>
      <c r="W116" s="2">
        <v>4698.599170134532</v>
      </c>
      <c r="X116" s="2">
        <v>5345.701218212972</v>
      </c>
      <c r="Y116" s="2">
        <v>20931.481320679362</v>
      </c>
      <c r="Z116" s="2">
        <v>9237.1171167230859</v>
      </c>
      <c r="AA116" s="2">
        <v>3247.9313309365712</v>
      </c>
      <c r="AB116" s="2">
        <v>6618.4995164080692</v>
      </c>
      <c r="AC116" s="2"/>
      <c r="AD116" s="2"/>
      <c r="AE116" s="24"/>
    </row>
    <row r="117" spans="1:31">
      <c r="A117" s="1">
        <v>2020</v>
      </c>
      <c r="B117" s="9" t="s">
        <v>63</v>
      </c>
      <c r="C117" s="1" t="s">
        <v>158</v>
      </c>
      <c r="D117" s="10">
        <v>54.6</v>
      </c>
      <c r="E117" s="1">
        <v>24</v>
      </c>
      <c r="F117" s="10">
        <v>15.6</v>
      </c>
      <c r="G117" s="1">
        <v>27</v>
      </c>
      <c r="H117" s="10">
        <v>33.5</v>
      </c>
      <c r="I117" s="1">
        <v>7</v>
      </c>
      <c r="J117" s="10">
        <v>10.5</v>
      </c>
      <c r="K117" s="1">
        <v>15</v>
      </c>
      <c r="L117" s="10">
        <v>80.400000000000006</v>
      </c>
      <c r="M117" s="1">
        <v>21</v>
      </c>
      <c r="N117" s="14">
        <f t="shared" si="5"/>
        <v>99.092558983666052</v>
      </c>
      <c r="O117" s="14">
        <f t="shared" si="6"/>
        <v>106.12244897959184</v>
      </c>
      <c r="P117" s="14">
        <f t="shared" si="7"/>
        <v>99.406528189910972</v>
      </c>
      <c r="Q117" s="14">
        <f t="shared" si="8"/>
        <v>101.94174757281553</v>
      </c>
      <c r="R117" s="14">
        <f t="shared" si="9"/>
        <v>102.81329923273657</v>
      </c>
      <c r="S117" s="2">
        <v>173048.36501810016</v>
      </c>
      <c r="T117" s="2">
        <v>44638.675023824391</v>
      </c>
      <c r="U117" s="2">
        <v>105875.61558829511</v>
      </c>
      <c r="V117" s="2">
        <v>18872.825783269538</v>
      </c>
      <c r="W117" s="2">
        <v>3661.2486227111317</v>
      </c>
      <c r="X117" s="2">
        <v>5676.5564735199778</v>
      </c>
      <c r="Y117" s="2">
        <v>20685.418269531507</v>
      </c>
      <c r="Z117" s="2">
        <v>8701.5121683794459</v>
      </c>
      <c r="AA117" s="2">
        <v>3357.3018205703693</v>
      </c>
      <c r="AB117" s="2">
        <v>6755.0479133821764</v>
      </c>
      <c r="AC117" s="2"/>
      <c r="AD117" s="2"/>
      <c r="AE117" s="24"/>
    </row>
    <row r="118" spans="1:31">
      <c r="A118" s="1">
        <v>2020</v>
      </c>
      <c r="B118" s="9" t="s">
        <v>65</v>
      </c>
      <c r="C118" s="1" t="s">
        <v>159</v>
      </c>
      <c r="D118" s="10">
        <v>49.7</v>
      </c>
      <c r="E118" s="1">
        <v>38</v>
      </c>
      <c r="F118" s="10">
        <v>11.2</v>
      </c>
      <c r="G118" s="1">
        <v>42</v>
      </c>
      <c r="H118" s="10">
        <v>31.8</v>
      </c>
      <c r="I118" s="1">
        <v>33</v>
      </c>
      <c r="J118" s="10">
        <v>9.8000000000000007</v>
      </c>
      <c r="K118" s="1">
        <v>22</v>
      </c>
      <c r="L118" s="10">
        <v>78.3</v>
      </c>
      <c r="M118" s="1">
        <v>35</v>
      </c>
      <c r="N118" s="14">
        <f t="shared" si="5"/>
        <v>98.807157057654081</v>
      </c>
      <c r="O118" s="14">
        <f t="shared" si="6"/>
        <v>94.915254237288124</v>
      </c>
      <c r="P118" s="14">
        <f t="shared" si="7"/>
        <v>95.495495495495504</v>
      </c>
      <c r="Q118" s="14">
        <f t="shared" si="8"/>
        <v>96.078431372549034</v>
      </c>
      <c r="R118" s="14">
        <f t="shared" si="9"/>
        <v>102.75590551181102</v>
      </c>
      <c r="S118" s="2">
        <v>170836.11075319292</v>
      </c>
      <c r="T118" s="2">
        <v>42426.606560380867</v>
      </c>
      <c r="U118" s="2">
        <v>102212.74761122701</v>
      </c>
      <c r="V118" s="2">
        <v>21959.493313286846</v>
      </c>
      <c r="W118" s="2">
        <v>4237.2632682982203</v>
      </c>
      <c r="X118" s="2">
        <v>5425.7899320942815</v>
      </c>
      <c r="Y118" s="2">
        <v>19366.817675651193</v>
      </c>
      <c r="Z118" s="2">
        <v>8099.4221244625305</v>
      </c>
      <c r="AA118" s="2">
        <v>3050.1022823117</v>
      </c>
      <c r="AB118" s="2">
        <v>6462.4791565665419</v>
      </c>
      <c r="AC118" s="2"/>
      <c r="AD118" s="2"/>
      <c r="AE118" s="24"/>
    </row>
    <row r="119" spans="1:31">
      <c r="A119" s="1">
        <v>2020</v>
      </c>
      <c r="B119" s="9" t="s">
        <v>67</v>
      </c>
      <c r="C119" s="1" t="s">
        <v>160</v>
      </c>
      <c r="D119" s="10">
        <v>57.7</v>
      </c>
      <c r="E119" s="1">
        <v>13</v>
      </c>
      <c r="F119" s="10">
        <v>14.4</v>
      </c>
      <c r="G119" s="1">
        <v>32</v>
      </c>
      <c r="H119" s="10">
        <v>32.4</v>
      </c>
      <c r="I119" s="1">
        <v>26</v>
      </c>
      <c r="J119" s="10">
        <v>9.6</v>
      </c>
      <c r="K119" s="1">
        <v>24</v>
      </c>
      <c r="L119" s="10">
        <v>78.3</v>
      </c>
      <c r="M119" s="1">
        <v>36</v>
      </c>
      <c r="N119" s="14">
        <f t="shared" si="5"/>
        <v>99.311531841652325</v>
      </c>
      <c r="O119" s="14">
        <f t="shared" si="6"/>
        <v>94.736842105263165</v>
      </c>
      <c r="P119" s="14">
        <f t="shared" si="7"/>
        <v>98.780487804878049</v>
      </c>
      <c r="Q119" s="14">
        <f t="shared" si="8"/>
        <v>75.590551181102356</v>
      </c>
      <c r="R119" s="14">
        <f t="shared" si="9"/>
        <v>102.48691099476439</v>
      </c>
      <c r="S119" s="2">
        <v>174292.31664723856</v>
      </c>
      <c r="T119" s="2">
        <v>46323.364260856601</v>
      </c>
      <c r="U119" s="2">
        <v>104045.87874172915</v>
      </c>
      <c r="V119" s="2">
        <v>19960.592863577152</v>
      </c>
      <c r="W119" s="2">
        <v>3962.4807810756629</v>
      </c>
      <c r="X119" s="2">
        <v>5816.3040237967161</v>
      </c>
      <c r="Y119" s="2">
        <v>21043.827109787642</v>
      </c>
      <c r="Z119" s="2">
        <v>8740.7435191533805</v>
      </c>
      <c r="AA119" s="2">
        <v>3299.7825050062534</v>
      </c>
      <c r="AB119" s="2">
        <v>7150.4557342181533</v>
      </c>
      <c r="AC119" s="2"/>
      <c r="AD119" s="2"/>
      <c r="AE119" s="24"/>
    </row>
    <row r="120" spans="1:31">
      <c r="A120" s="1">
        <v>2020</v>
      </c>
      <c r="B120" s="9" t="s">
        <v>69</v>
      </c>
      <c r="C120" s="1" t="s">
        <v>161</v>
      </c>
      <c r="D120" s="10">
        <v>57</v>
      </c>
      <c r="E120" s="1">
        <v>14</v>
      </c>
      <c r="F120" s="10">
        <v>19.8</v>
      </c>
      <c r="G120" s="1">
        <v>16</v>
      </c>
      <c r="H120" s="10">
        <v>33.9</v>
      </c>
      <c r="I120" s="1">
        <v>5</v>
      </c>
      <c r="J120" s="10">
        <v>10.9</v>
      </c>
      <c r="K120" s="1">
        <v>11</v>
      </c>
      <c r="L120" s="10">
        <v>80.3</v>
      </c>
      <c r="M120" s="1">
        <v>22</v>
      </c>
      <c r="N120" s="14">
        <f t="shared" si="5"/>
        <v>98.615916955017298</v>
      </c>
      <c r="O120" s="14">
        <f t="shared" si="6"/>
        <v>84.255319148936167</v>
      </c>
      <c r="P120" s="14">
        <f t="shared" si="7"/>
        <v>95.492957746478865</v>
      </c>
      <c r="Q120" s="14">
        <f t="shared" si="8"/>
        <v>101.86915887850468</v>
      </c>
      <c r="R120" s="14">
        <f t="shared" si="9"/>
        <v>102.55427841634739</v>
      </c>
      <c r="S120" s="2">
        <v>171105.42465278597</v>
      </c>
      <c r="T120" s="2">
        <v>48060.511264948094</v>
      </c>
      <c r="U120" s="2">
        <v>99821.390067993503</v>
      </c>
      <c r="V120" s="2">
        <v>18701.745045756008</v>
      </c>
      <c r="W120" s="2">
        <v>4521.7782740883822</v>
      </c>
      <c r="X120" s="2">
        <v>5997.8879019312981</v>
      </c>
      <c r="Y120" s="2">
        <v>19687.042673048505</v>
      </c>
      <c r="Z120" s="2">
        <v>8555.5667878403474</v>
      </c>
      <c r="AA120" s="2">
        <v>2917.2895325327372</v>
      </c>
      <c r="AB120" s="2">
        <v>6405.8665256334289</v>
      </c>
      <c r="AC120" s="2"/>
      <c r="AD120" s="2"/>
      <c r="AE120" s="24"/>
    </row>
    <row r="121" spans="1:31">
      <c r="A121" s="1">
        <v>2020</v>
      </c>
      <c r="B121" s="9" t="s">
        <v>71</v>
      </c>
      <c r="C121" s="1" t="s">
        <v>162</v>
      </c>
      <c r="D121" s="10">
        <v>55.9</v>
      </c>
      <c r="E121" s="1">
        <v>18</v>
      </c>
      <c r="F121" s="10">
        <v>11.3</v>
      </c>
      <c r="G121" s="1">
        <v>41</v>
      </c>
      <c r="H121" s="10">
        <v>33.700000000000003</v>
      </c>
      <c r="I121" s="1">
        <v>6</v>
      </c>
      <c r="J121" s="10">
        <v>8.9</v>
      </c>
      <c r="K121" s="1">
        <v>39</v>
      </c>
      <c r="L121" s="10">
        <v>76.099999999999994</v>
      </c>
      <c r="M121" s="1">
        <v>43</v>
      </c>
      <c r="N121" s="14">
        <f t="shared" si="5"/>
        <v>100.53956834532374</v>
      </c>
      <c r="O121" s="14">
        <f t="shared" si="6"/>
        <v>72.435897435897445</v>
      </c>
      <c r="P121" s="14">
        <f t="shared" si="7"/>
        <v>98.250728862973773</v>
      </c>
      <c r="Q121" s="14">
        <f t="shared" si="8"/>
        <v>83.177570093457959</v>
      </c>
      <c r="R121" s="14">
        <f t="shared" si="9"/>
        <v>102.83783783783782</v>
      </c>
      <c r="S121" s="2">
        <v>176860.22962917085</v>
      </c>
      <c r="T121" s="2">
        <v>47953.696514170064</v>
      </c>
      <c r="U121" s="2">
        <v>102719.02028864261</v>
      </c>
      <c r="V121" s="2">
        <v>20369.944520071571</v>
      </c>
      <c r="W121" s="2">
        <v>5817.5683062865892</v>
      </c>
      <c r="X121" s="2">
        <v>5704.9759930087839</v>
      </c>
      <c r="Y121" s="2">
        <v>17440.623550597305</v>
      </c>
      <c r="Z121" s="2">
        <v>7204.5949659612324</v>
      </c>
      <c r="AA121" s="2">
        <v>2915.379991283482</v>
      </c>
      <c r="AB121" s="2">
        <v>5406.831661985766</v>
      </c>
      <c r="AC121" s="2"/>
      <c r="AD121" s="2"/>
      <c r="AE121" s="24"/>
    </row>
    <row r="122" spans="1:31">
      <c r="A122" s="1">
        <v>2020</v>
      </c>
      <c r="B122" s="9" t="s">
        <v>73</v>
      </c>
      <c r="C122" s="1" t="s">
        <v>163</v>
      </c>
      <c r="D122" s="10">
        <v>42.8</v>
      </c>
      <c r="E122" s="1">
        <v>45</v>
      </c>
      <c r="F122" s="10">
        <v>11.7</v>
      </c>
      <c r="G122" s="1">
        <v>39</v>
      </c>
      <c r="H122" s="10">
        <v>32.9</v>
      </c>
      <c r="I122" s="1">
        <v>18</v>
      </c>
      <c r="J122" s="10">
        <v>10.199999999999999</v>
      </c>
      <c r="K122" s="1">
        <v>19</v>
      </c>
      <c r="L122" s="10">
        <v>76.400000000000006</v>
      </c>
      <c r="M122" s="1">
        <v>41</v>
      </c>
      <c r="N122" s="14">
        <f t="shared" si="5"/>
        <v>94.69026548672565</v>
      </c>
      <c r="O122" s="14">
        <f t="shared" si="6"/>
        <v>93.6</v>
      </c>
      <c r="P122" s="14">
        <f t="shared" si="7"/>
        <v>98.208955223880594</v>
      </c>
      <c r="Q122" s="14">
        <f t="shared" si="8"/>
        <v>93.577981651376135</v>
      </c>
      <c r="R122" s="14">
        <f t="shared" si="9"/>
        <v>102.82637954239571</v>
      </c>
      <c r="S122" s="2">
        <v>182938.22487882388</v>
      </c>
      <c r="T122" s="2">
        <v>48217.717955893262</v>
      </c>
      <c r="U122" s="2">
        <v>103821.40675009541</v>
      </c>
      <c r="V122" s="2">
        <v>23308.634719282723</v>
      </c>
      <c r="W122" s="2">
        <v>7590.4654535524614</v>
      </c>
      <c r="X122" s="2">
        <v>5943.8607346147128</v>
      </c>
      <c r="Y122" s="2">
        <v>18718.195583777902</v>
      </c>
      <c r="Z122" s="2">
        <v>8114.3007226433374</v>
      </c>
      <c r="AA122" s="2">
        <v>2907.6407852141892</v>
      </c>
      <c r="AB122" s="2">
        <v>6012.319538624748</v>
      </c>
      <c r="AC122" s="2"/>
      <c r="AD122" s="2"/>
      <c r="AE122" s="24"/>
    </row>
    <row r="123" spans="1:31">
      <c r="A123" s="1">
        <v>2020</v>
      </c>
      <c r="B123" s="9" t="s">
        <v>75</v>
      </c>
      <c r="C123" s="1" t="s">
        <v>164</v>
      </c>
      <c r="D123" s="10">
        <v>49.1</v>
      </c>
      <c r="E123" s="1">
        <v>41</v>
      </c>
      <c r="F123" s="10">
        <v>11.5</v>
      </c>
      <c r="G123" s="1">
        <v>40</v>
      </c>
      <c r="H123" s="10">
        <v>32.6</v>
      </c>
      <c r="I123" s="1">
        <v>24</v>
      </c>
      <c r="J123" s="10">
        <v>10.6</v>
      </c>
      <c r="K123" s="1">
        <v>14</v>
      </c>
      <c r="L123" s="10">
        <v>78.900000000000006</v>
      </c>
      <c r="M123" s="1">
        <v>32</v>
      </c>
      <c r="N123" s="14">
        <f t="shared" si="5"/>
        <v>96.463654223968575</v>
      </c>
      <c r="O123" s="14">
        <f t="shared" si="6"/>
        <v>80.419580419580413</v>
      </c>
      <c r="P123" s="14">
        <f t="shared" si="7"/>
        <v>98.192771084337352</v>
      </c>
      <c r="Q123" s="14">
        <f t="shared" si="8"/>
        <v>97.247706422018339</v>
      </c>
      <c r="R123" s="14">
        <f t="shared" si="9"/>
        <v>102.60078023407021</v>
      </c>
      <c r="S123" s="2">
        <v>184056.00019816781</v>
      </c>
      <c r="T123" s="2">
        <v>49006.376457590675</v>
      </c>
      <c r="U123" s="2">
        <v>107666.82253030463</v>
      </c>
      <c r="V123" s="2">
        <v>22249.465994460854</v>
      </c>
      <c r="W123" s="2">
        <v>5133.3352158116404</v>
      </c>
      <c r="X123" s="2">
        <v>5908.8768037666596</v>
      </c>
      <c r="Y123" s="2">
        <v>20049.448905795085</v>
      </c>
      <c r="Z123" s="2">
        <v>8388.7879643317465</v>
      </c>
      <c r="AA123" s="2">
        <v>3163.6597154969822</v>
      </c>
      <c r="AB123" s="2">
        <v>6730.2931631110296</v>
      </c>
      <c r="AC123" s="2"/>
      <c r="AD123" s="2"/>
      <c r="AE123" s="24"/>
    </row>
    <row r="124" spans="1:31">
      <c r="A124" s="1">
        <v>2020</v>
      </c>
      <c r="B124" s="9" t="s">
        <v>77</v>
      </c>
      <c r="C124" s="1" t="s">
        <v>165</v>
      </c>
      <c r="D124" s="10">
        <v>50.1</v>
      </c>
      <c r="E124" s="1">
        <v>35</v>
      </c>
      <c r="F124" s="10">
        <v>17.8</v>
      </c>
      <c r="G124" s="1">
        <v>19</v>
      </c>
      <c r="H124" s="10">
        <v>35.1</v>
      </c>
      <c r="I124" s="1">
        <v>1</v>
      </c>
      <c r="J124" s="10">
        <v>11.2</v>
      </c>
      <c r="K124" s="1">
        <v>9</v>
      </c>
      <c r="L124" s="10">
        <v>74</v>
      </c>
      <c r="M124" s="1">
        <v>46</v>
      </c>
      <c r="N124" s="14">
        <f t="shared" si="5"/>
        <v>101.00806451612902</v>
      </c>
      <c r="O124" s="14">
        <f t="shared" si="6"/>
        <v>75.744680851063833</v>
      </c>
      <c r="P124" s="14">
        <f t="shared" si="7"/>
        <v>99.152542372881371</v>
      </c>
      <c r="Q124" s="14">
        <f t="shared" si="8"/>
        <v>103.7037037037037</v>
      </c>
      <c r="R124" s="14">
        <f t="shared" si="9"/>
        <v>103.20781032078104</v>
      </c>
      <c r="S124" s="2">
        <v>181182.18992287203</v>
      </c>
      <c r="T124" s="2">
        <v>49805.508425370019</v>
      </c>
      <c r="U124" s="2">
        <v>105986.83220352208</v>
      </c>
      <c r="V124" s="2">
        <v>19835.874147427432</v>
      </c>
      <c r="W124" s="2">
        <v>5553.9751465525287</v>
      </c>
      <c r="X124" s="2">
        <v>6114.2488671203419</v>
      </c>
      <c r="Y124" s="2">
        <v>20768.258296819498</v>
      </c>
      <c r="Z124" s="2">
        <v>8560.4421422220748</v>
      </c>
      <c r="AA124" s="2">
        <v>3477.8985704048746</v>
      </c>
      <c r="AB124" s="2">
        <v>6715.6400390659728</v>
      </c>
      <c r="AC124" s="2"/>
      <c r="AD124" s="2"/>
      <c r="AE124" s="24"/>
    </row>
    <row r="125" spans="1:31">
      <c r="A125" s="1">
        <v>2020</v>
      </c>
      <c r="B125" s="9" t="s">
        <v>79</v>
      </c>
      <c r="C125" s="1" t="s">
        <v>166</v>
      </c>
      <c r="D125" s="10">
        <v>49.8</v>
      </c>
      <c r="E125" s="1">
        <v>37</v>
      </c>
      <c r="F125" s="10">
        <v>13.7</v>
      </c>
      <c r="G125" s="1">
        <v>36</v>
      </c>
      <c r="H125" s="10">
        <v>34.799999999999997</v>
      </c>
      <c r="I125" s="1">
        <v>2</v>
      </c>
      <c r="J125" s="10">
        <v>11.4</v>
      </c>
      <c r="K125" s="1">
        <v>7</v>
      </c>
      <c r="L125" s="10">
        <v>74.8</v>
      </c>
      <c r="M125" s="1">
        <v>45</v>
      </c>
      <c r="N125" s="14">
        <f t="shared" si="5"/>
        <v>100.8097165991903</v>
      </c>
      <c r="O125" s="14">
        <f t="shared" si="6"/>
        <v>69.897959183673464</v>
      </c>
      <c r="P125" s="14">
        <f t="shared" si="7"/>
        <v>102.35294117647058</v>
      </c>
      <c r="Q125" s="14">
        <f t="shared" si="8"/>
        <v>91.2</v>
      </c>
      <c r="R125" s="14">
        <f t="shared" si="9"/>
        <v>102.888583218707</v>
      </c>
      <c r="S125" s="2">
        <v>185646.29576305259</v>
      </c>
      <c r="T125" s="2">
        <v>49755.416612936533</v>
      </c>
      <c r="U125" s="2">
        <v>108723.72994180289</v>
      </c>
      <c r="V125" s="2">
        <v>20765.069056920231</v>
      </c>
      <c r="W125" s="2">
        <v>6402.0801513929391</v>
      </c>
      <c r="X125" s="2">
        <v>5860.2139934343886</v>
      </c>
      <c r="Y125" s="2">
        <v>21209.998776554276</v>
      </c>
      <c r="Z125" s="2">
        <v>9587.2318031833511</v>
      </c>
      <c r="AA125" s="2">
        <v>2924.712021138067</v>
      </c>
      <c r="AB125" s="2">
        <v>6778.529990349648</v>
      </c>
      <c r="AC125" s="2"/>
      <c r="AD125" s="2"/>
      <c r="AE125" s="24"/>
    </row>
    <row r="126" spans="1:31">
      <c r="A126" s="1">
        <v>2020</v>
      </c>
      <c r="B126" s="9" t="s">
        <v>81</v>
      </c>
      <c r="C126" s="1" t="s">
        <v>167</v>
      </c>
      <c r="D126" s="10">
        <v>50</v>
      </c>
      <c r="E126" s="1">
        <v>36</v>
      </c>
      <c r="F126" s="10">
        <v>15.8</v>
      </c>
      <c r="G126" s="1">
        <v>26</v>
      </c>
      <c r="H126" s="10">
        <v>32.6</v>
      </c>
      <c r="I126" s="1">
        <v>23</v>
      </c>
      <c r="J126" s="10">
        <v>9.4</v>
      </c>
      <c r="K126" s="1">
        <v>27</v>
      </c>
      <c r="L126" s="10">
        <v>81.2</v>
      </c>
      <c r="M126" s="1">
        <v>17</v>
      </c>
      <c r="N126" s="14">
        <f t="shared" si="5"/>
        <v>94.161958568738228</v>
      </c>
      <c r="O126" s="14">
        <f t="shared" si="6"/>
        <v>98.136645962732914</v>
      </c>
      <c r="P126" s="14">
        <f t="shared" si="7"/>
        <v>99.390243902439039</v>
      </c>
      <c r="Q126" s="14">
        <f t="shared" si="8"/>
        <v>90.384615384615387</v>
      </c>
      <c r="R126" s="14">
        <f t="shared" si="9"/>
        <v>102.65486725663717</v>
      </c>
      <c r="S126" s="2">
        <v>182258.88927513617</v>
      </c>
      <c r="T126" s="2">
        <v>56601.133094901277</v>
      </c>
      <c r="U126" s="2">
        <v>102979.34249402971</v>
      </c>
      <c r="V126" s="2">
        <v>19384.814867872068</v>
      </c>
      <c r="W126" s="2">
        <v>3293.5988183331137</v>
      </c>
      <c r="X126" s="2">
        <v>5933.8384576690851</v>
      </c>
      <c r="Y126" s="2">
        <v>19421.257127973549</v>
      </c>
      <c r="Z126" s="2">
        <v>8683.9657164112778</v>
      </c>
      <c r="AA126" s="2">
        <v>3120.7409659265709</v>
      </c>
      <c r="AB126" s="2">
        <v>5923.569673981875</v>
      </c>
      <c r="AC126" s="2"/>
      <c r="AD126" s="2"/>
      <c r="AE126" s="24"/>
    </row>
    <row r="127" spans="1:31">
      <c r="A127" s="1">
        <v>2020</v>
      </c>
      <c r="B127" s="9" t="s">
        <v>83</v>
      </c>
      <c r="C127" s="1" t="s">
        <v>168</v>
      </c>
      <c r="D127" s="10">
        <v>64.8</v>
      </c>
      <c r="E127" s="1">
        <v>4</v>
      </c>
      <c r="F127" s="10">
        <v>23.2</v>
      </c>
      <c r="G127" s="1">
        <v>10</v>
      </c>
      <c r="H127" s="10">
        <v>32.799999999999997</v>
      </c>
      <c r="I127" s="1">
        <v>20</v>
      </c>
      <c r="J127" s="10">
        <v>8.6</v>
      </c>
      <c r="K127" s="1">
        <v>43</v>
      </c>
      <c r="L127" s="10">
        <v>82.7</v>
      </c>
      <c r="M127" s="1">
        <v>6</v>
      </c>
      <c r="N127" s="14">
        <f t="shared" si="5"/>
        <v>99.234303215926488</v>
      </c>
      <c r="O127" s="14">
        <f t="shared" si="6"/>
        <v>89.922480620155028</v>
      </c>
      <c r="P127" s="14">
        <f t="shared" si="7"/>
        <v>95.906432748537995</v>
      </c>
      <c r="Q127" s="14">
        <f t="shared" si="8"/>
        <v>76.785714285714292</v>
      </c>
      <c r="R127" s="14">
        <f t="shared" si="9"/>
        <v>102.60545905707197</v>
      </c>
      <c r="S127" s="2">
        <v>193728.08019212785</v>
      </c>
      <c r="T127" s="2">
        <v>59008.712283905312</v>
      </c>
      <c r="U127" s="2">
        <v>112417.79988034496</v>
      </c>
      <c r="V127" s="2">
        <v>18930.400925766397</v>
      </c>
      <c r="W127" s="2">
        <v>3371.1671021111915</v>
      </c>
      <c r="X127" s="2">
        <v>5921.5607113641081</v>
      </c>
      <c r="Y127" s="2">
        <v>22650.060304509854</v>
      </c>
      <c r="Z127" s="2">
        <v>10305.190915306755</v>
      </c>
      <c r="AA127" s="2">
        <v>4066.3052288707781</v>
      </c>
      <c r="AB127" s="2">
        <v>6424.7772195534217</v>
      </c>
      <c r="AC127" s="2"/>
      <c r="AD127" s="2"/>
      <c r="AE127" s="24"/>
    </row>
    <row r="128" spans="1:31">
      <c r="A128" s="1">
        <v>2020</v>
      </c>
      <c r="B128" s="9" t="s">
        <v>85</v>
      </c>
      <c r="C128" s="1" t="s">
        <v>169</v>
      </c>
      <c r="D128" s="10">
        <v>56</v>
      </c>
      <c r="E128" s="1">
        <v>17</v>
      </c>
      <c r="F128" s="10">
        <v>28.8</v>
      </c>
      <c r="G128" s="1">
        <v>3</v>
      </c>
      <c r="H128" s="10">
        <v>31.6</v>
      </c>
      <c r="I128" s="1">
        <v>40</v>
      </c>
      <c r="J128" s="10">
        <v>8</v>
      </c>
      <c r="K128" s="1">
        <v>47</v>
      </c>
      <c r="L128" s="10">
        <v>78.2</v>
      </c>
      <c r="M128" s="1">
        <v>37</v>
      </c>
      <c r="N128" s="14">
        <f t="shared" si="5"/>
        <v>98.591549295774655</v>
      </c>
      <c r="O128" s="14">
        <f t="shared" si="6"/>
        <v>91.139240506329116</v>
      </c>
      <c r="P128" s="14">
        <f t="shared" si="7"/>
        <v>97.530864197530875</v>
      </c>
      <c r="Q128" s="14">
        <f t="shared" si="8"/>
        <v>68.376068376068375</v>
      </c>
      <c r="R128" s="14">
        <f t="shared" si="9"/>
        <v>102.6246719160105</v>
      </c>
      <c r="S128" s="2">
        <v>184030.72480536797</v>
      </c>
      <c r="T128" s="2">
        <v>50894.708669496322</v>
      </c>
      <c r="U128" s="2">
        <v>106829.89420934257</v>
      </c>
      <c r="V128" s="2">
        <v>22500.335382864556</v>
      </c>
      <c r="W128" s="2">
        <v>3805.7865436645116</v>
      </c>
      <c r="X128" s="2">
        <v>5480.7661508614456</v>
      </c>
      <c r="Y128" s="2">
        <v>20640.480997160445</v>
      </c>
      <c r="Z128" s="2">
        <v>8842.2469009165907</v>
      </c>
      <c r="AA128" s="2">
        <v>3368.8425594964428</v>
      </c>
      <c r="AB128" s="2">
        <v>6829.3747489364596</v>
      </c>
      <c r="AC128" s="2"/>
      <c r="AD128" s="2"/>
      <c r="AE128" s="24"/>
    </row>
    <row r="129" spans="1:31">
      <c r="A129" s="1">
        <v>2020</v>
      </c>
      <c r="B129" s="9" t="s">
        <v>87</v>
      </c>
      <c r="C129" s="1" t="s">
        <v>170</v>
      </c>
      <c r="D129" s="10">
        <v>53.3</v>
      </c>
      <c r="E129" s="1">
        <v>28</v>
      </c>
      <c r="F129" s="10">
        <v>15.4</v>
      </c>
      <c r="G129" s="1">
        <v>29</v>
      </c>
      <c r="H129" s="10">
        <v>31.8</v>
      </c>
      <c r="I129" s="1">
        <v>32</v>
      </c>
      <c r="J129" s="10">
        <v>8.6</v>
      </c>
      <c r="K129" s="1">
        <v>44</v>
      </c>
      <c r="L129" s="10">
        <v>77.900000000000006</v>
      </c>
      <c r="M129" s="1">
        <v>39</v>
      </c>
      <c r="N129" s="14">
        <f t="shared" si="5"/>
        <v>97.440585009140761</v>
      </c>
      <c r="O129" s="14">
        <f t="shared" si="6"/>
        <v>78.172588832487307</v>
      </c>
      <c r="P129" s="14">
        <f t="shared" si="7"/>
        <v>96.656534954407306</v>
      </c>
      <c r="Q129" s="14">
        <f t="shared" si="8"/>
        <v>78.89908256880733</v>
      </c>
      <c r="R129" s="14">
        <f t="shared" si="9"/>
        <v>102.90620871862617</v>
      </c>
      <c r="S129" s="2">
        <v>180342.75194049408</v>
      </c>
      <c r="T129" s="2">
        <v>49001.011043388971</v>
      </c>
      <c r="U129" s="2">
        <v>106828.70794794448</v>
      </c>
      <c r="V129" s="2">
        <v>20573.282325755405</v>
      </c>
      <c r="W129" s="2">
        <v>3939.7506234052162</v>
      </c>
      <c r="X129" s="2">
        <v>5829.4535441071639</v>
      </c>
      <c r="Y129" s="2">
        <v>20117.363338581425</v>
      </c>
      <c r="Z129" s="2">
        <v>8441.3823152653185</v>
      </c>
      <c r="AA129" s="2">
        <v>3079.3336894325976</v>
      </c>
      <c r="AB129" s="2">
        <v>6789.3211096456471</v>
      </c>
      <c r="AC129" s="2"/>
      <c r="AD129" s="2"/>
      <c r="AE129" s="24"/>
    </row>
    <row r="130" spans="1:31">
      <c r="A130" s="1">
        <v>2020</v>
      </c>
      <c r="B130" s="9" t="s">
        <v>89</v>
      </c>
      <c r="C130" s="1" t="s">
        <v>171</v>
      </c>
      <c r="D130" s="10">
        <v>53.4</v>
      </c>
      <c r="E130" s="1">
        <v>27</v>
      </c>
      <c r="F130" s="10">
        <v>17</v>
      </c>
      <c r="G130" s="1">
        <v>23</v>
      </c>
      <c r="H130" s="10">
        <v>33</v>
      </c>
      <c r="I130" s="1">
        <v>17</v>
      </c>
      <c r="J130" s="10">
        <v>8.4</v>
      </c>
      <c r="K130" s="1">
        <v>45</v>
      </c>
      <c r="L130" s="10">
        <v>81</v>
      </c>
      <c r="M130" s="1">
        <v>18</v>
      </c>
      <c r="N130" s="14">
        <f t="shared" si="5"/>
        <v>104.296875</v>
      </c>
      <c r="O130" s="14">
        <f t="shared" si="6"/>
        <v>90.425531914893611</v>
      </c>
      <c r="P130" s="14">
        <f t="shared" si="7"/>
        <v>99.697885196374614</v>
      </c>
      <c r="Q130" s="14">
        <f t="shared" si="8"/>
        <v>80.769230769230774</v>
      </c>
      <c r="R130" s="14">
        <f t="shared" si="9"/>
        <v>103.58056265984655</v>
      </c>
      <c r="S130" s="2">
        <v>192505.99990229559</v>
      </c>
      <c r="T130" s="2">
        <v>55300.876936757995</v>
      </c>
      <c r="U130" s="2">
        <v>111702.03908892047</v>
      </c>
      <c r="V130" s="2">
        <v>21196.767236165128</v>
      </c>
      <c r="W130" s="2">
        <v>4306.3166404519634</v>
      </c>
      <c r="X130" s="2">
        <v>7132.0857357482282</v>
      </c>
      <c r="Y130" s="2">
        <v>22601.701627888724</v>
      </c>
      <c r="Z130" s="2">
        <v>9914.2503201547916</v>
      </c>
      <c r="AA130" s="2">
        <v>3272.3377520654703</v>
      </c>
      <c r="AB130" s="2">
        <v>7119.7547829668574</v>
      </c>
      <c r="AC130" s="2"/>
      <c r="AD130" s="2"/>
      <c r="AE130" s="24"/>
    </row>
    <row r="131" spans="1:31">
      <c r="A131" s="1">
        <v>2020</v>
      </c>
      <c r="B131" s="9" t="s">
        <v>91</v>
      </c>
      <c r="C131" s="1" t="s">
        <v>172</v>
      </c>
      <c r="D131" s="10">
        <v>55.2</v>
      </c>
      <c r="E131" s="1">
        <v>23</v>
      </c>
      <c r="F131" s="10">
        <v>20.3</v>
      </c>
      <c r="G131" s="1">
        <v>15</v>
      </c>
      <c r="H131" s="10">
        <v>34.700000000000003</v>
      </c>
      <c r="I131" s="1">
        <v>3</v>
      </c>
      <c r="J131" s="10">
        <v>10</v>
      </c>
      <c r="K131" s="1">
        <v>20</v>
      </c>
      <c r="L131" s="10">
        <v>72.099999999999994</v>
      </c>
      <c r="M131" s="1">
        <v>47</v>
      </c>
      <c r="N131" s="14">
        <f t="shared" si="5"/>
        <v>100.91407678244973</v>
      </c>
      <c r="O131" s="14">
        <f t="shared" si="6"/>
        <v>83.884297520661164</v>
      </c>
      <c r="P131" s="14">
        <f t="shared" si="7"/>
        <v>102.05882352941178</v>
      </c>
      <c r="Q131" s="14">
        <f t="shared" si="8"/>
        <v>96.153846153846146</v>
      </c>
      <c r="R131" s="14">
        <f t="shared" si="9"/>
        <v>106.02941176470588</v>
      </c>
      <c r="S131" s="2">
        <v>195294.90358463195</v>
      </c>
      <c r="T131" s="2">
        <v>55683.339250083249</v>
      </c>
      <c r="U131" s="2">
        <v>111116.83803961135</v>
      </c>
      <c r="V131" s="2">
        <v>22703.445200798138</v>
      </c>
      <c r="W131" s="2">
        <v>5791.2810941391826</v>
      </c>
      <c r="X131" s="2">
        <v>7214.3756743968297</v>
      </c>
      <c r="Y131" s="2">
        <v>23577.65116953868</v>
      </c>
      <c r="Z131" s="2">
        <v>10707.056063875871</v>
      </c>
      <c r="AA131" s="2">
        <v>2613.3105521354119</v>
      </c>
      <c r="AB131" s="2">
        <v>8345.208621388927</v>
      </c>
      <c r="AC131" s="2"/>
      <c r="AD131" s="2"/>
      <c r="AE131" s="24"/>
    </row>
    <row r="132" spans="1:31">
      <c r="A132" s="1">
        <v>2020</v>
      </c>
      <c r="B132" s="9" t="s">
        <v>93</v>
      </c>
      <c r="C132" s="1" t="s">
        <v>173</v>
      </c>
      <c r="D132" s="10">
        <v>51.3</v>
      </c>
      <c r="E132" s="1">
        <v>32</v>
      </c>
      <c r="F132" s="10">
        <v>29.1</v>
      </c>
      <c r="G132" s="1">
        <v>2</v>
      </c>
      <c r="H132" s="10">
        <v>32.5</v>
      </c>
      <c r="I132" s="1">
        <v>25</v>
      </c>
      <c r="J132" s="10">
        <v>8.8000000000000007</v>
      </c>
      <c r="K132" s="1">
        <v>41</v>
      </c>
      <c r="L132" s="10">
        <v>76.5</v>
      </c>
      <c r="M132" s="1">
        <v>40</v>
      </c>
      <c r="N132" s="14">
        <f t="shared" si="5"/>
        <v>98.08795411089865</v>
      </c>
      <c r="O132" s="14">
        <f t="shared" si="6"/>
        <v>80.609418282548475</v>
      </c>
      <c r="P132" s="14">
        <f t="shared" si="7"/>
        <v>100</v>
      </c>
      <c r="Q132" s="14">
        <f t="shared" si="8"/>
        <v>75.862068965517253</v>
      </c>
      <c r="R132" s="14">
        <f t="shared" si="9"/>
        <v>103.65853658536585</v>
      </c>
      <c r="S132" s="2">
        <v>192253.58157314124</v>
      </c>
      <c r="T132" s="2">
        <v>53521.643814236813</v>
      </c>
      <c r="U132" s="2">
        <v>111912.34583857925</v>
      </c>
      <c r="V132" s="2">
        <v>22303.094641659729</v>
      </c>
      <c r="W132" s="2">
        <v>4516.4972786654589</v>
      </c>
      <c r="X132" s="2">
        <v>6448.4630626001435</v>
      </c>
      <c r="Y132" s="2">
        <v>21125.727846504338</v>
      </c>
      <c r="Z132" s="2">
        <v>8997.1860212167412</v>
      </c>
      <c r="AA132" s="2">
        <v>2646.8322722974544</v>
      </c>
      <c r="AB132" s="2">
        <v>7484.2443995040721</v>
      </c>
      <c r="AC132" s="2"/>
      <c r="AD132" s="2"/>
      <c r="AE132" s="24"/>
    </row>
    <row r="133" spans="1:31">
      <c r="A133" s="1">
        <v>2020</v>
      </c>
      <c r="B133" s="9" t="s">
        <v>95</v>
      </c>
      <c r="C133" s="1" t="s">
        <v>174</v>
      </c>
      <c r="D133" s="10">
        <v>56.7</v>
      </c>
      <c r="E133" s="1">
        <v>15</v>
      </c>
      <c r="F133" s="10">
        <v>16.100000000000001</v>
      </c>
      <c r="G133" s="1">
        <v>25</v>
      </c>
      <c r="H133" s="10">
        <v>32.200000000000003</v>
      </c>
      <c r="I133" s="1">
        <v>30</v>
      </c>
      <c r="J133" s="10">
        <v>8.1999999999999993</v>
      </c>
      <c r="K133" s="1">
        <v>46</v>
      </c>
      <c r="L133" s="10">
        <v>76.400000000000006</v>
      </c>
      <c r="M133" s="1">
        <v>42</v>
      </c>
      <c r="N133" s="14">
        <f t="shared" si="5"/>
        <v>97.255574614065182</v>
      </c>
      <c r="O133" s="14">
        <f t="shared" si="6"/>
        <v>72.850678733031671</v>
      </c>
      <c r="P133" s="14">
        <f t="shared" si="7"/>
        <v>100</v>
      </c>
      <c r="Q133" s="14">
        <f t="shared" si="8"/>
        <v>77.35849056603773</v>
      </c>
      <c r="R133" s="14">
        <f t="shared" si="9"/>
        <v>103.10391363022944</v>
      </c>
      <c r="S133" s="2">
        <v>183392.76574427134</v>
      </c>
      <c r="T133" s="2">
        <v>52279.651454118692</v>
      </c>
      <c r="U133" s="2">
        <v>107272.78941705768</v>
      </c>
      <c r="V133" s="2">
        <v>19198.781332473238</v>
      </c>
      <c r="W133" s="2">
        <v>4641.5435406217366</v>
      </c>
      <c r="X133" s="2">
        <v>6172.3344484754889</v>
      </c>
      <c r="Y133" s="2">
        <v>20816.584561504285</v>
      </c>
      <c r="Z133" s="2">
        <v>8586.4113129562902</v>
      </c>
      <c r="AA133" s="2">
        <v>2915.2122695457892</v>
      </c>
      <c r="AB133" s="2">
        <v>6908.5406491681169</v>
      </c>
      <c r="AC133" s="2"/>
      <c r="AD133" s="2"/>
      <c r="AE133" s="24"/>
    </row>
    <row r="134" spans="1:31">
      <c r="A134" s="1">
        <v>2020</v>
      </c>
      <c r="B134" s="9" t="s">
        <v>97</v>
      </c>
      <c r="C134" s="1" t="s">
        <v>175</v>
      </c>
      <c r="D134" s="10">
        <v>60.8</v>
      </c>
      <c r="E134" s="1">
        <v>8</v>
      </c>
      <c r="F134" s="10">
        <v>14.2</v>
      </c>
      <c r="G134" s="1">
        <v>34</v>
      </c>
      <c r="H134" s="10">
        <v>29.3</v>
      </c>
      <c r="I134" s="1">
        <v>47</v>
      </c>
      <c r="J134" s="10">
        <v>9.1999999999999993</v>
      </c>
      <c r="K134" s="1">
        <v>30</v>
      </c>
      <c r="L134" s="10">
        <v>74.900000000000006</v>
      </c>
      <c r="M134" s="1">
        <v>44</v>
      </c>
      <c r="N134" s="14">
        <f t="shared" si="5"/>
        <v>99.346405228758158</v>
      </c>
      <c r="O134" s="14">
        <f t="shared" si="6"/>
        <v>80.225988700564983</v>
      </c>
      <c r="P134" s="14">
        <f t="shared" si="7"/>
        <v>95.751633986928098</v>
      </c>
      <c r="Q134" s="14">
        <f t="shared" si="8"/>
        <v>97.872340425531902</v>
      </c>
      <c r="R134" s="14">
        <f t="shared" si="9"/>
        <v>104.46304044630406</v>
      </c>
      <c r="S134" s="2">
        <v>191287.67498242331</v>
      </c>
      <c r="T134" s="2">
        <v>59008.749844851678</v>
      </c>
      <c r="U134" s="2">
        <v>108489.88240758165</v>
      </c>
      <c r="V134" s="2">
        <v>19158.404194409857</v>
      </c>
      <c r="W134" s="2">
        <v>4630.6385355801294</v>
      </c>
      <c r="X134" s="2">
        <v>7811.7129575874533</v>
      </c>
      <c r="Y134" s="2">
        <v>21975.638896785327</v>
      </c>
      <c r="Z134" s="2">
        <v>10356.438697394713</v>
      </c>
      <c r="AA134" s="2">
        <v>2599.9249714727275</v>
      </c>
      <c r="AB134" s="2">
        <v>6501.2486481075921</v>
      </c>
      <c r="AC134" s="2"/>
      <c r="AD134" s="2"/>
      <c r="AE134" s="24"/>
    </row>
    <row r="135" spans="1:31">
      <c r="A135" s="1">
        <v>2020</v>
      </c>
      <c r="B135" s="9" t="s">
        <v>99</v>
      </c>
      <c r="C135" s="1" t="s">
        <v>176</v>
      </c>
      <c r="D135" s="10">
        <v>50.1</v>
      </c>
      <c r="E135" s="1">
        <v>34</v>
      </c>
      <c r="F135" s="10">
        <v>14.3</v>
      </c>
      <c r="G135" s="1">
        <v>33</v>
      </c>
      <c r="H135" s="10">
        <v>32.9</v>
      </c>
      <c r="I135" s="1">
        <v>19</v>
      </c>
      <c r="J135" s="10">
        <v>12</v>
      </c>
      <c r="K135" s="1">
        <v>5</v>
      </c>
      <c r="L135" s="10">
        <v>80.5</v>
      </c>
      <c r="M135" s="1">
        <v>20</v>
      </c>
      <c r="N135" s="14">
        <f t="shared" si="5"/>
        <v>97.28155339805825</v>
      </c>
      <c r="O135" s="14">
        <f t="shared" si="6"/>
        <v>82.658959537572258</v>
      </c>
      <c r="P135" s="14">
        <f t="shared" si="7"/>
        <v>99.696969696969688</v>
      </c>
      <c r="Q135" s="14">
        <f t="shared" si="8"/>
        <v>88.888888888888886</v>
      </c>
      <c r="R135" s="14">
        <f t="shared" si="9"/>
        <v>102.41730279898221</v>
      </c>
      <c r="S135" s="2">
        <v>187248.78203292005</v>
      </c>
      <c r="T135" s="2">
        <v>54698.54821805247</v>
      </c>
      <c r="U135" s="2">
        <v>104629.13366134132</v>
      </c>
      <c r="V135" s="2">
        <v>21799.622638954632</v>
      </c>
      <c r="W135" s="2">
        <v>6121.4775145716058</v>
      </c>
      <c r="X135" s="2">
        <v>6441.5759339166525</v>
      </c>
      <c r="Y135" s="2">
        <v>20824.413808780246</v>
      </c>
      <c r="Z135" s="2">
        <v>9510.0127841436533</v>
      </c>
      <c r="AA135" s="2">
        <v>2819.5357094264405</v>
      </c>
      <c r="AB135" s="2">
        <v>6605.7740961977506</v>
      </c>
      <c r="AC135" s="2"/>
      <c r="AD135" s="2"/>
      <c r="AE135" s="24"/>
    </row>
    <row r="136" spans="1:31">
      <c r="A136" s="1">
        <v>2020</v>
      </c>
      <c r="B136" s="9" t="s">
        <v>101</v>
      </c>
      <c r="C136" s="1" t="s">
        <v>177</v>
      </c>
      <c r="D136" s="10">
        <v>49.3</v>
      </c>
      <c r="E136" s="1">
        <v>39</v>
      </c>
      <c r="F136" s="10">
        <v>17.899999999999999</v>
      </c>
      <c r="G136" s="1">
        <v>18</v>
      </c>
      <c r="H136" s="10">
        <v>33.4</v>
      </c>
      <c r="I136" s="1">
        <v>9</v>
      </c>
      <c r="J136" s="10">
        <v>9</v>
      </c>
      <c r="K136" s="1">
        <v>36</v>
      </c>
      <c r="L136" s="10">
        <v>82</v>
      </c>
      <c r="M136" s="1">
        <v>9</v>
      </c>
      <c r="N136" s="14">
        <f t="shared" si="5"/>
        <v>92.322097378277149</v>
      </c>
      <c r="O136" s="14">
        <f t="shared" si="6"/>
        <v>89.949748743718601</v>
      </c>
      <c r="P136" s="14">
        <f t="shared" si="7"/>
        <v>94.617563739376777</v>
      </c>
      <c r="Q136" s="14">
        <f t="shared" si="8"/>
        <v>68.181818181818187</v>
      </c>
      <c r="R136" s="14">
        <f t="shared" si="9"/>
        <v>101.99004975124377</v>
      </c>
      <c r="S136" s="2">
        <v>210045.96519033753</v>
      </c>
      <c r="T136" s="2">
        <v>64854.414540184189</v>
      </c>
      <c r="U136" s="2">
        <v>117894.4920427727</v>
      </c>
      <c r="V136" s="2">
        <v>21058.872606112429</v>
      </c>
      <c r="W136" s="2">
        <v>6238.1860012682046</v>
      </c>
      <c r="X136" s="2">
        <v>7108.4517173843269</v>
      </c>
      <c r="Y136" s="2">
        <v>25982.991906457079</v>
      </c>
      <c r="Z136" s="2">
        <v>11988.364252639842</v>
      </c>
      <c r="AA136" s="2">
        <v>4267.9455847680274</v>
      </c>
      <c r="AB136" s="2">
        <v>7864.5054343671936</v>
      </c>
      <c r="AC136" s="2"/>
      <c r="AD136" s="2"/>
      <c r="AE136" s="24"/>
    </row>
    <row r="137" spans="1:31">
      <c r="A137" s="1">
        <v>2020</v>
      </c>
      <c r="B137" s="9" t="s">
        <v>103</v>
      </c>
      <c r="C137" s="1" t="s">
        <v>178</v>
      </c>
      <c r="D137" s="10">
        <v>54</v>
      </c>
      <c r="E137" s="1">
        <v>25</v>
      </c>
      <c r="F137" s="10">
        <v>21</v>
      </c>
      <c r="G137" s="1">
        <v>14</v>
      </c>
      <c r="H137" s="10">
        <v>33.1</v>
      </c>
      <c r="I137" s="1">
        <v>15</v>
      </c>
      <c r="J137" s="10">
        <v>9.1</v>
      </c>
      <c r="K137" s="1">
        <v>33</v>
      </c>
      <c r="L137" s="10">
        <v>81.599999999999994</v>
      </c>
      <c r="M137" s="1">
        <v>13</v>
      </c>
      <c r="N137" s="14">
        <f t="shared" si="5"/>
        <v>97.649186256781192</v>
      </c>
      <c r="O137" s="14">
        <f t="shared" si="6"/>
        <v>93.333333333333329</v>
      </c>
      <c r="P137" s="14">
        <f t="shared" si="7"/>
        <v>99.399399399399414</v>
      </c>
      <c r="Q137" s="14">
        <f t="shared" si="8"/>
        <v>85.046728971962608</v>
      </c>
      <c r="R137" s="14">
        <f t="shared" si="9"/>
        <v>102.38393977415305</v>
      </c>
      <c r="S137" s="2">
        <v>195730.18160843127</v>
      </c>
      <c r="T137" s="2">
        <v>60564.243681918066</v>
      </c>
      <c r="U137" s="2">
        <v>108377.83401273428</v>
      </c>
      <c r="V137" s="2">
        <v>20993.877867725721</v>
      </c>
      <c r="W137" s="2">
        <v>5794.2260460532279</v>
      </c>
      <c r="X137" s="2">
        <v>6324.2904456812976</v>
      </c>
      <c r="Y137" s="2">
        <v>22927.12015377649</v>
      </c>
      <c r="Z137" s="2">
        <v>11234.806915269066</v>
      </c>
      <c r="AA137" s="2">
        <v>2601.2258390782599</v>
      </c>
      <c r="AB137" s="2">
        <v>6959.389170410479</v>
      </c>
      <c r="AC137" s="2"/>
      <c r="AD137" s="2"/>
      <c r="AE137" s="24"/>
    </row>
    <row r="138" spans="1:31">
      <c r="A138" s="1">
        <v>2020</v>
      </c>
      <c r="B138" s="9" t="s">
        <v>105</v>
      </c>
      <c r="C138" s="1" t="s">
        <v>179</v>
      </c>
      <c r="D138" s="10">
        <v>57.9</v>
      </c>
      <c r="E138" s="1">
        <v>12</v>
      </c>
      <c r="F138" s="10">
        <v>29.1</v>
      </c>
      <c r="G138" s="1">
        <v>1</v>
      </c>
      <c r="H138" s="10">
        <v>32.799999999999997</v>
      </c>
      <c r="I138" s="1">
        <v>21</v>
      </c>
      <c r="J138" s="10">
        <v>11.2</v>
      </c>
      <c r="K138" s="1">
        <v>8</v>
      </c>
      <c r="L138" s="10">
        <v>81.7</v>
      </c>
      <c r="M138" s="1">
        <v>11</v>
      </c>
      <c r="N138" s="14">
        <f t="shared" si="5"/>
        <v>98.974358974358964</v>
      </c>
      <c r="O138" s="14">
        <f t="shared" si="6"/>
        <v>96.677740863787378</v>
      </c>
      <c r="P138" s="14">
        <f t="shared" si="7"/>
        <v>98.795180722891558</v>
      </c>
      <c r="Q138" s="14">
        <f t="shared" si="8"/>
        <v>100.90090090090089</v>
      </c>
      <c r="R138" s="14">
        <f t="shared" si="9"/>
        <v>102.63819095477389</v>
      </c>
      <c r="S138" s="2">
        <v>193039.57843833609</v>
      </c>
      <c r="T138" s="2">
        <v>59180.942671463177</v>
      </c>
      <c r="U138" s="2">
        <v>108872.42124797442</v>
      </c>
      <c r="V138" s="2">
        <v>19705.793684446973</v>
      </c>
      <c r="W138" s="2">
        <v>5280.4208344515173</v>
      </c>
      <c r="X138" s="2">
        <v>6419.3404133569784</v>
      </c>
      <c r="Y138" s="2">
        <v>23559.603727996695</v>
      </c>
      <c r="Z138" s="2">
        <v>11304.86102231979</v>
      </c>
      <c r="AA138" s="2">
        <v>2947.6882886349322</v>
      </c>
      <c r="AB138" s="2">
        <v>7642.4670619271128</v>
      </c>
      <c r="AC138" s="2"/>
      <c r="AD138" s="2"/>
      <c r="AE138" s="24"/>
    </row>
    <row r="139" spans="1:31">
      <c r="A139" s="1">
        <v>2020</v>
      </c>
      <c r="B139" s="9" t="s">
        <v>107</v>
      </c>
      <c r="C139" s="1" t="s">
        <v>180</v>
      </c>
      <c r="D139" s="10">
        <v>61</v>
      </c>
      <c r="E139" s="1">
        <v>7</v>
      </c>
      <c r="F139" s="10">
        <v>24.3</v>
      </c>
      <c r="G139" s="1">
        <v>8</v>
      </c>
      <c r="H139" s="10">
        <v>33.1</v>
      </c>
      <c r="I139" s="1">
        <v>16</v>
      </c>
      <c r="J139" s="10">
        <v>8.9</v>
      </c>
      <c r="K139" s="1">
        <v>38</v>
      </c>
      <c r="L139" s="10">
        <v>79.3</v>
      </c>
      <c r="M139" s="1">
        <v>28</v>
      </c>
      <c r="N139" s="14">
        <f t="shared" si="5"/>
        <v>95.611285266457685</v>
      </c>
      <c r="O139" s="14">
        <f t="shared" si="6"/>
        <v>91.698113207547166</v>
      </c>
      <c r="P139" s="14">
        <f t="shared" si="7"/>
        <v>98.21958456973293</v>
      </c>
      <c r="Q139" s="14">
        <f t="shared" si="8"/>
        <v>104.70588235294119</v>
      </c>
      <c r="R139" s="14">
        <f t="shared" si="9"/>
        <v>103.12093628088425</v>
      </c>
      <c r="S139" s="2">
        <v>196396.94376934692</v>
      </c>
      <c r="T139" s="2">
        <v>61810.49337633713</v>
      </c>
      <c r="U139" s="2">
        <v>111009.84802108223</v>
      </c>
      <c r="V139" s="2">
        <v>18355.405860806157</v>
      </c>
      <c r="W139" s="2">
        <v>5221.1965111214231</v>
      </c>
      <c r="X139" s="2">
        <v>7247.7521298045285</v>
      </c>
      <c r="Y139" s="2">
        <v>23913.469014089624</v>
      </c>
      <c r="Z139" s="2">
        <v>10449.239555948006</v>
      </c>
      <c r="AA139" s="2">
        <v>3204.9578722064871</v>
      </c>
      <c r="AB139" s="2">
        <v>8127.0059829986421</v>
      </c>
      <c r="AC139" s="2"/>
      <c r="AD139" s="2"/>
      <c r="AE139" s="24"/>
    </row>
    <row r="140" spans="1:31">
      <c r="A140" s="1">
        <v>2020</v>
      </c>
      <c r="B140" s="9" t="s">
        <v>109</v>
      </c>
      <c r="C140" s="1" t="s">
        <v>181</v>
      </c>
      <c r="D140" s="10">
        <v>52.2</v>
      </c>
      <c r="E140" s="1">
        <v>31</v>
      </c>
      <c r="F140" s="10">
        <v>14.6</v>
      </c>
      <c r="G140" s="1">
        <v>30</v>
      </c>
      <c r="H140" s="10">
        <v>34.299999999999997</v>
      </c>
      <c r="I140" s="1">
        <v>4</v>
      </c>
      <c r="J140" s="10">
        <v>8.9</v>
      </c>
      <c r="K140" s="1">
        <v>40</v>
      </c>
      <c r="L140" s="10">
        <v>82.3</v>
      </c>
      <c r="M140" s="1">
        <v>7</v>
      </c>
      <c r="N140" s="14">
        <f t="shared" si="5"/>
        <v>100.57803468208093</v>
      </c>
      <c r="O140" s="14">
        <f t="shared" si="6"/>
        <v>67.281105990783402</v>
      </c>
      <c r="P140" s="14">
        <f t="shared" si="7"/>
        <v>100.29239766081869</v>
      </c>
      <c r="Q140" s="14">
        <f t="shared" si="8"/>
        <v>78.761061946902657</v>
      </c>
      <c r="R140" s="14">
        <f t="shared" si="9"/>
        <v>102.2360248447205</v>
      </c>
      <c r="S140" s="2">
        <v>182343.1636382693</v>
      </c>
      <c r="T140" s="2">
        <v>53745.815413169214</v>
      </c>
      <c r="U140" s="2">
        <v>104556.46036654124</v>
      </c>
      <c r="V140" s="2">
        <v>19218.505120017551</v>
      </c>
      <c r="W140" s="2">
        <v>4822.3827385412787</v>
      </c>
      <c r="X140" s="2">
        <v>6245.5019145377937</v>
      </c>
      <c r="Y140" s="2">
        <v>21439.019183828903</v>
      </c>
      <c r="Z140" s="2">
        <v>10729.106994502254</v>
      </c>
      <c r="AA140" s="2">
        <v>2220.8210933138444</v>
      </c>
      <c r="AB140" s="2">
        <v>6601.6844600165405</v>
      </c>
      <c r="AC140" s="2"/>
      <c r="AD140" s="2"/>
      <c r="AE140" s="24"/>
    </row>
    <row r="141" spans="1:31">
      <c r="A141" s="1">
        <v>2020</v>
      </c>
      <c r="B141" s="9" t="s">
        <v>111</v>
      </c>
      <c r="C141" s="1" t="s">
        <v>182</v>
      </c>
      <c r="D141" s="10">
        <v>49.2</v>
      </c>
      <c r="E141" s="1">
        <v>40</v>
      </c>
      <c r="F141" s="10">
        <v>12.9</v>
      </c>
      <c r="G141" s="1">
        <v>37</v>
      </c>
      <c r="H141" s="10">
        <v>32.200000000000003</v>
      </c>
      <c r="I141" s="1">
        <v>31</v>
      </c>
      <c r="J141" s="10">
        <v>9.6</v>
      </c>
      <c r="K141" s="1">
        <v>25</v>
      </c>
      <c r="L141" s="10">
        <v>84.7</v>
      </c>
      <c r="M141" s="1">
        <v>3</v>
      </c>
      <c r="N141" s="14">
        <f t="shared" si="5"/>
        <v>97.425742574257441</v>
      </c>
      <c r="O141" s="14">
        <f t="shared" si="6"/>
        <v>76.331360946745576</v>
      </c>
      <c r="P141" s="14">
        <f t="shared" si="7"/>
        <v>97.280966767371595</v>
      </c>
      <c r="Q141" s="14">
        <f t="shared" si="8"/>
        <v>91.428571428571431</v>
      </c>
      <c r="R141" s="14">
        <f t="shared" si="9"/>
        <v>102.04819277108435</v>
      </c>
      <c r="S141" s="2">
        <v>192076.77866897776</v>
      </c>
      <c r="T141" s="2">
        <v>59591.635566128309</v>
      </c>
      <c r="U141" s="2">
        <v>107794.80695702448</v>
      </c>
      <c r="V141" s="2">
        <v>19220.889145132885</v>
      </c>
      <c r="W141" s="2">
        <v>5469.4470006920583</v>
      </c>
      <c r="X141" s="2">
        <v>7314.4900165778017</v>
      </c>
      <c r="Y141" s="2">
        <v>22918.892797578814</v>
      </c>
      <c r="Z141" s="2">
        <v>10880.873417780804</v>
      </c>
      <c r="AA141" s="2">
        <v>2274.5530417804212</v>
      </c>
      <c r="AB141" s="2">
        <v>7360.748379485517</v>
      </c>
      <c r="AC141" s="2"/>
      <c r="AD141" s="2"/>
      <c r="AE141" s="24"/>
    </row>
    <row r="142" spans="1:31">
      <c r="A142" s="1">
        <v>2020</v>
      </c>
      <c r="B142" s="9" t="s">
        <v>113</v>
      </c>
      <c r="C142" s="1" t="s">
        <v>183</v>
      </c>
      <c r="D142" s="10">
        <v>55.8</v>
      </c>
      <c r="E142" s="1">
        <v>20</v>
      </c>
      <c r="F142" s="10">
        <v>25.9</v>
      </c>
      <c r="G142" s="1">
        <v>5</v>
      </c>
      <c r="H142" s="10">
        <v>33.1</v>
      </c>
      <c r="I142" s="1">
        <v>14</v>
      </c>
      <c r="J142" s="10">
        <v>9.6</v>
      </c>
      <c r="K142" s="1">
        <v>26</v>
      </c>
      <c r="L142" s="10">
        <v>88.6</v>
      </c>
      <c r="M142" s="1">
        <v>1</v>
      </c>
      <c r="N142" s="14">
        <f t="shared" si="5"/>
        <v>100</v>
      </c>
      <c r="O142" s="14">
        <f t="shared" si="6"/>
        <v>84.090909090909079</v>
      </c>
      <c r="P142" s="14">
        <f t="shared" si="7"/>
        <v>99.698795180722882</v>
      </c>
      <c r="Q142" s="14">
        <f t="shared" si="8"/>
        <v>93.203883495145618</v>
      </c>
      <c r="R142" s="14">
        <f t="shared" si="9"/>
        <v>101.14155251141553</v>
      </c>
      <c r="S142" s="2">
        <v>169757.52900286624</v>
      </c>
      <c r="T142" s="2">
        <v>54478.2043806027</v>
      </c>
      <c r="U142" s="2">
        <v>93338.144650351955</v>
      </c>
      <c r="V142" s="2">
        <v>17416.326444759361</v>
      </c>
      <c r="W142" s="2">
        <v>4524.8535271522305</v>
      </c>
      <c r="X142" s="2">
        <v>6662.3389450598961</v>
      </c>
      <c r="Y142" s="2">
        <v>18064.71108575289</v>
      </c>
      <c r="Z142" s="2">
        <v>9047.0155647624451</v>
      </c>
      <c r="AA142" s="2">
        <v>1901.1434783275024</v>
      </c>
      <c r="AB142" s="2">
        <v>5410.2760106738915</v>
      </c>
      <c r="AC142" s="2"/>
      <c r="AD142" s="2"/>
      <c r="AE142" s="24"/>
    </row>
    <row r="143" spans="1:31">
      <c r="A143" s="1">
        <v>2021</v>
      </c>
      <c r="B143" s="9" t="s">
        <v>21</v>
      </c>
      <c r="C143" s="1" t="s">
        <v>22</v>
      </c>
      <c r="D143" s="10">
        <v>47.3</v>
      </c>
      <c r="E143" s="1">
        <v>44</v>
      </c>
      <c r="F143" s="10">
        <v>11.6</v>
      </c>
      <c r="G143" s="1">
        <v>44</v>
      </c>
      <c r="H143" s="10">
        <v>34.5</v>
      </c>
      <c r="I143" s="1">
        <v>29</v>
      </c>
      <c r="J143" s="10">
        <v>9.6999999999999993</v>
      </c>
      <c r="K143" s="1">
        <v>27</v>
      </c>
      <c r="L143" s="10">
        <v>82.3</v>
      </c>
      <c r="M143" s="1">
        <v>14</v>
      </c>
      <c r="N143" s="14">
        <f t="shared" si="5"/>
        <v>105.11111111111111</v>
      </c>
      <c r="O143" s="14">
        <f t="shared" si="6"/>
        <v>118.36734693877551</v>
      </c>
      <c r="P143" s="14">
        <f t="shared" si="7"/>
        <v>108.83280757097793</v>
      </c>
      <c r="Q143" s="14">
        <f t="shared" si="8"/>
        <v>105.43478260869566</v>
      </c>
      <c r="R143" s="14">
        <f t="shared" si="9"/>
        <v>100.98159509202453</v>
      </c>
      <c r="S143" s="2">
        <v>214201.03379849542</v>
      </c>
      <c r="T143" s="2">
        <v>65002.901529937059</v>
      </c>
      <c r="U143" s="2">
        <v>122908.10703956946</v>
      </c>
      <c r="V143" s="2">
        <v>22023.9990529229</v>
      </c>
      <c r="W143" s="2">
        <v>4266.0261760659841</v>
      </c>
      <c r="X143" s="2">
        <v>7780.7680184468236</v>
      </c>
      <c r="Y143" s="2">
        <v>25021.381550028418</v>
      </c>
      <c r="Z143" s="2">
        <v>10450.109761659671</v>
      </c>
      <c r="AA143" s="2">
        <v>3205.903894972781</v>
      </c>
      <c r="AB143" s="2">
        <v>8528.3611446867853</v>
      </c>
      <c r="AC143" s="2">
        <v>31.2</v>
      </c>
      <c r="AD143" s="2">
        <v>1757.9</v>
      </c>
      <c r="AE143" s="24"/>
    </row>
    <row r="144" spans="1:31">
      <c r="A144" s="1">
        <v>2021</v>
      </c>
      <c r="B144" s="9" t="s">
        <v>23</v>
      </c>
      <c r="C144" s="1" t="s">
        <v>138</v>
      </c>
      <c r="D144" s="10">
        <v>58.1</v>
      </c>
      <c r="E144" s="1">
        <v>21</v>
      </c>
      <c r="F144" s="10">
        <v>19.2</v>
      </c>
      <c r="G144" s="1">
        <v>25</v>
      </c>
      <c r="H144" s="10">
        <v>34.299999999999997</v>
      </c>
      <c r="I144" s="1">
        <v>38</v>
      </c>
      <c r="J144" s="10">
        <v>9.3000000000000007</v>
      </c>
      <c r="K144" s="1">
        <v>34</v>
      </c>
      <c r="L144" s="10">
        <v>82.5</v>
      </c>
      <c r="M144" s="1">
        <v>10</v>
      </c>
      <c r="N144" s="14">
        <f t="shared" si="5"/>
        <v>104.12186379928316</v>
      </c>
      <c r="O144" s="14">
        <f t="shared" si="6"/>
        <v>109.09090909090908</v>
      </c>
      <c r="P144" s="14">
        <f t="shared" si="7"/>
        <v>109.2356687898089</v>
      </c>
      <c r="Q144" s="14">
        <f t="shared" si="8"/>
        <v>101.08695652173914</v>
      </c>
      <c r="R144" s="14">
        <f t="shared" si="9"/>
        <v>100.48721071863582</v>
      </c>
      <c r="S144" s="2">
        <v>197551.19607369578</v>
      </c>
      <c r="T144" s="2">
        <v>54303.058152079982</v>
      </c>
      <c r="U144" s="2">
        <v>120740.78849490749</v>
      </c>
      <c r="V144" s="2">
        <v>19072.785067165321</v>
      </c>
      <c r="W144" s="2">
        <v>3434.564359542992</v>
      </c>
      <c r="X144" s="2">
        <v>6661.4409993596782</v>
      </c>
      <c r="Y144" s="2">
        <v>27996.638339623634</v>
      </c>
      <c r="Z144" s="2">
        <v>13111.604920203356</v>
      </c>
      <c r="AA144" s="2">
        <v>3608.4827016273016</v>
      </c>
      <c r="AB144" s="2">
        <v>8988.4756542746709</v>
      </c>
      <c r="AC144" s="2">
        <v>30.3</v>
      </c>
      <c r="AD144" s="2">
        <v>1359</v>
      </c>
      <c r="AE144" s="24"/>
    </row>
    <row r="145" spans="1:31">
      <c r="A145" s="1">
        <v>2021</v>
      </c>
      <c r="B145" s="9" t="s">
        <v>25</v>
      </c>
      <c r="C145" s="1" t="s">
        <v>139</v>
      </c>
      <c r="D145" s="10">
        <v>61.1</v>
      </c>
      <c r="E145" s="1">
        <v>14</v>
      </c>
      <c r="F145" s="10">
        <v>17</v>
      </c>
      <c r="G145" s="1">
        <v>32</v>
      </c>
      <c r="H145" s="10">
        <v>33.299999999999997</v>
      </c>
      <c r="I145" s="1">
        <v>45</v>
      </c>
      <c r="J145" s="10">
        <v>10.6</v>
      </c>
      <c r="K145" s="1">
        <v>17</v>
      </c>
      <c r="L145" s="10">
        <v>85.3</v>
      </c>
      <c r="M145" s="1">
        <v>3</v>
      </c>
      <c r="N145" s="14">
        <f t="shared" si="5"/>
        <v>109.69479353680431</v>
      </c>
      <c r="O145" s="14">
        <f t="shared" si="6"/>
        <v>117.24137931034481</v>
      </c>
      <c r="P145" s="14">
        <f t="shared" si="7"/>
        <v>106.05095541401272</v>
      </c>
      <c r="Q145" s="14">
        <f t="shared" si="8"/>
        <v>117.77777777777779</v>
      </c>
      <c r="R145" s="14">
        <f t="shared" si="9"/>
        <v>100.35294117647058</v>
      </c>
      <c r="S145" s="2">
        <v>195313.92574063851</v>
      </c>
      <c r="T145" s="2">
        <v>53509.466355470948</v>
      </c>
      <c r="U145" s="2">
        <v>117717.44199446125</v>
      </c>
      <c r="V145" s="2">
        <v>19996.749595748974</v>
      </c>
      <c r="W145" s="2">
        <v>4090.2677949573363</v>
      </c>
      <c r="X145" s="2">
        <v>6674.3205192824471</v>
      </c>
      <c r="Y145" s="2">
        <v>27013.896013718942</v>
      </c>
      <c r="Z145" s="2">
        <v>12422.092531033359</v>
      </c>
      <c r="AA145" s="2">
        <v>3803.3544962728461</v>
      </c>
      <c r="AB145" s="2">
        <v>8666.8963100003639</v>
      </c>
      <c r="AC145" s="2">
        <v>29.7</v>
      </c>
      <c r="AD145" s="2">
        <v>1351</v>
      </c>
      <c r="AE145" s="24"/>
    </row>
    <row r="146" spans="1:31">
      <c r="A146" s="1">
        <v>2021</v>
      </c>
      <c r="B146" s="9" t="s">
        <v>27</v>
      </c>
      <c r="C146" s="1" t="s">
        <v>140</v>
      </c>
      <c r="D146" s="10">
        <v>60.6</v>
      </c>
      <c r="E146" s="1">
        <v>15</v>
      </c>
      <c r="F146" s="10">
        <v>24.3</v>
      </c>
      <c r="G146" s="1">
        <v>14</v>
      </c>
      <c r="H146" s="10">
        <v>35</v>
      </c>
      <c r="I146" s="1">
        <v>19</v>
      </c>
      <c r="J146" s="10">
        <v>11.9</v>
      </c>
      <c r="K146" s="1">
        <v>8</v>
      </c>
      <c r="L146" s="10">
        <v>83.6</v>
      </c>
      <c r="M146" s="1">
        <v>5</v>
      </c>
      <c r="N146" s="14">
        <f t="shared" si="5"/>
        <v>103.58974358974361</v>
      </c>
      <c r="O146" s="14">
        <f t="shared" si="6"/>
        <v>106.11353711790395</v>
      </c>
      <c r="P146" s="14">
        <f t="shared" si="7"/>
        <v>110.75949367088607</v>
      </c>
      <c r="Q146" s="14">
        <f t="shared" si="8"/>
        <v>102.58620689655173</v>
      </c>
      <c r="R146" s="14">
        <f t="shared" si="9"/>
        <v>100.60168471720819</v>
      </c>
      <c r="S146" s="2">
        <v>200635.4121696669</v>
      </c>
      <c r="T146" s="2">
        <v>54079.38506041823</v>
      </c>
      <c r="U146" s="2">
        <v>122033.72440423013</v>
      </c>
      <c r="V146" s="2">
        <v>19800.469679394861</v>
      </c>
      <c r="W146" s="2">
        <v>4721.8330256236768</v>
      </c>
      <c r="X146" s="2">
        <v>6661.3884172920443</v>
      </c>
      <c r="Y146" s="2">
        <v>26975.960042625047</v>
      </c>
      <c r="Z146" s="2">
        <v>12673.219489404428</v>
      </c>
      <c r="AA146" s="2">
        <v>3878.0192696099175</v>
      </c>
      <c r="AB146" s="2">
        <v>8387.2634870641123</v>
      </c>
      <c r="AC146" s="2">
        <v>24.5</v>
      </c>
      <c r="AD146" s="2">
        <v>1075.9000000000001</v>
      </c>
      <c r="AE146" s="24"/>
    </row>
    <row r="147" spans="1:31">
      <c r="A147" s="1">
        <v>2021</v>
      </c>
      <c r="B147" s="9" t="s">
        <v>29</v>
      </c>
      <c r="C147" s="1" t="s">
        <v>141</v>
      </c>
      <c r="D147" s="10">
        <v>59.2</v>
      </c>
      <c r="E147" s="1">
        <v>18</v>
      </c>
      <c r="F147" s="10">
        <v>36.200000000000003</v>
      </c>
      <c r="G147" s="1">
        <v>1</v>
      </c>
      <c r="H147" s="10">
        <v>34.5</v>
      </c>
      <c r="I147" s="1">
        <v>30</v>
      </c>
      <c r="J147" s="10">
        <v>9</v>
      </c>
      <c r="K147" s="1">
        <v>40</v>
      </c>
      <c r="L147" s="10">
        <v>82.5</v>
      </c>
      <c r="M147" s="1">
        <v>12</v>
      </c>
      <c r="N147" s="14">
        <f t="shared" si="5"/>
        <v>105.90339892665475</v>
      </c>
      <c r="O147" s="14">
        <f t="shared" si="6"/>
        <v>148.36065573770495</v>
      </c>
      <c r="P147" s="14">
        <f t="shared" si="7"/>
        <v>103.91566265060239</v>
      </c>
      <c r="Q147" s="14">
        <f t="shared" si="8"/>
        <v>100</v>
      </c>
      <c r="R147" s="14">
        <f t="shared" si="9"/>
        <v>100.97919216646267</v>
      </c>
      <c r="S147" s="2">
        <v>214586.19449065934</v>
      </c>
      <c r="T147" s="2">
        <v>61540.136618883385</v>
      </c>
      <c r="U147" s="2">
        <v>127367.97856168357</v>
      </c>
      <c r="V147" s="2">
        <v>21507.681722245008</v>
      </c>
      <c r="W147" s="2">
        <v>4170.3975878473957</v>
      </c>
      <c r="X147" s="2">
        <v>6898.6272140344136</v>
      </c>
      <c r="Y147" s="2">
        <v>27990.734662888935</v>
      </c>
      <c r="Z147" s="2">
        <v>12930.171121095158</v>
      </c>
      <c r="AA147" s="2">
        <v>4426.8486247971841</v>
      </c>
      <c r="AB147" s="2">
        <v>8383.6816205326704</v>
      </c>
      <c r="AC147" s="2">
        <v>30.2</v>
      </c>
      <c r="AD147" s="2">
        <v>1504.7</v>
      </c>
      <c r="AE147" s="24"/>
    </row>
    <row r="148" spans="1:31">
      <c r="A148" s="1">
        <v>2021</v>
      </c>
      <c r="B148" s="9" t="s">
        <v>31</v>
      </c>
      <c r="C148" s="1" t="s">
        <v>142</v>
      </c>
      <c r="D148" s="10">
        <v>75.099999999999994</v>
      </c>
      <c r="E148" s="1">
        <v>1</v>
      </c>
      <c r="F148" s="10">
        <v>27.3</v>
      </c>
      <c r="G148" s="1">
        <v>11</v>
      </c>
      <c r="H148" s="10">
        <v>34.700000000000003</v>
      </c>
      <c r="I148" s="1">
        <v>25</v>
      </c>
      <c r="J148" s="10">
        <v>10.5</v>
      </c>
      <c r="K148" s="1">
        <v>19</v>
      </c>
      <c r="L148" s="10">
        <v>84</v>
      </c>
      <c r="M148" s="1">
        <v>4</v>
      </c>
      <c r="N148" s="14">
        <f t="shared" si="5"/>
        <v>102.87671232876711</v>
      </c>
      <c r="O148" s="14">
        <f t="shared" si="6"/>
        <v>120.26431718061674</v>
      </c>
      <c r="P148" s="14">
        <f t="shared" si="7"/>
        <v>104.20420420420422</v>
      </c>
      <c r="Q148" s="14">
        <f t="shared" si="8"/>
        <v>97.222222222222214</v>
      </c>
      <c r="R148" s="14">
        <f t="shared" si="9"/>
        <v>100.84033613445378</v>
      </c>
      <c r="S148" s="2">
        <v>203167.74811212294</v>
      </c>
      <c r="T148" s="2">
        <v>55527.327856639582</v>
      </c>
      <c r="U148" s="2">
        <v>123103.34809480722</v>
      </c>
      <c r="V148" s="2">
        <v>20775.981070015972</v>
      </c>
      <c r="W148" s="2">
        <v>3761.0910906601493</v>
      </c>
      <c r="X148" s="2">
        <v>6227.2515273065064</v>
      </c>
      <c r="Y148" s="2">
        <v>27541.542513238168</v>
      </c>
      <c r="Z148" s="2">
        <v>13182.998563533612</v>
      </c>
      <c r="AA148" s="2">
        <v>5086.9250178295897</v>
      </c>
      <c r="AB148" s="2">
        <v>7258.1209624604198</v>
      </c>
      <c r="AC148" s="2">
        <v>27.7</v>
      </c>
      <c r="AD148" s="2">
        <v>1344.4</v>
      </c>
      <c r="AE148" s="24"/>
    </row>
    <row r="149" spans="1:31">
      <c r="A149" s="1">
        <v>2021</v>
      </c>
      <c r="B149" s="9" t="s">
        <v>33</v>
      </c>
      <c r="C149" s="1" t="s">
        <v>143</v>
      </c>
      <c r="D149" s="10">
        <v>57.4</v>
      </c>
      <c r="E149" s="1">
        <v>24</v>
      </c>
      <c r="F149" s="10">
        <v>26.4</v>
      </c>
      <c r="G149" s="1">
        <v>12</v>
      </c>
      <c r="H149" s="10">
        <v>35.1</v>
      </c>
      <c r="I149" s="1">
        <v>14</v>
      </c>
      <c r="J149" s="10">
        <v>10.9</v>
      </c>
      <c r="K149" s="1">
        <v>15</v>
      </c>
      <c r="L149" s="10">
        <v>82.5</v>
      </c>
      <c r="M149" s="1">
        <v>11</v>
      </c>
      <c r="N149" s="14">
        <f t="shared" si="5"/>
        <v>108.09792843691149</v>
      </c>
      <c r="O149" s="14">
        <f t="shared" si="6"/>
        <v>106.02409638554218</v>
      </c>
      <c r="P149" s="14">
        <f t="shared" si="7"/>
        <v>104.77611940298507</v>
      </c>
      <c r="Q149" s="14">
        <f t="shared" si="8"/>
        <v>105.8252427184466</v>
      </c>
      <c r="R149" s="14">
        <f t="shared" si="9"/>
        <v>100.8557457212714</v>
      </c>
      <c r="S149" s="2">
        <v>191405.86110114492</v>
      </c>
      <c r="T149" s="2">
        <v>51221.274603723272</v>
      </c>
      <c r="U149" s="2">
        <v>116751.97848539293</v>
      </c>
      <c r="V149" s="2">
        <v>19376.277289250673</v>
      </c>
      <c r="W149" s="2">
        <v>4056.3307227780392</v>
      </c>
      <c r="X149" s="2">
        <v>5758.9618746272745</v>
      </c>
      <c r="Y149" s="2">
        <v>27047.138560906784</v>
      </c>
      <c r="Z149" s="2">
        <v>12919.586396417279</v>
      </c>
      <c r="AA149" s="2">
        <v>3554.2226058352294</v>
      </c>
      <c r="AB149" s="2">
        <v>8430.0706563398599</v>
      </c>
      <c r="AC149" s="2">
        <v>28.1</v>
      </c>
      <c r="AD149" s="2">
        <v>1339.3</v>
      </c>
      <c r="AE149" s="24"/>
    </row>
    <row r="150" spans="1:31">
      <c r="A150" s="1">
        <v>2021</v>
      </c>
      <c r="B150" s="9" t="s">
        <v>35</v>
      </c>
      <c r="C150" s="1" t="s">
        <v>144</v>
      </c>
      <c r="D150" s="10">
        <v>55.9</v>
      </c>
      <c r="E150" s="1">
        <v>28</v>
      </c>
      <c r="F150" s="10">
        <v>14.9</v>
      </c>
      <c r="G150" s="1">
        <v>38</v>
      </c>
      <c r="H150" s="10">
        <v>33</v>
      </c>
      <c r="I150" s="1">
        <v>46</v>
      </c>
      <c r="J150" s="10">
        <v>12.1</v>
      </c>
      <c r="K150" s="1">
        <v>7</v>
      </c>
      <c r="L150" s="10">
        <v>79.599999999999994</v>
      </c>
      <c r="M150" s="1">
        <v>32</v>
      </c>
      <c r="N150" s="14">
        <f t="shared" si="5"/>
        <v>106.88336520076483</v>
      </c>
      <c r="O150" s="14">
        <f t="shared" si="6"/>
        <v>107.19424460431655</v>
      </c>
      <c r="P150" s="14">
        <f t="shared" si="7"/>
        <v>104.10094637223975</v>
      </c>
      <c r="Q150" s="14">
        <f t="shared" si="8"/>
        <v>100.83333333333333</v>
      </c>
      <c r="R150" s="14">
        <f t="shared" si="9"/>
        <v>101.01522842639594</v>
      </c>
      <c r="S150" s="2">
        <v>187490.09944794117</v>
      </c>
      <c r="T150" s="2">
        <v>48634.675476510281</v>
      </c>
      <c r="U150" s="2">
        <v>115444.06854206533</v>
      </c>
      <c r="V150" s="2">
        <v>19759.776457719938</v>
      </c>
      <c r="W150" s="2">
        <v>3651.5789716456256</v>
      </c>
      <c r="X150" s="2">
        <v>6073.8739604774164</v>
      </c>
      <c r="Y150" s="2">
        <v>23451.962439422186</v>
      </c>
      <c r="Z150" s="2">
        <v>10315.536627639816</v>
      </c>
      <c r="AA150" s="2">
        <v>3264.6076277929869</v>
      </c>
      <c r="AB150" s="2">
        <v>7799.1911142965628</v>
      </c>
      <c r="AC150" s="2">
        <v>27.1</v>
      </c>
      <c r="AD150" s="2">
        <v>1070.0999999999999</v>
      </c>
      <c r="AE150" s="24"/>
    </row>
    <row r="151" spans="1:31">
      <c r="A151" s="1">
        <v>2021</v>
      </c>
      <c r="B151" s="9" t="s">
        <v>37</v>
      </c>
      <c r="C151" s="1" t="s">
        <v>145</v>
      </c>
      <c r="D151" s="10">
        <v>58.3</v>
      </c>
      <c r="E151" s="1">
        <v>20</v>
      </c>
      <c r="F151" s="10">
        <v>23.9</v>
      </c>
      <c r="G151" s="1">
        <v>15</v>
      </c>
      <c r="H151" s="10">
        <v>34.9</v>
      </c>
      <c r="I151" s="1">
        <v>22</v>
      </c>
      <c r="J151" s="10">
        <v>11</v>
      </c>
      <c r="K151" s="1">
        <v>14</v>
      </c>
      <c r="L151" s="10">
        <v>80.400000000000006</v>
      </c>
      <c r="M151" s="1">
        <v>26</v>
      </c>
      <c r="N151" s="14">
        <f t="shared" si="5"/>
        <v>109.17602996254681</v>
      </c>
      <c r="O151" s="14">
        <f t="shared" si="6"/>
        <v>101.70212765957447</v>
      </c>
      <c r="P151" s="14">
        <f t="shared" si="7"/>
        <v>107.71604938271604</v>
      </c>
      <c r="Q151" s="14">
        <f t="shared" si="8"/>
        <v>104.76190476190477</v>
      </c>
      <c r="R151" s="14">
        <f t="shared" si="9"/>
        <v>101.13207547169812</v>
      </c>
      <c r="S151" s="2">
        <v>193394.47630625346</v>
      </c>
      <c r="T151" s="2">
        <v>50674.170865629741</v>
      </c>
      <c r="U151" s="2">
        <v>118599.68976970152</v>
      </c>
      <c r="V151" s="2">
        <v>19560.058275576899</v>
      </c>
      <c r="W151" s="2">
        <v>4560.5573953452986</v>
      </c>
      <c r="X151" s="2">
        <v>5801.9556623373137</v>
      </c>
      <c r="Y151" s="2">
        <v>23620.173942927569</v>
      </c>
      <c r="Z151" s="2">
        <v>10569.863608297221</v>
      </c>
      <c r="AA151" s="2">
        <v>3659.8893473544958</v>
      </c>
      <c r="AB151" s="2">
        <v>7430.5972284611098</v>
      </c>
      <c r="AC151" s="2">
        <v>28.5</v>
      </c>
      <c r="AD151" s="2">
        <v>1091.8</v>
      </c>
      <c r="AE151" s="24"/>
    </row>
    <row r="152" spans="1:31">
      <c r="A152" s="1">
        <v>2021</v>
      </c>
      <c r="B152" s="9" t="s">
        <v>39</v>
      </c>
      <c r="C152" s="1" t="s">
        <v>146</v>
      </c>
      <c r="D152" s="10">
        <v>54.2</v>
      </c>
      <c r="E152" s="1">
        <v>36</v>
      </c>
      <c r="F152" s="10">
        <v>12.4</v>
      </c>
      <c r="G152" s="1">
        <v>43</v>
      </c>
      <c r="H152" s="10">
        <v>33.6</v>
      </c>
      <c r="I152" s="1">
        <v>42</v>
      </c>
      <c r="J152" s="10">
        <v>9.4</v>
      </c>
      <c r="K152" s="1">
        <v>32</v>
      </c>
      <c r="L152" s="10">
        <v>81.2</v>
      </c>
      <c r="M152" s="1">
        <v>21</v>
      </c>
      <c r="N152" s="14">
        <f t="shared" si="5"/>
        <v>105.859375</v>
      </c>
      <c r="O152" s="14">
        <f t="shared" si="6"/>
        <v>116.98113207547169</v>
      </c>
      <c r="P152" s="14">
        <f t="shared" si="7"/>
        <v>105.99369085173502</v>
      </c>
      <c r="Q152" s="14">
        <f t="shared" si="8"/>
        <v>101.0752688172043</v>
      </c>
      <c r="R152" s="14">
        <f t="shared" si="9"/>
        <v>101.12079701120797</v>
      </c>
      <c r="S152" s="2">
        <v>186282.60879277127</v>
      </c>
      <c r="T152" s="2">
        <v>49899.483084763604</v>
      </c>
      <c r="U152" s="2">
        <v>112452.22333527234</v>
      </c>
      <c r="V152" s="2">
        <v>19300.723441006987</v>
      </c>
      <c r="W152" s="2">
        <v>4630.1789317283183</v>
      </c>
      <c r="X152" s="2">
        <v>6102.6998368195018</v>
      </c>
      <c r="Y152" s="2">
        <v>21898.131160228495</v>
      </c>
      <c r="Z152" s="2">
        <v>9356.797545164507</v>
      </c>
      <c r="AA152" s="2">
        <v>2816.3558494839431</v>
      </c>
      <c r="AB152" s="2">
        <v>7697.1770260831872</v>
      </c>
      <c r="AC152" s="2">
        <v>27.8</v>
      </c>
      <c r="AD152" s="2">
        <v>1215.5999999999999</v>
      </c>
      <c r="AE152" s="24"/>
    </row>
    <row r="153" spans="1:31">
      <c r="A153" s="1">
        <v>2021</v>
      </c>
      <c r="B153" s="9" t="s">
        <v>41</v>
      </c>
      <c r="C153" s="1" t="s">
        <v>147</v>
      </c>
      <c r="D153" s="10">
        <v>48</v>
      </c>
      <c r="E153" s="1">
        <v>43</v>
      </c>
      <c r="F153" s="10">
        <v>9.4</v>
      </c>
      <c r="G153" s="1">
        <v>46</v>
      </c>
      <c r="H153" s="10">
        <v>34.4</v>
      </c>
      <c r="I153" s="1">
        <v>33</v>
      </c>
      <c r="J153" s="10">
        <v>8.9</v>
      </c>
      <c r="K153" s="1">
        <v>41</v>
      </c>
      <c r="L153" s="10">
        <v>80.5</v>
      </c>
      <c r="M153" s="1">
        <v>25</v>
      </c>
      <c r="N153" s="14">
        <f t="shared" si="5"/>
        <v>111.62790697674419</v>
      </c>
      <c r="O153" s="14">
        <f t="shared" si="6"/>
        <v>142.42424242424244</v>
      </c>
      <c r="P153" s="14">
        <f t="shared" si="7"/>
        <v>108.17610062893081</v>
      </c>
      <c r="Q153" s="14">
        <f t="shared" si="8"/>
        <v>102.29885057471266</v>
      </c>
      <c r="R153" s="14">
        <f t="shared" si="9"/>
        <v>100.87719298245614</v>
      </c>
      <c r="S153" s="2">
        <v>187685.77460819634</v>
      </c>
      <c r="T153" s="2">
        <v>48596.641724822461</v>
      </c>
      <c r="U153" s="2">
        <v>113830.14339984169</v>
      </c>
      <c r="V153" s="2">
        <v>20320.189404994224</v>
      </c>
      <c r="W153" s="2">
        <v>4938.8000785379591</v>
      </c>
      <c r="X153" s="2">
        <v>6230.1295048815118</v>
      </c>
      <c r="Y153" s="2">
        <v>22062.202766482627</v>
      </c>
      <c r="Z153" s="2">
        <v>10016.903746707432</v>
      </c>
      <c r="AA153" s="2">
        <v>2818.9742200330898</v>
      </c>
      <c r="AB153" s="2">
        <v>7169.6396451041001</v>
      </c>
      <c r="AC153" s="2">
        <v>27.7</v>
      </c>
      <c r="AD153" s="2">
        <v>856.4</v>
      </c>
      <c r="AE153" s="24"/>
    </row>
    <row r="154" spans="1:31">
      <c r="A154" s="1">
        <v>2021</v>
      </c>
      <c r="B154" s="9" t="s">
        <v>43</v>
      </c>
      <c r="C154" s="1" t="s">
        <v>148</v>
      </c>
      <c r="D154" s="10">
        <v>44.8</v>
      </c>
      <c r="E154" s="1">
        <v>47</v>
      </c>
      <c r="F154" s="10">
        <v>14.5</v>
      </c>
      <c r="G154" s="1">
        <v>39</v>
      </c>
      <c r="H154" s="10">
        <v>34.799999999999997</v>
      </c>
      <c r="I154" s="1">
        <v>24</v>
      </c>
      <c r="J154" s="10">
        <v>9.1999999999999993</v>
      </c>
      <c r="K154" s="1">
        <v>36</v>
      </c>
      <c r="L154" s="10">
        <v>80.7</v>
      </c>
      <c r="M154" s="1">
        <v>24</v>
      </c>
      <c r="N154" s="14">
        <f t="shared" si="5"/>
        <v>111.99999999999999</v>
      </c>
      <c r="O154" s="14">
        <f t="shared" si="6"/>
        <v>115.07936507936509</v>
      </c>
      <c r="P154" s="14">
        <f t="shared" si="7"/>
        <v>110.828025477707</v>
      </c>
      <c r="Q154" s="14">
        <f t="shared" si="8"/>
        <v>94.845360824742258</v>
      </c>
      <c r="R154" s="14">
        <f t="shared" si="9"/>
        <v>100.74906367041199</v>
      </c>
      <c r="S154" s="2">
        <v>191447.10265730775</v>
      </c>
      <c r="T154" s="2">
        <v>50975.71596462273</v>
      </c>
      <c r="U154" s="2">
        <v>114882.83746194238</v>
      </c>
      <c r="V154" s="2">
        <v>21008.160060679311</v>
      </c>
      <c r="W154" s="2">
        <v>4580.3891700633321</v>
      </c>
      <c r="X154" s="2">
        <v>6864.4324619251893</v>
      </c>
      <c r="Y154" s="2">
        <v>22831.836504756371</v>
      </c>
      <c r="Z154" s="2">
        <v>9859.9029133307304</v>
      </c>
      <c r="AA154" s="2">
        <v>3001.2269987566433</v>
      </c>
      <c r="AB154" s="2">
        <v>7935.561299155589</v>
      </c>
      <c r="AC154" s="2">
        <v>25.8</v>
      </c>
      <c r="AD154" s="2">
        <v>952.3</v>
      </c>
      <c r="AE154" s="24"/>
    </row>
    <row r="155" spans="1:31">
      <c r="A155" s="1">
        <v>2021</v>
      </c>
      <c r="B155" s="9" t="s">
        <v>45</v>
      </c>
      <c r="C155" s="1" t="s">
        <v>149</v>
      </c>
      <c r="D155" s="10">
        <v>51.5</v>
      </c>
      <c r="E155" s="1">
        <v>41</v>
      </c>
      <c r="F155" s="10">
        <v>8.9</v>
      </c>
      <c r="G155" s="1">
        <v>47</v>
      </c>
      <c r="H155" s="10">
        <v>35.5</v>
      </c>
      <c r="I155" s="1">
        <v>9</v>
      </c>
      <c r="J155" s="10">
        <v>8.9</v>
      </c>
      <c r="K155" s="1">
        <v>42</v>
      </c>
      <c r="L155" s="10">
        <v>79.2</v>
      </c>
      <c r="M155" s="1">
        <v>35</v>
      </c>
      <c r="N155" s="14">
        <f t="shared" si="5"/>
        <v>109.11016949152541</v>
      </c>
      <c r="O155" s="14">
        <f t="shared" si="6"/>
        <v>115.58441558441559</v>
      </c>
      <c r="P155" s="14">
        <f t="shared" si="7"/>
        <v>109.5679012345679</v>
      </c>
      <c r="Q155" s="14">
        <f t="shared" si="8"/>
        <v>96.739130434782624</v>
      </c>
      <c r="R155" s="14">
        <f t="shared" si="9"/>
        <v>101.0204081632653</v>
      </c>
      <c r="S155" s="2">
        <v>187455.31820223358</v>
      </c>
      <c r="T155" s="2">
        <v>46661.567826338636</v>
      </c>
      <c r="U155" s="2">
        <v>113840.13239053542</v>
      </c>
      <c r="V155" s="2">
        <v>21906.631172683825</v>
      </c>
      <c r="W155" s="2">
        <v>5046.9868126756801</v>
      </c>
      <c r="X155" s="2">
        <v>5427.8911515118407</v>
      </c>
      <c r="Y155" s="2">
        <v>18151.295490067965</v>
      </c>
      <c r="Z155" s="2">
        <v>7650.793789551537</v>
      </c>
      <c r="AA155" s="2">
        <v>2814.8585114324751</v>
      </c>
      <c r="AB155" s="2">
        <v>5938.1828288254337</v>
      </c>
      <c r="AC155" s="2">
        <v>22</v>
      </c>
      <c r="AD155" s="2">
        <v>897.4</v>
      </c>
      <c r="AE155" s="24"/>
    </row>
    <row r="156" spans="1:31">
      <c r="A156" s="1">
        <v>2021</v>
      </c>
      <c r="B156" s="9" t="s">
        <v>47</v>
      </c>
      <c r="C156" s="1" t="s">
        <v>150</v>
      </c>
      <c r="D156" s="10">
        <v>46.5</v>
      </c>
      <c r="E156" s="1">
        <v>46</v>
      </c>
      <c r="F156" s="10">
        <v>10.5</v>
      </c>
      <c r="G156" s="1">
        <v>45</v>
      </c>
      <c r="H156" s="10">
        <v>35.1</v>
      </c>
      <c r="I156" s="1">
        <v>12</v>
      </c>
      <c r="J156" s="10">
        <v>11.6</v>
      </c>
      <c r="K156" s="1">
        <v>10</v>
      </c>
      <c r="L156" s="10">
        <v>79.7</v>
      </c>
      <c r="M156" s="1">
        <v>30</v>
      </c>
      <c r="N156" s="14">
        <f t="shared" si="5"/>
        <v>111.51079136690647</v>
      </c>
      <c r="O156" s="14">
        <f t="shared" si="6"/>
        <v>117.97752808988764</v>
      </c>
      <c r="P156" s="14">
        <f t="shared" si="7"/>
        <v>110.72555205047318</v>
      </c>
      <c r="Q156" s="14">
        <f t="shared" si="8"/>
        <v>113.72549019607843</v>
      </c>
      <c r="R156" s="14">
        <f t="shared" si="9"/>
        <v>100.8860759493671</v>
      </c>
      <c r="S156" s="2">
        <v>197032.73260335045</v>
      </c>
      <c r="T156" s="2">
        <v>50771.297313446899</v>
      </c>
      <c r="U156" s="2">
        <v>119479.4854642495</v>
      </c>
      <c r="V156" s="2">
        <v>22132.834539949876</v>
      </c>
      <c r="W156" s="2">
        <v>4649.1152857041798</v>
      </c>
      <c r="X156" s="2">
        <v>6433.8469822600546</v>
      </c>
      <c r="Y156" s="2">
        <v>21894.634596874603</v>
      </c>
      <c r="Z156" s="2">
        <v>9262.0728972527686</v>
      </c>
      <c r="AA156" s="2">
        <v>3313.9760964371553</v>
      </c>
      <c r="AB156" s="2">
        <v>7271.8544940126703</v>
      </c>
      <c r="AC156" s="2">
        <v>22.6</v>
      </c>
      <c r="AD156" s="2">
        <v>800</v>
      </c>
      <c r="AE156" s="24"/>
    </row>
    <row r="157" spans="1:31">
      <c r="A157" s="1">
        <v>2021</v>
      </c>
      <c r="B157" s="9" t="s">
        <v>49</v>
      </c>
      <c r="C157" s="1" t="s">
        <v>151</v>
      </c>
      <c r="D157" s="10">
        <v>67.5</v>
      </c>
      <c r="E157" s="1">
        <v>3</v>
      </c>
      <c r="F157" s="10">
        <v>21.9</v>
      </c>
      <c r="G157" s="1">
        <v>18</v>
      </c>
      <c r="H157" s="10">
        <v>34.9</v>
      </c>
      <c r="I157" s="1">
        <v>21</v>
      </c>
      <c r="J157" s="10">
        <v>11.5</v>
      </c>
      <c r="K157" s="1">
        <v>13</v>
      </c>
      <c r="L157" s="10">
        <v>81.900000000000006</v>
      </c>
      <c r="M157" s="1">
        <v>15</v>
      </c>
      <c r="N157" s="14">
        <f t="shared" si="5"/>
        <v>103.52760736196318</v>
      </c>
      <c r="O157" s="14">
        <f t="shared" si="6"/>
        <v>125.14285714285714</v>
      </c>
      <c r="P157" s="14">
        <f t="shared" si="7"/>
        <v>105.4380664652568</v>
      </c>
      <c r="Q157" s="14">
        <f t="shared" si="8"/>
        <v>103.60360360360362</v>
      </c>
      <c r="R157" s="14">
        <f t="shared" si="9"/>
        <v>100.49079754601226</v>
      </c>
      <c r="S157" s="2">
        <v>179616.25681622361</v>
      </c>
      <c r="T157" s="2">
        <v>47157.68160351328</v>
      </c>
      <c r="U157" s="2">
        <v>108914.26578945403</v>
      </c>
      <c r="V157" s="2">
        <v>19839.964478033311</v>
      </c>
      <c r="W157" s="2">
        <v>3704.3449452229988</v>
      </c>
      <c r="X157" s="2">
        <v>4959.3543599365657</v>
      </c>
      <c r="Y157" s="2">
        <v>20601.895331066731</v>
      </c>
      <c r="Z157" s="2">
        <v>8931.7805193485001</v>
      </c>
      <c r="AA157" s="2">
        <v>3639.805836000628</v>
      </c>
      <c r="AB157" s="2">
        <v>6228.127709665082</v>
      </c>
      <c r="AC157" s="2">
        <v>29.3</v>
      </c>
      <c r="AD157" s="2">
        <v>1222.8</v>
      </c>
      <c r="AE157" s="24"/>
    </row>
    <row r="158" spans="1:31">
      <c r="A158" s="1">
        <v>2021</v>
      </c>
      <c r="B158" s="9" t="s">
        <v>51</v>
      </c>
      <c r="C158" s="1" t="s">
        <v>152</v>
      </c>
      <c r="D158" s="10">
        <v>69.099999999999994</v>
      </c>
      <c r="E158" s="1">
        <v>2</v>
      </c>
      <c r="F158" s="10">
        <v>33.1</v>
      </c>
      <c r="G158" s="1">
        <v>4</v>
      </c>
      <c r="H158" s="10">
        <v>33.700000000000003</v>
      </c>
      <c r="I158" s="1">
        <v>40</v>
      </c>
      <c r="J158" s="10">
        <v>13</v>
      </c>
      <c r="K158" s="1">
        <v>4</v>
      </c>
      <c r="L158" s="10">
        <v>81.099999999999994</v>
      </c>
      <c r="M158" s="1">
        <v>22</v>
      </c>
      <c r="N158" s="14">
        <f t="shared" si="5"/>
        <v>102.82738095238093</v>
      </c>
      <c r="O158" s="14">
        <f t="shared" si="6"/>
        <v>119.92753623188406</v>
      </c>
      <c r="P158" s="14">
        <f t="shared" si="7"/>
        <v>106.64556962025318</v>
      </c>
      <c r="Q158" s="14">
        <f t="shared" si="8"/>
        <v>81.76100628930817</v>
      </c>
      <c r="R158" s="14">
        <f t="shared" si="9"/>
        <v>100.37128712871286</v>
      </c>
      <c r="S158" s="2">
        <v>182297.11008330926</v>
      </c>
      <c r="T158" s="2">
        <v>50975.347158424593</v>
      </c>
      <c r="U158" s="2">
        <v>107654.07880474659</v>
      </c>
      <c r="V158" s="2">
        <v>19243.020811625014</v>
      </c>
      <c r="W158" s="2">
        <v>4424.6633085130889</v>
      </c>
      <c r="X158" s="2">
        <v>5253.8028043963741</v>
      </c>
      <c r="Y158" s="2">
        <v>21029.263047003424</v>
      </c>
      <c r="Z158" s="2">
        <v>8956.1083279794748</v>
      </c>
      <c r="AA158" s="2">
        <v>3082.0547068159085</v>
      </c>
      <c r="AB158" s="2">
        <v>7123.0816735126255</v>
      </c>
      <c r="AC158" s="2">
        <v>30.1</v>
      </c>
      <c r="AD158" s="2">
        <v>1474</v>
      </c>
      <c r="AE158" s="24"/>
    </row>
    <row r="159" spans="1:31">
      <c r="A159" s="1">
        <v>2021</v>
      </c>
      <c r="B159" s="9" t="s">
        <v>53</v>
      </c>
      <c r="C159" s="1" t="s">
        <v>153</v>
      </c>
      <c r="D159" s="10">
        <v>65.400000000000006</v>
      </c>
      <c r="E159" s="1">
        <v>5</v>
      </c>
      <c r="F159" s="10">
        <v>22.5</v>
      </c>
      <c r="G159" s="1">
        <v>17</v>
      </c>
      <c r="H159" s="10">
        <v>35.1</v>
      </c>
      <c r="I159" s="1">
        <v>15</v>
      </c>
      <c r="J159" s="10">
        <v>12.3</v>
      </c>
      <c r="K159" s="1">
        <v>6</v>
      </c>
      <c r="L159" s="10">
        <v>80</v>
      </c>
      <c r="M159" s="1">
        <v>28</v>
      </c>
      <c r="N159" s="14">
        <f t="shared" si="5"/>
        <v>107.03764320785598</v>
      </c>
      <c r="O159" s="14">
        <f t="shared" si="6"/>
        <v>146.10389610389609</v>
      </c>
      <c r="P159" s="14">
        <f t="shared" si="7"/>
        <v>113.22580645161291</v>
      </c>
      <c r="Q159" s="14">
        <f t="shared" si="8"/>
        <v>93.893129770992374</v>
      </c>
      <c r="R159" s="14">
        <f t="shared" si="9"/>
        <v>100.62893081761007</v>
      </c>
      <c r="S159" s="2">
        <v>189766.62120727726</v>
      </c>
      <c r="T159" s="2">
        <v>54095.017278716536</v>
      </c>
      <c r="U159" s="2">
        <v>112509.47777400067</v>
      </c>
      <c r="V159" s="2">
        <v>18582.270460030941</v>
      </c>
      <c r="W159" s="2">
        <v>4579.8556945291084</v>
      </c>
      <c r="X159" s="2">
        <v>6368.2674886740178</v>
      </c>
      <c r="Y159" s="2">
        <v>21375.061212145738</v>
      </c>
      <c r="Z159" s="2">
        <v>8433.0106343818006</v>
      </c>
      <c r="AA159" s="2">
        <v>3281.9993236739624</v>
      </c>
      <c r="AB159" s="2">
        <v>7641.5098340097175</v>
      </c>
      <c r="AC159" s="2">
        <v>30.5</v>
      </c>
      <c r="AD159" s="2">
        <v>1485.3</v>
      </c>
      <c r="AE159" s="24"/>
    </row>
    <row r="160" spans="1:31">
      <c r="A160" s="1">
        <v>2021</v>
      </c>
      <c r="B160" s="9" t="s">
        <v>55</v>
      </c>
      <c r="C160" s="1" t="s">
        <v>154</v>
      </c>
      <c r="D160" s="10">
        <v>64.2</v>
      </c>
      <c r="E160" s="1">
        <v>8</v>
      </c>
      <c r="F160" s="10">
        <v>20.8</v>
      </c>
      <c r="G160" s="1">
        <v>21</v>
      </c>
      <c r="H160" s="10">
        <v>35.200000000000003</v>
      </c>
      <c r="I160" s="1">
        <v>10</v>
      </c>
      <c r="J160" s="10">
        <v>13.9</v>
      </c>
      <c r="K160" s="1">
        <v>2</v>
      </c>
      <c r="L160" s="10">
        <v>79.3</v>
      </c>
      <c r="M160" s="1">
        <v>34</v>
      </c>
      <c r="N160" s="14">
        <f t="shared" si="5"/>
        <v>110.12006861063466</v>
      </c>
      <c r="O160" s="14">
        <f t="shared" si="6"/>
        <v>122.35294117647059</v>
      </c>
      <c r="P160" s="14">
        <f t="shared" si="7"/>
        <v>107.64525993883791</v>
      </c>
      <c r="Q160" s="14">
        <f t="shared" si="8"/>
        <v>100</v>
      </c>
      <c r="R160" s="14">
        <f t="shared" si="9"/>
        <v>100.25284450063212</v>
      </c>
      <c r="S160" s="2">
        <v>194930.49746844184</v>
      </c>
      <c r="T160" s="2">
        <v>58282.921336337815</v>
      </c>
      <c r="U160" s="2">
        <v>113028.54650109916</v>
      </c>
      <c r="V160" s="2">
        <v>18778.816812879235</v>
      </c>
      <c r="W160" s="2">
        <v>4840.2128181256467</v>
      </c>
      <c r="X160" s="2">
        <v>6841.3780467956631</v>
      </c>
      <c r="Y160" s="2">
        <v>22594.763971075354</v>
      </c>
      <c r="Z160" s="2">
        <v>9906.3824073840606</v>
      </c>
      <c r="AA160" s="2">
        <v>3393.8977580993806</v>
      </c>
      <c r="AB160" s="2">
        <v>7393.0422379348856</v>
      </c>
      <c r="AC160" s="2">
        <v>27.3</v>
      </c>
      <c r="AD160" s="2">
        <v>1348.6</v>
      </c>
      <c r="AE160" s="24"/>
    </row>
    <row r="161" spans="1:31">
      <c r="A161" s="1">
        <v>2021</v>
      </c>
      <c r="B161" s="9" t="s">
        <v>57</v>
      </c>
      <c r="C161" s="1" t="s">
        <v>155</v>
      </c>
      <c r="D161" s="10">
        <v>64.5</v>
      </c>
      <c r="E161" s="1">
        <v>7</v>
      </c>
      <c r="F161" s="10">
        <v>21</v>
      </c>
      <c r="G161" s="1">
        <v>20</v>
      </c>
      <c r="H161" s="10">
        <v>33.4</v>
      </c>
      <c r="I161" s="1">
        <v>44</v>
      </c>
      <c r="J161" s="10">
        <v>10.4</v>
      </c>
      <c r="K161" s="1">
        <v>21</v>
      </c>
      <c r="L161" s="10">
        <v>79.900000000000006</v>
      </c>
      <c r="M161" s="1">
        <v>29</v>
      </c>
      <c r="N161" s="14">
        <f t="shared" si="5"/>
        <v>102.54372019077903</v>
      </c>
      <c r="O161" s="14">
        <f t="shared" si="6"/>
        <v>129.62962962962962</v>
      </c>
      <c r="P161" s="14">
        <f t="shared" si="7"/>
        <v>105.69620253164555</v>
      </c>
      <c r="Q161" s="14">
        <f t="shared" si="8"/>
        <v>98.113207547169822</v>
      </c>
      <c r="R161" s="14">
        <f t="shared" si="9"/>
        <v>101.26742712294043</v>
      </c>
      <c r="S161" s="2">
        <v>191443.46399855166</v>
      </c>
      <c r="T161" s="2">
        <v>51897.327384510631</v>
      </c>
      <c r="U161" s="2">
        <v>114203.19395563719</v>
      </c>
      <c r="V161" s="2">
        <v>20708.321727322753</v>
      </c>
      <c r="W161" s="2">
        <v>4634.6209310810882</v>
      </c>
      <c r="X161" s="2">
        <v>5232.9287526870658</v>
      </c>
      <c r="Y161" s="2">
        <v>22279.55855209244</v>
      </c>
      <c r="Z161" s="2">
        <v>9813.3297796111601</v>
      </c>
      <c r="AA161" s="2">
        <v>3156.2841796681691</v>
      </c>
      <c r="AB161" s="2">
        <v>7396.7437020732459</v>
      </c>
      <c r="AC161" s="2">
        <v>29</v>
      </c>
      <c r="AD161" s="2">
        <v>1323.5</v>
      </c>
      <c r="AE161" s="24"/>
    </row>
    <row r="162" spans="1:31">
      <c r="A162" s="1">
        <v>2021</v>
      </c>
      <c r="B162" s="9" t="s">
        <v>59</v>
      </c>
      <c r="C162" s="1" t="s">
        <v>156</v>
      </c>
      <c r="D162" s="10">
        <v>61.4</v>
      </c>
      <c r="E162" s="1">
        <v>13</v>
      </c>
      <c r="F162" s="10">
        <v>29.8</v>
      </c>
      <c r="G162" s="1">
        <v>6</v>
      </c>
      <c r="H162" s="10">
        <v>35.200000000000003</v>
      </c>
      <c r="I162" s="1">
        <v>11</v>
      </c>
      <c r="J162" s="10">
        <v>10.4</v>
      </c>
      <c r="K162" s="1">
        <v>22</v>
      </c>
      <c r="L162" s="10">
        <v>81.7</v>
      </c>
      <c r="M162" s="1">
        <v>17</v>
      </c>
      <c r="N162" s="14">
        <f t="shared" si="5"/>
        <v>104.42176870748298</v>
      </c>
      <c r="O162" s="14">
        <f t="shared" si="6"/>
        <v>159.35828877005349</v>
      </c>
      <c r="P162" s="14">
        <f t="shared" si="7"/>
        <v>108.97832817337462</v>
      </c>
      <c r="Q162" s="14">
        <f t="shared" si="8"/>
        <v>105.05050505050507</v>
      </c>
      <c r="R162" s="14">
        <f t="shared" si="9"/>
        <v>100.61576354679802</v>
      </c>
      <c r="S162" s="2">
        <v>181814.61623640591</v>
      </c>
      <c r="T162" s="2">
        <v>50584.697535780062</v>
      </c>
      <c r="U162" s="2">
        <v>107446.74986118844</v>
      </c>
      <c r="V162" s="2">
        <v>19480.553862573121</v>
      </c>
      <c r="W162" s="2">
        <v>4302.6149768642754</v>
      </c>
      <c r="X162" s="2">
        <v>5594.7157447027148</v>
      </c>
      <c r="Y162" s="2">
        <v>20221.08058736557</v>
      </c>
      <c r="Z162" s="2">
        <v>8562.9609937356126</v>
      </c>
      <c r="AA162" s="2">
        <v>3400.9876342110019</v>
      </c>
      <c r="AB162" s="2">
        <v>6402.4032140694262</v>
      </c>
      <c r="AC162" s="2">
        <v>23.6</v>
      </c>
      <c r="AD162" s="2">
        <v>1137.2</v>
      </c>
      <c r="AE162" s="24"/>
    </row>
    <row r="163" spans="1:31">
      <c r="A163" s="1">
        <v>2021</v>
      </c>
      <c r="B163" s="9" t="s">
        <v>61</v>
      </c>
      <c r="C163" s="1" t="s">
        <v>157</v>
      </c>
      <c r="D163" s="10">
        <v>63.4</v>
      </c>
      <c r="E163" s="1">
        <v>9</v>
      </c>
      <c r="F163" s="10">
        <v>26</v>
      </c>
      <c r="G163" s="1">
        <v>13</v>
      </c>
      <c r="H163" s="10">
        <v>36.1</v>
      </c>
      <c r="I163" s="1">
        <v>2</v>
      </c>
      <c r="J163" s="10">
        <v>11.7</v>
      </c>
      <c r="K163" s="1">
        <v>9</v>
      </c>
      <c r="L163" s="10">
        <v>79.099999999999994</v>
      </c>
      <c r="M163" s="1">
        <v>38</v>
      </c>
      <c r="N163" s="14">
        <f t="shared" si="5"/>
        <v>112.01413427561837</v>
      </c>
      <c r="O163" s="14">
        <f t="shared" si="6"/>
        <v>119.26605504587155</v>
      </c>
      <c r="P163" s="14">
        <f t="shared" si="7"/>
        <v>108.73493975903614</v>
      </c>
      <c r="Q163" s="14">
        <f t="shared" si="8"/>
        <v>131.46067415730334</v>
      </c>
      <c r="R163" s="14">
        <f t="shared" si="9"/>
        <v>101.54043645699613</v>
      </c>
      <c r="S163" s="2">
        <v>189228.63587666443</v>
      </c>
      <c r="T163" s="2">
        <v>48953.428848538097</v>
      </c>
      <c r="U163" s="2">
        <v>112625.12578712053</v>
      </c>
      <c r="V163" s="2">
        <v>22698.676499581215</v>
      </c>
      <c r="W163" s="2">
        <v>4951.404741424577</v>
      </c>
      <c r="X163" s="2">
        <v>5534.9187243056995</v>
      </c>
      <c r="Y163" s="2">
        <v>22074.475112767144</v>
      </c>
      <c r="Z163" s="2">
        <v>9704.2981577509381</v>
      </c>
      <c r="AA163" s="2">
        <v>3551.0551539441722</v>
      </c>
      <c r="AB163" s="2">
        <v>6941.4524128659741</v>
      </c>
      <c r="AC163" s="2">
        <v>23.9</v>
      </c>
      <c r="AD163" s="2">
        <v>996.5</v>
      </c>
      <c r="AE163" s="24"/>
    </row>
    <row r="164" spans="1:31">
      <c r="A164" s="1">
        <v>2021</v>
      </c>
      <c r="B164" s="9" t="s">
        <v>63</v>
      </c>
      <c r="C164" s="1" t="s">
        <v>158</v>
      </c>
      <c r="D164" s="10">
        <v>56.5</v>
      </c>
      <c r="E164" s="1">
        <v>25</v>
      </c>
      <c r="F164" s="10">
        <v>16.7</v>
      </c>
      <c r="G164" s="1">
        <v>33</v>
      </c>
      <c r="H164" s="10">
        <v>35.5</v>
      </c>
      <c r="I164" s="1">
        <v>7</v>
      </c>
      <c r="J164" s="10">
        <v>12.3</v>
      </c>
      <c r="K164" s="1">
        <v>5</v>
      </c>
      <c r="L164" s="10">
        <v>81.2</v>
      </c>
      <c r="M164" s="1">
        <v>20</v>
      </c>
      <c r="N164" s="14">
        <f t="shared" si="5"/>
        <v>103.47985347985346</v>
      </c>
      <c r="O164" s="14">
        <f t="shared" si="6"/>
        <v>107.05128205128204</v>
      </c>
      <c r="P164" s="14">
        <f t="shared" si="7"/>
        <v>105.97014925373134</v>
      </c>
      <c r="Q164" s="14">
        <f t="shared" si="8"/>
        <v>117.14285714285715</v>
      </c>
      <c r="R164" s="14">
        <f t="shared" si="9"/>
        <v>100.99502487562188</v>
      </c>
      <c r="S164" s="2">
        <v>186607.23975035688</v>
      </c>
      <c r="T164" s="2">
        <v>47702.525798044873</v>
      </c>
      <c r="U164" s="2">
        <v>115414.51290277726</v>
      </c>
      <c r="V164" s="2">
        <v>19704.120003120137</v>
      </c>
      <c r="W164" s="2">
        <v>3786.0810464146057</v>
      </c>
      <c r="X164" s="2">
        <v>5934.1146010223765</v>
      </c>
      <c r="Y164" s="2">
        <v>21632.81021979998</v>
      </c>
      <c r="Z164" s="2">
        <v>8986.1547020294929</v>
      </c>
      <c r="AA164" s="2">
        <v>3590.8386874501302</v>
      </c>
      <c r="AB164" s="2">
        <v>7109.4625318735916</v>
      </c>
      <c r="AC164" s="2">
        <v>26.2</v>
      </c>
      <c r="AD164" s="2">
        <v>1009.8</v>
      </c>
      <c r="AE164" s="24"/>
    </row>
    <row r="165" spans="1:31">
      <c r="A165" s="1">
        <v>2021</v>
      </c>
      <c r="B165" s="9" t="s">
        <v>65</v>
      </c>
      <c r="C165" s="1" t="s">
        <v>159</v>
      </c>
      <c r="D165" s="10">
        <v>53.1</v>
      </c>
      <c r="E165" s="1">
        <v>39</v>
      </c>
      <c r="F165" s="10">
        <v>13.6</v>
      </c>
      <c r="G165" s="1">
        <v>41</v>
      </c>
      <c r="H165" s="10">
        <v>34.700000000000003</v>
      </c>
      <c r="I165" s="1">
        <v>27</v>
      </c>
      <c r="J165" s="10">
        <v>10.5</v>
      </c>
      <c r="K165" s="1">
        <v>18</v>
      </c>
      <c r="L165" s="10">
        <v>79.5</v>
      </c>
      <c r="M165" s="1">
        <v>33</v>
      </c>
      <c r="N165" s="14">
        <f t="shared" si="5"/>
        <v>106.841046277666</v>
      </c>
      <c r="O165" s="14">
        <f t="shared" si="6"/>
        <v>121.42857142857144</v>
      </c>
      <c r="P165" s="14">
        <f t="shared" si="7"/>
        <v>109.11949685534591</v>
      </c>
      <c r="Q165" s="14">
        <f t="shared" si="8"/>
        <v>107.14285714285714</v>
      </c>
      <c r="R165" s="14">
        <f t="shared" si="9"/>
        <v>101.53256704980845</v>
      </c>
      <c r="S165" s="2">
        <v>186268.2521704449</v>
      </c>
      <c r="T165" s="2">
        <v>45083.558970841834</v>
      </c>
      <c r="U165" s="2">
        <v>113564.68449623011</v>
      </c>
      <c r="V165" s="2">
        <v>23153.236031348351</v>
      </c>
      <c r="W165" s="2">
        <v>4466.7726720246264</v>
      </c>
      <c r="X165" s="2">
        <v>5340.3936388530574</v>
      </c>
      <c r="Y165" s="2">
        <v>20202.226247906772</v>
      </c>
      <c r="Z165" s="2">
        <v>8386.8043896903928</v>
      </c>
      <c r="AA165" s="2">
        <v>3223.9227235785575</v>
      </c>
      <c r="AB165" s="2">
        <v>6765.8892629784386</v>
      </c>
      <c r="AC165" s="2">
        <v>22.8</v>
      </c>
      <c r="AD165" s="2">
        <v>878.7</v>
      </c>
      <c r="AE165" s="24"/>
    </row>
    <row r="166" spans="1:31">
      <c r="A166" s="1">
        <v>2021</v>
      </c>
      <c r="B166" s="9" t="s">
        <v>67</v>
      </c>
      <c r="C166" s="1" t="s">
        <v>160</v>
      </c>
      <c r="D166" s="10">
        <v>60.4</v>
      </c>
      <c r="E166" s="1">
        <v>16</v>
      </c>
      <c r="F166" s="10">
        <v>18.399999999999999</v>
      </c>
      <c r="G166" s="1">
        <v>27</v>
      </c>
      <c r="H166" s="10">
        <v>33.799999999999997</v>
      </c>
      <c r="I166" s="1">
        <v>39</v>
      </c>
      <c r="J166" s="10">
        <v>10.3</v>
      </c>
      <c r="K166" s="1">
        <v>24</v>
      </c>
      <c r="L166" s="10">
        <v>79.099999999999994</v>
      </c>
      <c r="M166" s="1">
        <v>37</v>
      </c>
      <c r="N166" s="14">
        <f t="shared" si="5"/>
        <v>104.67937608318888</v>
      </c>
      <c r="O166" s="14">
        <f t="shared" si="6"/>
        <v>127.77777777777777</v>
      </c>
      <c r="P166" s="14">
        <f t="shared" si="7"/>
        <v>104.32098765432099</v>
      </c>
      <c r="Q166" s="14">
        <f t="shared" si="8"/>
        <v>107.29166666666667</v>
      </c>
      <c r="R166" s="14">
        <f t="shared" si="9"/>
        <v>101.02171136653895</v>
      </c>
      <c r="S166" s="2">
        <v>187605.42564312383</v>
      </c>
      <c r="T166" s="2">
        <v>49115.578278615896</v>
      </c>
      <c r="U166" s="2">
        <v>113506.57188201908</v>
      </c>
      <c r="V166" s="2">
        <v>20814.386177141259</v>
      </c>
      <c r="W166" s="2">
        <v>4168.8893053475913</v>
      </c>
      <c r="X166" s="2">
        <v>5936.4357047557814</v>
      </c>
      <c r="Y166" s="2">
        <v>22130.259824558583</v>
      </c>
      <c r="Z166" s="2">
        <v>9101.8016188960082</v>
      </c>
      <c r="AA166" s="2">
        <v>3562.4640179102744</v>
      </c>
      <c r="AB166" s="2">
        <v>7533.739192641402</v>
      </c>
      <c r="AC166" s="2">
        <v>27.3</v>
      </c>
      <c r="AD166" s="2">
        <v>1102.0999999999999</v>
      </c>
      <c r="AE166" s="24"/>
    </row>
    <row r="167" spans="1:31">
      <c r="A167" s="1">
        <v>2021</v>
      </c>
      <c r="B167" s="9" t="s">
        <v>69</v>
      </c>
      <c r="C167" s="1" t="s">
        <v>161</v>
      </c>
      <c r="D167" s="10">
        <v>62.2</v>
      </c>
      <c r="E167" s="1">
        <v>10</v>
      </c>
      <c r="F167" s="10">
        <v>20.100000000000001</v>
      </c>
      <c r="G167" s="1">
        <v>23</v>
      </c>
      <c r="H167" s="10">
        <v>34.9</v>
      </c>
      <c r="I167" s="1">
        <v>20</v>
      </c>
      <c r="J167" s="10">
        <v>9.1</v>
      </c>
      <c r="K167" s="1">
        <v>39</v>
      </c>
      <c r="L167" s="10">
        <v>80.7</v>
      </c>
      <c r="M167" s="1">
        <v>23</v>
      </c>
      <c r="N167" s="14">
        <f t="shared" si="5"/>
        <v>109.12280701754386</v>
      </c>
      <c r="O167" s="14">
        <f t="shared" si="6"/>
        <v>101.51515151515152</v>
      </c>
      <c r="P167" s="14">
        <f t="shared" si="7"/>
        <v>102.94985250737463</v>
      </c>
      <c r="Q167" s="14">
        <f t="shared" si="8"/>
        <v>83.486238532110093</v>
      </c>
      <c r="R167" s="14">
        <f t="shared" si="9"/>
        <v>100.49813200498133</v>
      </c>
      <c r="S167" s="2">
        <v>182745.69840647595</v>
      </c>
      <c r="T167" s="2">
        <v>50331.291104230317</v>
      </c>
      <c r="U167" s="2">
        <v>108187.38251398776</v>
      </c>
      <c r="V167" s="2">
        <v>19522.529721664039</v>
      </c>
      <c r="W167" s="2">
        <v>4704.4950665938377</v>
      </c>
      <c r="X167" s="2">
        <v>5998.2747428417761</v>
      </c>
      <c r="Y167" s="2">
        <v>20445.13441027288</v>
      </c>
      <c r="Z167" s="2">
        <v>8783.6036606295838</v>
      </c>
      <c r="AA167" s="2">
        <v>3093.4522312257668</v>
      </c>
      <c r="AB167" s="2">
        <v>6681.8500435133365</v>
      </c>
      <c r="AC167" s="2">
        <v>23.9</v>
      </c>
      <c r="AD167" s="2">
        <v>982.5</v>
      </c>
      <c r="AE167" s="24"/>
    </row>
    <row r="168" spans="1:31">
      <c r="A168" s="1">
        <v>2021</v>
      </c>
      <c r="B168" s="9" t="s">
        <v>71</v>
      </c>
      <c r="C168" s="1" t="s">
        <v>162</v>
      </c>
      <c r="D168" s="10">
        <v>58.6</v>
      </c>
      <c r="E168" s="1">
        <v>19</v>
      </c>
      <c r="F168" s="10">
        <v>17.600000000000001</v>
      </c>
      <c r="G168" s="1">
        <v>31</v>
      </c>
      <c r="H168" s="10">
        <v>36.1</v>
      </c>
      <c r="I168" s="1">
        <v>3</v>
      </c>
      <c r="J168" s="10">
        <v>9.5</v>
      </c>
      <c r="K168" s="1">
        <v>29</v>
      </c>
      <c r="L168" s="10">
        <v>76.900000000000006</v>
      </c>
      <c r="M168" s="1">
        <v>43</v>
      </c>
      <c r="N168" s="14">
        <f t="shared" si="5"/>
        <v>104.83005366726297</v>
      </c>
      <c r="O168" s="14">
        <f t="shared" si="6"/>
        <v>155.75221238938053</v>
      </c>
      <c r="P168" s="14">
        <f t="shared" si="7"/>
        <v>107.12166172106825</v>
      </c>
      <c r="Q168" s="14">
        <f t="shared" si="8"/>
        <v>106.74157303370787</v>
      </c>
      <c r="R168" s="14">
        <f t="shared" si="9"/>
        <v>101.05124835742446</v>
      </c>
      <c r="S168" s="2">
        <v>193793.01182564491</v>
      </c>
      <c r="T168" s="2">
        <v>52378.915450630528</v>
      </c>
      <c r="U168" s="2">
        <v>113871.16439021489</v>
      </c>
      <c r="V168" s="2">
        <v>21437.920173461636</v>
      </c>
      <c r="W168" s="2">
        <v>6105.0118113378448</v>
      </c>
      <c r="X168" s="2">
        <v>6033.8943138529103</v>
      </c>
      <c r="Y168" s="2">
        <v>18275.362436888994</v>
      </c>
      <c r="Z168" s="2">
        <v>7485.7333750622229</v>
      </c>
      <c r="AA168" s="2">
        <v>3156.3509313510308</v>
      </c>
      <c r="AB168" s="2">
        <v>5633.5386015013391</v>
      </c>
      <c r="AC168" s="2">
        <v>25.8</v>
      </c>
      <c r="AD168" s="2">
        <v>1265.3</v>
      </c>
      <c r="AE168" s="24"/>
    </row>
    <row r="169" spans="1:31">
      <c r="A169" s="1">
        <v>2021</v>
      </c>
      <c r="B169" s="9" t="s">
        <v>73</v>
      </c>
      <c r="C169" s="1" t="s">
        <v>163</v>
      </c>
      <c r="D169" s="10">
        <v>46.8</v>
      </c>
      <c r="E169" s="1">
        <v>45</v>
      </c>
      <c r="F169" s="10">
        <v>12.6</v>
      </c>
      <c r="G169" s="1">
        <v>42</v>
      </c>
      <c r="H169" s="10">
        <v>35.5</v>
      </c>
      <c r="I169" s="1">
        <v>8</v>
      </c>
      <c r="J169" s="10">
        <v>9.5</v>
      </c>
      <c r="K169" s="1">
        <v>28</v>
      </c>
      <c r="L169" s="10">
        <v>77.400000000000006</v>
      </c>
      <c r="M169" s="1">
        <v>41</v>
      </c>
      <c r="N169" s="14">
        <f t="shared" si="5"/>
        <v>109.34579439252336</v>
      </c>
      <c r="O169" s="14">
        <f t="shared" si="6"/>
        <v>107.69230769230769</v>
      </c>
      <c r="P169" s="14">
        <f t="shared" si="7"/>
        <v>107.90273556231003</v>
      </c>
      <c r="Q169" s="14">
        <f t="shared" si="8"/>
        <v>93.137254901960787</v>
      </c>
      <c r="R169" s="14">
        <f t="shared" si="9"/>
        <v>101.30890052356021</v>
      </c>
      <c r="S169" s="2">
        <v>198436.29911134421</v>
      </c>
      <c r="T169" s="2">
        <v>51047.620375138678</v>
      </c>
      <c r="U169" s="2">
        <v>115474.41156048352</v>
      </c>
      <c r="V169" s="2">
        <v>24524.727631104583</v>
      </c>
      <c r="W169" s="2">
        <v>7389.5395446174243</v>
      </c>
      <c r="X169" s="2">
        <v>5648.3037335202198</v>
      </c>
      <c r="Y169" s="2">
        <v>19671.058461297318</v>
      </c>
      <c r="Z169" s="2">
        <v>8428.4967063670028</v>
      </c>
      <c r="AA169" s="2">
        <v>3152.5280983456587</v>
      </c>
      <c r="AB169" s="2">
        <v>6310.4249579455927</v>
      </c>
      <c r="AC169" s="2">
        <v>25.3</v>
      </c>
      <c r="AD169" s="2">
        <v>1181.9000000000001</v>
      </c>
      <c r="AE169" s="24"/>
    </row>
    <row r="170" spans="1:31">
      <c r="A170" s="1">
        <v>2021</v>
      </c>
      <c r="B170" s="9" t="s">
        <v>75</v>
      </c>
      <c r="C170" s="1" t="s">
        <v>164</v>
      </c>
      <c r="D170" s="10">
        <v>54</v>
      </c>
      <c r="E170" s="1">
        <v>37</v>
      </c>
      <c r="F170" s="10">
        <v>15.9</v>
      </c>
      <c r="G170" s="1">
        <v>36</v>
      </c>
      <c r="H170" s="10">
        <v>34.700000000000003</v>
      </c>
      <c r="I170" s="1">
        <v>26</v>
      </c>
      <c r="J170" s="10">
        <v>10</v>
      </c>
      <c r="K170" s="1">
        <v>25</v>
      </c>
      <c r="L170" s="10">
        <v>79.7</v>
      </c>
      <c r="M170" s="1">
        <v>31</v>
      </c>
      <c r="N170" s="14">
        <f t="shared" si="5"/>
        <v>109.97963340122199</v>
      </c>
      <c r="O170" s="14">
        <f t="shared" si="6"/>
        <v>138.2608695652174</v>
      </c>
      <c r="P170" s="14">
        <f t="shared" si="7"/>
        <v>106.44171779141105</v>
      </c>
      <c r="Q170" s="14">
        <f t="shared" si="8"/>
        <v>94.339622641509436</v>
      </c>
      <c r="R170" s="14">
        <f t="shared" si="9"/>
        <v>101.01394169835234</v>
      </c>
      <c r="S170" s="2">
        <v>199942.74121024535</v>
      </c>
      <c r="T170" s="2">
        <v>52493.758511375978</v>
      </c>
      <c r="U170" s="2">
        <v>118685.1729446823</v>
      </c>
      <c r="V170" s="2">
        <v>23347.134639242253</v>
      </c>
      <c r="W170" s="2">
        <v>5416.6751149448155</v>
      </c>
      <c r="X170" s="2">
        <v>6027.6036921466175</v>
      </c>
      <c r="Y170" s="2">
        <v>20978.259271504048</v>
      </c>
      <c r="Z170" s="2">
        <v>8720.1409979538912</v>
      </c>
      <c r="AA170" s="2">
        <v>3416.7548037294723</v>
      </c>
      <c r="AB170" s="2">
        <v>7032.1903712411058</v>
      </c>
      <c r="AC170" s="2">
        <v>26.5</v>
      </c>
      <c r="AD170" s="2">
        <v>1175.3</v>
      </c>
      <c r="AE170" s="24"/>
    </row>
    <row r="171" spans="1:31">
      <c r="A171" s="1">
        <v>2021</v>
      </c>
      <c r="B171" s="9" t="s">
        <v>77</v>
      </c>
      <c r="C171" s="1" t="s">
        <v>165</v>
      </c>
      <c r="D171" s="10">
        <v>54.7</v>
      </c>
      <c r="E171" s="1">
        <v>33</v>
      </c>
      <c r="F171" s="10">
        <v>21.4</v>
      </c>
      <c r="G171" s="1">
        <v>19</v>
      </c>
      <c r="H171" s="10">
        <v>37.200000000000003</v>
      </c>
      <c r="I171" s="1">
        <v>1</v>
      </c>
      <c r="J171" s="10">
        <v>13.7</v>
      </c>
      <c r="K171" s="1">
        <v>3</v>
      </c>
      <c r="L171" s="10">
        <v>75.5</v>
      </c>
      <c r="M171" s="1">
        <v>46</v>
      </c>
      <c r="N171" s="14">
        <f t="shared" si="5"/>
        <v>109.1816367265469</v>
      </c>
      <c r="O171" s="14">
        <f t="shared" si="6"/>
        <v>120.22471910112358</v>
      </c>
      <c r="P171" s="14">
        <f t="shared" si="7"/>
        <v>105.98290598290599</v>
      </c>
      <c r="Q171" s="14">
        <f t="shared" si="8"/>
        <v>122.32142857142858</v>
      </c>
      <c r="R171" s="14">
        <f t="shared" si="9"/>
        <v>102.02702702702702</v>
      </c>
      <c r="S171" s="2">
        <v>197718.85617719358</v>
      </c>
      <c r="T171" s="2">
        <v>54848.362851332779</v>
      </c>
      <c r="U171" s="2">
        <v>116167.49637809236</v>
      </c>
      <c r="V171" s="2">
        <v>20703.619370573171</v>
      </c>
      <c r="W171" s="2">
        <v>5999.3775771952769</v>
      </c>
      <c r="X171" s="2">
        <v>6247.0438504146341</v>
      </c>
      <c r="Y171" s="2">
        <v>21719.868678794606</v>
      </c>
      <c r="Z171" s="2">
        <v>8984.6456133728643</v>
      </c>
      <c r="AA171" s="2">
        <v>3667.1692138236581</v>
      </c>
      <c r="AB171" s="2">
        <v>6959.0046055659404</v>
      </c>
      <c r="AC171" s="2">
        <v>24.9</v>
      </c>
      <c r="AD171" s="2">
        <v>1220</v>
      </c>
      <c r="AE171" s="24"/>
    </row>
    <row r="172" spans="1:31">
      <c r="A172" s="1">
        <v>2021</v>
      </c>
      <c r="B172" s="9" t="s">
        <v>79</v>
      </c>
      <c r="C172" s="1" t="s">
        <v>166</v>
      </c>
      <c r="D172" s="10">
        <v>53.8</v>
      </c>
      <c r="E172" s="1">
        <v>38</v>
      </c>
      <c r="F172" s="10">
        <v>17.899999999999999</v>
      </c>
      <c r="G172" s="1">
        <v>30</v>
      </c>
      <c r="H172" s="10">
        <v>36</v>
      </c>
      <c r="I172" s="1">
        <v>5</v>
      </c>
      <c r="J172" s="10">
        <v>10</v>
      </c>
      <c r="K172" s="1">
        <v>26</v>
      </c>
      <c r="L172" s="10">
        <v>76.2</v>
      </c>
      <c r="M172" s="1">
        <v>45</v>
      </c>
      <c r="N172" s="14">
        <f t="shared" si="5"/>
        <v>108.03212851405624</v>
      </c>
      <c r="O172" s="14">
        <f t="shared" si="6"/>
        <v>130.65693430656935</v>
      </c>
      <c r="P172" s="14">
        <f t="shared" si="7"/>
        <v>103.44827586206897</v>
      </c>
      <c r="Q172" s="14">
        <f t="shared" si="8"/>
        <v>87.719298245614027</v>
      </c>
      <c r="R172" s="14">
        <f t="shared" si="9"/>
        <v>101.8716577540107</v>
      </c>
      <c r="S172" s="2">
        <v>197179.92075310633</v>
      </c>
      <c r="T172" s="2">
        <v>51894.819520822442</v>
      </c>
      <c r="U172" s="2">
        <v>117050.30399827025</v>
      </c>
      <c r="V172" s="2">
        <v>21521.289169560139</v>
      </c>
      <c r="W172" s="2">
        <v>6713.5080644535064</v>
      </c>
      <c r="X172" s="2">
        <v>5566.235913063234</v>
      </c>
      <c r="Y172" s="2">
        <v>22322.76734423605</v>
      </c>
      <c r="Z172" s="2">
        <v>9945.8330866808556</v>
      </c>
      <c r="AA172" s="2">
        <v>3112.1595848603051</v>
      </c>
      <c r="AB172" s="2">
        <v>7213.8369907777706</v>
      </c>
      <c r="AC172" s="2">
        <v>26.9</v>
      </c>
      <c r="AD172" s="2">
        <v>1412</v>
      </c>
      <c r="AE172" s="24"/>
    </row>
    <row r="173" spans="1:31">
      <c r="A173" s="1">
        <v>2021</v>
      </c>
      <c r="B173" s="9" t="s">
        <v>81</v>
      </c>
      <c r="C173" s="1" t="s">
        <v>167</v>
      </c>
      <c r="D173" s="10">
        <v>55.5</v>
      </c>
      <c r="E173" s="1">
        <v>31</v>
      </c>
      <c r="F173" s="10">
        <v>20.399999999999999</v>
      </c>
      <c r="G173" s="1">
        <v>22</v>
      </c>
      <c r="H173" s="10">
        <v>35</v>
      </c>
      <c r="I173" s="1">
        <v>18</v>
      </c>
      <c r="J173" s="10">
        <v>10.9</v>
      </c>
      <c r="K173" s="1">
        <v>16</v>
      </c>
      <c r="L173" s="10">
        <v>81.900000000000006</v>
      </c>
      <c r="M173" s="1">
        <v>16</v>
      </c>
      <c r="N173" s="14">
        <f t="shared" si="5"/>
        <v>111.00000000000001</v>
      </c>
      <c r="O173" s="14">
        <f t="shared" si="6"/>
        <v>129.11392405063287</v>
      </c>
      <c r="P173" s="14">
        <f t="shared" si="7"/>
        <v>107.36196319018406</v>
      </c>
      <c r="Q173" s="14">
        <f t="shared" si="8"/>
        <v>115.95744680851064</v>
      </c>
      <c r="R173" s="14">
        <f t="shared" si="9"/>
        <v>100.86206896551724</v>
      </c>
      <c r="S173" s="2">
        <v>193058.5964786603</v>
      </c>
      <c r="T173" s="2">
        <v>59427.557812803985</v>
      </c>
      <c r="U173" s="2">
        <v>110090.35458081972</v>
      </c>
      <c r="V173" s="2">
        <v>20052.72309368174</v>
      </c>
      <c r="W173" s="2">
        <v>3487.9609913548702</v>
      </c>
      <c r="X173" s="2">
        <v>6538.7345909822616</v>
      </c>
      <c r="Y173" s="2">
        <v>20062.063633609938</v>
      </c>
      <c r="Z173" s="2">
        <v>8946.3856222177146</v>
      </c>
      <c r="AA173" s="2">
        <v>3327.2525370649601</v>
      </c>
      <c r="AB173" s="2">
        <v>6171.2762898344181</v>
      </c>
      <c r="AC173" s="2">
        <v>27.5</v>
      </c>
      <c r="AD173" s="2">
        <v>1514.2</v>
      </c>
      <c r="AE173" s="24"/>
    </row>
    <row r="174" spans="1:31">
      <c r="A174" s="1">
        <v>2021</v>
      </c>
      <c r="B174" s="9" t="s">
        <v>83</v>
      </c>
      <c r="C174" s="1" t="s">
        <v>168</v>
      </c>
      <c r="D174" s="10">
        <v>66.8</v>
      </c>
      <c r="E174" s="1">
        <v>4</v>
      </c>
      <c r="F174" s="10">
        <v>23.5</v>
      </c>
      <c r="G174" s="1">
        <v>16</v>
      </c>
      <c r="H174" s="10">
        <v>34.4</v>
      </c>
      <c r="I174" s="1">
        <v>36</v>
      </c>
      <c r="J174" s="10">
        <v>8</v>
      </c>
      <c r="K174" s="1">
        <v>46</v>
      </c>
      <c r="L174" s="10">
        <v>83.4</v>
      </c>
      <c r="M174" s="1">
        <v>6</v>
      </c>
      <c r="N174" s="14">
        <f t="shared" si="5"/>
        <v>103.08641975308642</v>
      </c>
      <c r="O174" s="14">
        <f t="shared" si="6"/>
        <v>101.29310344827587</v>
      </c>
      <c r="P174" s="14">
        <f t="shared" si="7"/>
        <v>104.8780487804878</v>
      </c>
      <c r="Q174" s="14">
        <f t="shared" si="8"/>
        <v>93.023255813953483</v>
      </c>
      <c r="R174" s="14">
        <f t="shared" si="9"/>
        <v>100.84643288996374</v>
      </c>
      <c r="S174" s="2">
        <v>207243.06699811883</v>
      </c>
      <c r="T174" s="2">
        <v>63645.137013914005</v>
      </c>
      <c r="U174" s="2">
        <v>120446.57817276123</v>
      </c>
      <c r="V174" s="2">
        <v>19734.572252611466</v>
      </c>
      <c r="W174" s="2">
        <v>3416.7795588321078</v>
      </c>
      <c r="X174" s="2">
        <v>6471.6175069652872</v>
      </c>
      <c r="Y174" s="2">
        <v>23669.191108868356</v>
      </c>
      <c r="Z174" s="2">
        <v>10610.17234939377</v>
      </c>
      <c r="AA174" s="2">
        <v>4246.7090812446659</v>
      </c>
      <c r="AB174" s="2">
        <v>6867.2053585086951</v>
      </c>
      <c r="AC174" s="2">
        <v>26.7</v>
      </c>
      <c r="AD174" s="2">
        <v>1464.7</v>
      </c>
      <c r="AE174" s="24"/>
    </row>
    <row r="175" spans="1:31">
      <c r="A175" s="1">
        <v>2021</v>
      </c>
      <c r="B175" s="9" t="s">
        <v>85</v>
      </c>
      <c r="C175" s="1" t="s">
        <v>169</v>
      </c>
      <c r="D175" s="10">
        <v>57.9</v>
      </c>
      <c r="E175" s="1">
        <v>22</v>
      </c>
      <c r="F175" s="10">
        <v>35.200000000000003</v>
      </c>
      <c r="G175" s="1">
        <v>3</v>
      </c>
      <c r="H175" s="10">
        <v>33.4</v>
      </c>
      <c r="I175" s="1">
        <v>43</v>
      </c>
      <c r="J175" s="10">
        <v>8.3000000000000007</v>
      </c>
      <c r="K175" s="1">
        <v>45</v>
      </c>
      <c r="L175" s="10">
        <v>79.099999999999994</v>
      </c>
      <c r="M175" s="1">
        <v>36</v>
      </c>
      <c r="N175" s="14">
        <f t="shared" si="5"/>
        <v>103.39285714285712</v>
      </c>
      <c r="O175" s="14">
        <f t="shared" si="6"/>
        <v>122.22222222222223</v>
      </c>
      <c r="P175" s="14">
        <f t="shared" si="7"/>
        <v>105.69620253164555</v>
      </c>
      <c r="Q175" s="14">
        <f t="shared" si="8"/>
        <v>103.75000000000001</v>
      </c>
      <c r="R175" s="14">
        <f t="shared" si="9"/>
        <v>101.15089514066496</v>
      </c>
      <c r="S175" s="2">
        <v>196052.46030116928</v>
      </c>
      <c r="T175" s="2">
        <v>53314.767682212754</v>
      </c>
      <c r="U175" s="2">
        <v>115475.32869453316</v>
      </c>
      <c r="V175" s="2">
        <v>23300.961260839209</v>
      </c>
      <c r="W175" s="2">
        <v>3961.4026635841501</v>
      </c>
      <c r="X175" s="2">
        <v>5669.892716195398</v>
      </c>
      <c r="Y175" s="2">
        <v>21315.195242686728</v>
      </c>
      <c r="Z175" s="2">
        <v>9074.4261762419519</v>
      </c>
      <c r="AA175" s="2">
        <v>3547.4134631122665</v>
      </c>
      <c r="AB175" s="2">
        <v>7082.4216576166727</v>
      </c>
      <c r="AC175" s="2">
        <v>27.1</v>
      </c>
      <c r="AD175" s="2">
        <v>1449.1</v>
      </c>
      <c r="AE175" s="24"/>
    </row>
    <row r="176" spans="1:31">
      <c r="A176" s="1">
        <v>2021</v>
      </c>
      <c r="B176" s="9" t="s">
        <v>87</v>
      </c>
      <c r="C176" s="1" t="s">
        <v>170</v>
      </c>
      <c r="D176" s="10">
        <v>56.2</v>
      </c>
      <c r="E176" s="1">
        <v>26</v>
      </c>
      <c r="F176" s="10">
        <v>18</v>
      </c>
      <c r="G176" s="1">
        <v>28</v>
      </c>
      <c r="H176" s="10">
        <v>34.5</v>
      </c>
      <c r="I176" s="1">
        <v>31</v>
      </c>
      <c r="J176" s="10">
        <v>9.5</v>
      </c>
      <c r="K176" s="1">
        <v>31</v>
      </c>
      <c r="L176" s="10">
        <v>78.7</v>
      </c>
      <c r="M176" s="1">
        <v>39</v>
      </c>
      <c r="N176" s="14">
        <f t="shared" si="5"/>
        <v>105.44090056285181</v>
      </c>
      <c r="O176" s="14">
        <f t="shared" si="6"/>
        <v>116.88311688311688</v>
      </c>
      <c r="P176" s="14">
        <f t="shared" si="7"/>
        <v>108.49056603773583</v>
      </c>
      <c r="Q176" s="14">
        <f t="shared" si="8"/>
        <v>110.46511627906976</v>
      </c>
      <c r="R176" s="14">
        <f t="shared" si="9"/>
        <v>101.02695763799743</v>
      </c>
      <c r="S176" s="2">
        <v>191698.3043214636</v>
      </c>
      <c r="T176" s="2">
        <v>51160.29588910185</v>
      </c>
      <c r="U176" s="2">
        <v>115082.72066284457</v>
      </c>
      <c r="V176" s="2">
        <v>21302.008453317143</v>
      </c>
      <c r="W176" s="2">
        <v>4153.2793162000298</v>
      </c>
      <c r="X176" s="2">
        <v>5816.9308873928176</v>
      </c>
      <c r="Y176" s="2">
        <v>20883.584708859235</v>
      </c>
      <c r="Z176" s="2">
        <v>8781.7282598198144</v>
      </c>
      <c r="AA176" s="2">
        <v>3297.8322462015212</v>
      </c>
      <c r="AB176" s="2">
        <v>6963.5813586001505</v>
      </c>
      <c r="AC176" s="2">
        <v>30.1</v>
      </c>
      <c r="AD176" s="2">
        <v>1358.5</v>
      </c>
      <c r="AE176" s="24"/>
    </row>
    <row r="177" spans="1:31">
      <c r="A177" s="1">
        <v>2021</v>
      </c>
      <c r="B177" s="9" t="s">
        <v>89</v>
      </c>
      <c r="C177" s="1" t="s">
        <v>171</v>
      </c>
      <c r="D177" s="10">
        <v>55.2</v>
      </c>
      <c r="E177" s="1">
        <v>32</v>
      </c>
      <c r="F177" s="10">
        <v>19.5</v>
      </c>
      <c r="G177" s="1">
        <v>24</v>
      </c>
      <c r="H177" s="10">
        <v>33.6</v>
      </c>
      <c r="I177" s="1">
        <v>41</v>
      </c>
      <c r="J177" s="10">
        <v>9.1</v>
      </c>
      <c r="K177" s="1">
        <v>38</v>
      </c>
      <c r="L177" s="10">
        <v>81.7</v>
      </c>
      <c r="M177" s="1">
        <v>18</v>
      </c>
      <c r="N177" s="14">
        <f t="shared" si="5"/>
        <v>103.37078651685394</v>
      </c>
      <c r="O177" s="14">
        <f t="shared" si="6"/>
        <v>114.70588235294117</v>
      </c>
      <c r="P177" s="14">
        <f t="shared" si="7"/>
        <v>101.81818181818183</v>
      </c>
      <c r="Q177" s="14">
        <f t="shared" si="8"/>
        <v>108.33333333333333</v>
      </c>
      <c r="R177" s="14">
        <f t="shared" si="9"/>
        <v>100.8641975308642</v>
      </c>
      <c r="S177" s="2">
        <v>203338.08524527066</v>
      </c>
      <c r="T177" s="2">
        <v>56883.818909138601</v>
      </c>
      <c r="U177" s="2">
        <v>119922.52139335516</v>
      </c>
      <c r="V177" s="2">
        <v>22077.470904202361</v>
      </c>
      <c r="W177" s="2">
        <v>4454.2740385745674</v>
      </c>
      <c r="X177" s="2">
        <v>7019.0273699020499</v>
      </c>
      <c r="Y177" s="2">
        <v>23273.669004107578</v>
      </c>
      <c r="Z177" s="2">
        <v>10124.96755101676</v>
      </c>
      <c r="AA177" s="2">
        <v>3466.0151609345462</v>
      </c>
      <c r="AB177" s="2">
        <v>7322.0889472335057</v>
      </c>
      <c r="AC177" s="2">
        <v>37.4</v>
      </c>
      <c r="AD177" s="2">
        <v>1861.4</v>
      </c>
      <c r="AE177" s="24"/>
    </row>
    <row r="178" spans="1:31">
      <c r="A178" s="1">
        <v>2021</v>
      </c>
      <c r="B178" s="9" t="s">
        <v>91</v>
      </c>
      <c r="C178" s="1" t="s">
        <v>172</v>
      </c>
      <c r="D178" s="10">
        <v>54.4</v>
      </c>
      <c r="E178" s="1">
        <v>35</v>
      </c>
      <c r="F178" s="10">
        <v>27.3</v>
      </c>
      <c r="G178" s="1">
        <v>10</v>
      </c>
      <c r="H178" s="10">
        <v>36</v>
      </c>
      <c r="I178" s="1">
        <v>4</v>
      </c>
      <c r="J178" s="10">
        <v>8.6</v>
      </c>
      <c r="K178" s="1">
        <v>43</v>
      </c>
      <c r="L178" s="10">
        <v>73.7</v>
      </c>
      <c r="M178" s="1">
        <v>47</v>
      </c>
      <c r="N178" s="14">
        <f t="shared" ref="N178:N241" si="10">D178/D131*100</f>
        <v>98.550724637681157</v>
      </c>
      <c r="O178" s="14">
        <f t="shared" ref="O178:O241" si="11">F178/F131*100</f>
        <v>134.48275862068965</v>
      </c>
      <c r="P178" s="14">
        <f t="shared" ref="P178:P241" si="12">H178/H131*100</f>
        <v>103.74639769452449</v>
      </c>
      <c r="Q178" s="14">
        <f t="shared" ref="Q178:Q241" si="13">J178/J131*100</f>
        <v>86</v>
      </c>
      <c r="R178" s="14">
        <f t="shared" ref="R178:R241" si="14">L178/L131*100</f>
        <v>102.21914008321778</v>
      </c>
      <c r="S178" s="2">
        <v>206379.37200081348</v>
      </c>
      <c r="T178" s="2">
        <v>57053.677137662235</v>
      </c>
      <c r="U178" s="2">
        <v>120144.12789168715</v>
      </c>
      <c r="V178" s="2">
        <v>23230.972789672029</v>
      </c>
      <c r="W178" s="2">
        <v>5950.5941817920602</v>
      </c>
      <c r="X178" s="2">
        <v>7122.8890510673364</v>
      </c>
      <c r="Y178" s="2">
        <v>24439.661790533952</v>
      </c>
      <c r="Z178" s="2">
        <v>10966.955567327474</v>
      </c>
      <c r="AA178" s="2">
        <v>2845.8505364681291</v>
      </c>
      <c r="AB178" s="2">
        <v>8648.1146505438919</v>
      </c>
      <c r="AC178" s="2">
        <v>36.200000000000003</v>
      </c>
      <c r="AD178" s="2">
        <v>1907.7</v>
      </c>
      <c r="AE178" s="24"/>
    </row>
    <row r="179" spans="1:31">
      <c r="A179" s="1">
        <v>2021</v>
      </c>
      <c r="B179" s="9" t="s">
        <v>93</v>
      </c>
      <c r="C179" s="1" t="s">
        <v>173</v>
      </c>
      <c r="D179" s="10">
        <v>54.7</v>
      </c>
      <c r="E179" s="1">
        <v>34</v>
      </c>
      <c r="F179" s="10">
        <v>35.9</v>
      </c>
      <c r="G179" s="1">
        <v>2</v>
      </c>
      <c r="H179" s="10">
        <v>35.6</v>
      </c>
      <c r="I179" s="1">
        <v>6</v>
      </c>
      <c r="J179" s="10">
        <v>9.5</v>
      </c>
      <c r="K179" s="1">
        <v>30</v>
      </c>
      <c r="L179" s="10">
        <v>77.400000000000006</v>
      </c>
      <c r="M179" s="1">
        <v>42</v>
      </c>
      <c r="N179" s="14">
        <f t="shared" si="10"/>
        <v>106.62768031189086</v>
      </c>
      <c r="O179" s="14">
        <f t="shared" si="11"/>
        <v>123.36769759450171</v>
      </c>
      <c r="P179" s="14">
        <f t="shared" si="12"/>
        <v>109.53846153846155</v>
      </c>
      <c r="Q179" s="14">
        <f t="shared" si="13"/>
        <v>107.95454545454544</v>
      </c>
      <c r="R179" s="14">
        <f t="shared" si="14"/>
        <v>101.17647058823532</v>
      </c>
      <c r="S179" s="2">
        <v>206185.00631486255</v>
      </c>
      <c r="T179" s="2">
        <v>56080.241768454594</v>
      </c>
      <c r="U179" s="2">
        <v>122033.1627456187</v>
      </c>
      <c r="V179" s="2">
        <v>23274.062055231014</v>
      </c>
      <c r="W179" s="2">
        <v>4797.5397455582461</v>
      </c>
      <c r="X179" s="2">
        <v>6419.0392989909724</v>
      </c>
      <c r="Y179" s="2">
        <v>22112.555509559214</v>
      </c>
      <c r="Z179" s="2">
        <v>9217.3869922995218</v>
      </c>
      <c r="AA179" s="2">
        <v>2815.2860594795529</v>
      </c>
      <c r="AB179" s="2">
        <v>7943.5762336696771</v>
      </c>
      <c r="AC179" s="2">
        <v>27.3</v>
      </c>
      <c r="AD179" s="2">
        <v>1513.5</v>
      </c>
      <c r="AE179" s="24"/>
    </row>
    <row r="180" spans="1:31">
      <c r="A180" s="1">
        <v>2021</v>
      </c>
      <c r="B180" s="9" t="s">
        <v>95</v>
      </c>
      <c r="C180" s="1" t="s">
        <v>174</v>
      </c>
      <c r="D180" s="10">
        <v>59.2</v>
      </c>
      <c r="E180" s="1">
        <v>17</v>
      </c>
      <c r="F180" s="10">
        <v>18.899999999999999</v>
      </c>
      <c r="G180" s="1">
        <v>26</v>
      </c>
      <c r="H180" s="10">
        <v>34.299999999999997</v>
      </c>
      <c r="I180" s="1">
        <v>37</v>
      </c>
      <c r="J180" s="10">
        <v>8.5</v>
      </c>
      <c r="K180" s="1">
        <v>44</v>
      </c>
      <c r="L180" s="10">
        <v>77.599999999999994</v>
      </c>
      <c r="M180" s="1">
        <v>40</v>
      </c>
      <c r="N180" s="14">
        <f t="shared" si="10"/>
        <v>104.40917107583773</v>
      </c>
      <c r="O180" s="14">
        <f t="shared" si="11"/>
        <v>117.39130434782608</v>
      </c>
      <c r="P180" s="14">
        <f t="shared" si="12"/>
        <v>106.52173913043477</v>
      </c>
      <c r="Q180" s="14">
        <f t="shared" si="13"/>
        <v>103.65853658536585</v>
      </c>
      <c r="R180" s="14">
        <f t="shared" si="14"/>
        <v>101.57068062827224</v>
      </c>
      <c r="S180" s="2">
        <v>194478.96983857427</v>
      </c>
      <c r="T180" s="2">
        <v>54929.977577083882</v>
      </c>
      <c r="U180" s="2">
        <v>114593.19844304815</v>
      </c>
      <c r="V180" s="2">
        <v>20037.126152836638</v>
      </c>
      <c r="W180" s="2">
        <v>4918.6676656056161</v>
      </c>
      <c r="X180" s="2">
        <v>6281.1582944343918</v>
      </c>
      <c r="Y180" s="2">
        <v>21631.623778970952</v>
      </c>
      <c r="Z180" s="2">
        <v>8859.7599392305801</v>
      </c>
      <c r="AA180" s="2">
        <v>3118.2877720781044</v>
      </c>
      <c r="AB180" s="2">
        <v>7210.4061294756248</v>
      </c>
      <c r="AC180" s="2">
        <v>29.5</v>
      </c>
      <c r="AD180" s="2">
        <v>1544.7</v>
      </c>
      <c r="AE180" s="24"/>
    </row>
    <row r="181" spans="1:31">
      <c r="A181" s="1">
        <v>2021</v>
      </c>
      <c r="B181" s="9" t="s">
        <v>97</v>
      </c>
      <c r="C181" s="1" t="s">
        <v>175</v>
      </c>
      <c r="D181" s="10">
        <v>61.5</v>
      </c>
      <c r="E181" s="1">
        <v>12</v>
      </c>
      <c r="F181" s="10">
        <v>16.5</v>
      </c>
      <c r="G181" s="1">
        <v>34</v>
      </c>
      <c r="H181" s="10">
        <v>31.8</v>
      </c>
      <c r="I181" s="1">
        <v>47</v>
      </c>
      <c r="J181" s="10">
        <v>9.1</v>
      </c>
      <c r="K181" s="1">
        <v>37</v>
      </c>
      <c r="L181" s="10">
        <v>76.2</v>
      </c>
      <c r="M181" s="1">
        <v>44</v>
      </c>
      <c r="N181" s="14">
        <f t="shared" si="10"/>
        <v>101.1513157894737</v>
      </c>
      <c r="O181" s="14">
        <f t="shared" si="11"/>
        <v>116.19718309859155</v>
      </c>
      <c r="P181" s="14">
        <f t="shared" si="12"/>
        <v>108.53242320819112</v>
      </c>
      <c r="Q181" s="14">
        <f t="shared" si="13"/>
        <v>98.913043478260875</v>
      </c>
      <c r="R181" s="14">
        <f t="shared" si="14"/>
        <v>101.73564753004005</v>
      </c>
      <c r="S181" s="2">
        <v>202024.69719552074</v>
      </c>
      <c r="T181" s="2">
        <v>61708.817923009439</v>
      </c>
      <c r="U181" s="2">
        <v>115913.89236123866</v>
      </c>
      <c r="V181" s="2">
        <v>19702.836306672089</v>
      </c>
      <c r="W181" s="2">
        <v>4699.1506046005543</v>
      </c>
      <c r="X181" s="2">
        <v>7341.2485292833953</v>
      </c>
      <c r="Y181" s="2">
        <v>22386.139602998359</v>
      </c>
      <c r="Z181" s="2">
        <v>10621.831619454882</v>
      </c>
      <c r="AA181" s="2">
        <v>2680.03127130243</v>
      </c>
      <c r="AB181" s="2">
        <v>6606.096197656223</v>
      </c>
      <c r="AC181" s="2">
        <v>40.299999999999997</v>
      </c>
      <c r="AD181" s="2">
        <v>2334.9</v>
      </c>
      <c r="AE181" s="24"/>
    </row>
    <row r="182" spans="1:31">
      <c r="A182" s="1">
        <v>2021</v>
      </c>
      <c r="B182" s="9" t="s">
        <v>99</v>
      </c>
      <c r="C182" s="1" t="s">
        <v>176</v>
      </c>
      <c r="D182" s="10">
        <v>52.3</v>
      </c>
      <c r="E182" s="1">
        <v>40</v>
      </c>
      <c r="F182" s="10">
        <v>14</v>
      </c>
      <c r="G182" s="1">
        <v>40</v>
      </c>
      <c r="H182" s="10">
        <v>34.5</v>
      </c>
      <c r="I182" s="1">
        <v>32</v>
      </c>
      <c r="J182" s="10">
        <v>10.5</v>
      </c>
      <c r="K182" s="1">
        <v>20</v>
      </c>
      <c r="L182" s="10">
        <v>81.3</v>
      </c>
      <c r="M182" s="1">
        <v>19</v>
      </c>
      <c r="N182" s="14">
        <f t="shared" si="10"/>
        <v>104.39121756487025</v>
      </c>
      <c r="O182" s="14">
        <f t="shared" si="11"/>
        <v>97.902097902097893</v>
      </c>
      <c r="P182" s="14">
        <f t="shared" si="12"/>
        <v>104.86322188449849</v>
      </c>
      <c r="Q182" s="14">
        <f t="shared" si="13"/>
        <v>87.5</v>
      </c>
      <c r="R182" s="14">
        <f t="shared" si="14"/>
        <v>100.99378881987577</v>
      </c>
      <c r="S182" s="2">
        <v>202677.73248875231</v>
      </c>
      <c r="T182" s="2">
        <v>57875.220565519659</v>
      </c>
      <c r="U182" s="2">
        <v>115290.7504967983</v>
      </c>
      <c r="V182" s="2">
        <v>23021.118746624052</v>
      </c>
      <c r="W182" s="2">
        <v>6490.6426798103075</v>
      </c>
      <c r="X182" s="2">
        <v>6538.8465844604252</v>
      </c>
      <c r="Y182" s="2">
        <v>21809.17145560023</v>
      </c>
      <c r="Z182" s="2">
        <v>9841.3473609833563</v>
      </c>
      <c r="AA182" s="2">
        <v>3031.0918205668831</v>
      </c>
      <c r="AB182" s="2">
        <v>6960.6935769948759</v>
      </c>
      <c r="AC182" s="2">
        <v>33.4</v>
      </c>
      <c r="AD182" s="2">
        <v>1600.5</v>
      </c>
      <c r="AE182" s="24"/>
    </row>
    <row r="183" spans="1:31">
      <c r="A183" s="1">
        <v>2021</v>
      </c>
      <c r="B183" s="9" t="s">
        <v>101</v>
      </c>
      <c r="C183" s="1" t="s">
        <v>177</v>
      </c>
      <c r="D183" s="10">
        <v>55.6</v>
      </c>
      <c r="E183" s="1">
        <v>30</v>
      </c>
      <c r="F183" s="10">
        <v>18</v>
      </c>
      <c r="G183" s="1">
        <v>29</v>
      </c>
      <c r="H183" s="10">
        <v>35.1</v>
      </c>
      <c r="I183" s="1">
        <v>16</v>
      </c>
      <c r="J183" s="10">
        <v>11.5</v>
      </c>
      <c r="K183" s="1">
        <v>12</v>
      </c>
      <c r="L183" s="10">
        <v>82.7</v>
      </c>
      <c r="M183" s="1">
        <v>8</v>
      </c>
      <c r="N183" s="14">
        <f t="shared" si="10"/>
        <v>112.77890466531441</v>
      </c>
      <c r="O183" s="14">
        <f t="shared" si="11"/>
        <v>100.55865921787711</v>
      </c>
      <c r="P183" s="14">
        <f t="shared" si="12"/>
        <v>105.08982035928145</v>
      </c>
      <c r="Q183" s="14">
        <f t="shared" si="13"/>
        <v>127.77777777777777</v>
      </c>
      <c r="R183" s="14">
        <f t="shared" si="14"/>
        <v>100.85365853658537</v>
      </c>
      <c r="S183" s="2">
        <v>219653.74225122901</v>
      </c>
      <c r="T183" s="2">
        <v>64412.252086151238</v>
      </c>
      <c r="U183" s="2">
        <v>127176.26888019573</v>
      </c>
      <c r="V183" s="2">
        <v>21735.11853714734</v>
      </c>
      <c r="W183" s="2">
        <v>6330.1027477346834</v>
      </c>
      <c r="X183" s="2">
        <v>6545.4515122958437</v>
      </c>
      <c r="Y183" s="2">
        <v>27190.934815109402</v>
      </c>
      <c r="Z183" s="2">
        <v>12496.880724908367</v>
      </c>
      <c r="AA183" s="2">
        <v>4501.4974723470286</v>
      </c>
      <c r="AB183" s="2">
        <v>8267.4168782540019</v>
      </c>
      <c r="AC183" s="2">
        <v>39.6</v>
      </c>
      <c r="AD183" s="2">
        <v>1769.4</v>
      </c>
      <c r="AE183" s="24"/>
    </row>
    <row r="184" spans="1:31">
      <c r="A184" s="1">
        <v>2021</v>
      </c>
      <c r="B184" s="9" t="s">
        <v>103</v>
      </c>
      <c r="C184" s="1" t="s">
        <v>178</v>
      </c>
      <c r="D184" s="10">
        <v>55.8</v>
      </c>
      <c r="E184" s="1">
        <v>29</v>
      </c>
      <c r="F184" s="10">
        <v>28.1</v>
      </c>
      <c r="G184" s="1">
        <v>9</v>
      </c>
      <c r="H184" s="10">
        <v>34.4</v>
      </c>
      <c r="I184" s="1">
        <v>35</v>
      </c>
      <c r="J184" s="10">
        <v>9.3000000000000007</v>
      </c>
      <c r="K184" s="1">
        <v>35</v>
      </c>
      <c r="L184" s="10">
        <v>82.3</v>
      </c>
      <c r="M184" s="1">
        <v>13</v>
      </c>
      <c r="N184" s="14">
        <f t="shared" si="10"/>
        <v>103.33333333333331</v>
      </c>
      <c r="O184" s="14">
        <f t="shared" si="11"/>
        <v>133.80952380952382</v>
      </c>
      <c r="P184" s="14">
        <f t="shared" si="12"/>
        <v>103.92749244712991</v>
      </c>
      <c r="Q184" s="14">
        <f t="shared" si="13"/>
        <v>102.19780219780222</v>
      </c>
      <c r="R184" s="14">
        <f t="shared" si="14"/>
        <v>100.8578431372549</v>
      </c>
      <c r="S184" s="2">
        <v>207094.84255839465</v>
      </c>
      <c r="T184" s="2">
        <v>62859.107869699066</v>
      </c>
      <c r="U184" s="2">
        <v>116531.88669013146</v>
      </c>
      <c r="V184" s="2">
        <v>21666.491795521273</v>
      </c>
      <c r="W184" s="2">
        <v>6037.3562030428584</v>
      </c>
      <c r="X184" s="2">
        <v>6884.4847649272979</v>
      </c>
      <c r="Y184" s="2">
        <v>23773.920068150001</v>
      </c>
      <c r="Z184" s="2">
        <v>11552.051168439613</v>
      </c>
      <c r="AA184" s="2">
        <v>2764.4455298125808</v>
      </c>
      <c r="AB184" s="2">
        <v>7230.4275032325386</v>
      </c>
      <c r="AC184" s="2">
        <v>36.700000000000003</v>
      </c>
      <c r="AD184" s="2">
        <v>1979.5</v>
      </c>
      <c r="AE184" s="24"/>
    </row>
    <row r="185" spans="1:31">
      <c r="A185" s="1">
        <v>2021</v>
      </c>
      <c r="B185" s="9" t="s">
        <v>105</v>
      </c>
      <c r="C185" s="1" t="s">
        <v>179</v>
      </c>
      <c r="D185" s="10">
        <v>62</v>
      </c>
      <c r="E185" s="1">
        <v>11</v>
      </c>
      <c r="F185" s="10">
        <v>31.1</v>
      </c>
      <c r="G185" s="1">
        <v>5</v>
      </c>
      <c r="H185" s="10">
        <v>35</v>
      </c>
      <c r="I185" s="1">
        <v>17</v>
      </c>
      <c r="J185" s="10">
        <v>11.5</v>
      </c>
      <c r="K185" s="1">
        <v>11</v>
      </c>
      <c r="L185" s="10">
        <v>82.6</v>
      </c>
      <c r="M185" s="1">
        <v>9</v>
      </c>
      <c r="N185" s="14">
        <f t="shared" si="10"/>
        <v>107.08117443868738</v>
      </c>
      <c r="O185" s="14">
        <f t="shared" si="11"/>
        <v>106.87285223367698</v>
      </c>
      <c r="P185" s="14">
        <f t="shared" si="12"/>
        <v>106.70731707317074</v>
      </c>
      <c r="Q185" s="14">
        <f t="shared" si="13"/>
        <v>102.67857142857144</v>
      </c>
      <c r="R185" s="14">
        <f t="shared" si="14"/>
        <v>101.10159118727049</v>
      </c>
      <c r="S185" s="2">
        <v>205635.74856654732</v>
      </c>
      <c r="T185" s="2">
        <v>61006.34426239723</v>
      </c>
      <c r="U185" s="2">
        <v>118370.00665152549</v>
      </c>
      <c r="V185" s="2">
        <v>20775.550627922697</v>
      </c>
      <c r="W185" s="2">
        <v>5483.847024701915</v>
      </c>
      <c r="X185" s="2">
        <v>6185.7147975412727</v>
      </c>
      <c r="Y185" s="2">
        <v>24686.911476451736</v>
      </c>
      <c r="Z185" s="2">
        <v>11677.731313107715</v>
      </c>
      <c r="AA185" s="2">
        <v>3137.1714180678487</v>
      </c>
      <c r="AB185" s="2">
        <v>8168.8045411070507</v>
      </c>
      <c r="AC185" s="2">
        <v>37.299999999999997</v>
      </c>
      <c r="AD185" s="2">
        <v>1876.9</v>
      </c>
      <c r="AE185" s="24"/>
    </row>
    <row r="186" spans="1:31">
      <c r="A186" s="1">
        <v>2021</v>
      </c>
      <c r="B186" s="9" t="s">
        <v>107</v>
      </c>
      <c r="C186" s="1" t="s">
        <v>180</v>
      </c>
      <c r="D186" s="10">
        <v>64.900000000000006</v>
      </c>
      <c r="E186" s="1">
        <v>6</v>
      </c>
      <c r="F186" s="10">
        <v>29.1</v>
      </c>
      <c r="G186" s="1">
        <v>7</v>
      </c>
      <c r="H186" s="10">
        <v>35.1</v>
      </c>
      <c r="I186" s="1">
        <v>13</v>
      </c>
      <c r="J186" s="10">
        <v>7.9</v>
      </c>
      <c r="K186" s="1">
        <v>47</v>
      </c>
      <c r="L186" s="10">
        <v>80.3</v>
      </c>
      <c r="M186" s="1">
        <v>27</v>
      </c>
      <c r="N186" s="14">
        <f t="shared" si="10"/>
        <v>106.39344262295083</v>
      </c>
      <c r="O186" s="14">
        <f t="shared" si="11"/>
        <v>119.75308641975309</v>
      </c>
      <c r="P186" s="14">
        <f t="shared" si="12"/>
        <v>106.04229607250755</v>
      </c>
      <c r="Q186" s="14">
        <f t="shared" si="13"/>
        <v>88.764044943820224</v>
      </c>
      <c r="R186" s="14">
        <f t="shared" si="14"/>
        <v>101.26103404791928</v>
      </c>
      <c r="S186" s="2">
        <v>208218.40972588546</v>
      </c>
      <c r="T186" s="2">
        <v>63390.012128123177</v>
      </c>
      <c r="U186" s="2">
        <v>120450.75968589928</v>
      </c>
      <c r="V186" s="2">
        <v>18871.214633667936</v>
      </c>
      <c r="W186" s="2">
        <v>5506.4232781950568</v>
      </c>
      <c r="X186" s="2">
        <v>7133.3679572670972</v>
      </c>
      <c r="Y186" s="2">
        <v>24802.241854877968</v>
      </c>
      <c r="Z186" s="2">
        <v>10847.78621389965</v>
      </c>
      <c r="AA186" s="2">
        <v>3413.795531904394</v>
      </c>
      <c r="AB186" s="2">
        <v>8416.803683635686</v>
      </c>
      <c r="AC186" s="2">
        <v>30.9</v>
      </c>
      <c r="AD186" s="2">
        <v>1758.3</v>
      </c>
      <c r="AE186" s="24"/>
    </row>
    <row r="187" spans="1:31">
      <c r="A187" s="1">
        <v>2021</v>
      </c>
      <c r="B187" s="9" t="s">
        <v>109</v>
      </c>
      <c r="C187" s="1" t="s">
        <v>181</v>
      </c>
      <c r="D187" s="10">
        <v>55.9</v>
      </c>
      <c r="E187" s="1">
        <v>27</v>
      </c>
      <c r="F187" s="10">
        <v>15.7</v>
      </c>
      <c r="G187" s="1">
        <v>37</v>
      </c>
      <c r="H187" s="10">
        <v>34.9</v>
      </c>
      <c r="I187" s="1">
        <v>23</v>
      </c>
      <c r="J187" s="10">
        <v>10.4</v>
      </c>
      <c r="K187" s="1">
        <v>23</v>
      </c>
      <c r="L187" s="10">
        <v>83.1</v>
      </c>
      <c r="M187" s="1">
        <v>7</v>
      </c>
      <c r="N187" s="14">
        <f t="shared" si="10"/>
        <v>107.08812260536398</v>
      </c>
      <c r="O187" s="14">
        <f t="shared" si="11"/>
        <v>107.53424657534248</v>
      </c>
      <c r="P187" s="14">
        <f t="shared" si="12"/>
        <v>101.74927113702626</v>
      </c>
      <c r="Q187" s="14">
        <f t="shared" si="13"/>
        <v>116.85393258426966</v>
      </c>
      <c r="R187" s="14">
        <f t="shared" si="14"/>
        <v>100.97205346294045</v>
      </c>
      <c r="S187" s="2">
        <v>191813.96469807721</v>
      </c>
      <c r="T187" s="2">
        <v>54786.775265294258</v>
      </c>
      <c r="U187" s="2">
        <v>112206.35541357812</v>
      </c>
      <c r="V187" s="2">
        <v>19750.899424588235</v>
      </c>
      <c r="W187" s="2">
        <v>5069.934594616594</v>
      </c>
      <c r="X187" s="2">
        <v>6620.5963395675954</v>
      </c>
      <c r="Y187" s="2">
        <v>22399.932353178887</v>
      </c>
      <c r="Z187" s="2">
        <v>11159.533679922653</v>
      </c>
      <c r="AA187" s="2">
        <v>2365.2986003091864</v>
      </c>
      <c r="AB187" s="2">
        <v>6915.5352282016975</v>
      </c>
      <c r="AC187" s="2">
        <v>35.799999999999997</v>
      </c>
      <c r="AD187" s="2">
        <v>1716.6</v>
      </c>
      <c r="AE187" s="24"/>
    </row>
    <row r="188" spans="1:31">
      <c r="A188" s="1">
        <v>2021</v>
      </c>
      <c r="B188" s="9" t="s">
        <v>111</v>
      </c>
      <c r="C188" s="1" t="s">
        <v>182</v>
      </c>
      <c r="D188" s="10">
        <v>49</v>
      </c>
      <c r="E188" s="1">
        <v>42</v>
      </c>
      <c r="F188" s="10">
        <v>16</v>
      </c>
      <c r="G188" s="1">
        <v>35</v>
      </c>
      <c r="H188" s="10">
        <v>34.6</v>
      </c>
      <c r="I188" s="1">
        <v>28</v>
      </c>
      <c r="J188" s="10">
        <v>17.2</v>
      </c>
      <c r="K188" s="1">
        <v>1</v>
      </c>
      <c r="L188" s="10">
        <v>85.4</v>
      </c>
      <c r="M188" s="1">
        <v>2</v>
      </c>
      <c r="N188" s="14">
        <f t="shared" si="10"/>
        <v>99.593495934959336</v>
      </c>
      <c r="O188" s="14">
        <f t="shared" si="11"/>
        <v>124.03100775193798</v>
      </c>
      <c r="P188" s="14">
        <f t="shared" si="12"/>
        <v>107.45341614906832</v>
      </c>
      <c r="Q188" s="14">
        <f t="shared" si="13"/>
        <v>179.16666666666669</v>
      </c>
      <c r="R188" s="14">
        <f t="shared" si="14"/>
        <v>100.82644628099173</v>
      </c>
      <c r="S188" s="2">
        <v>203290.96377522318</v>
      </c>
      <c r="T188" s="2">
        <v>61762.911568903335</v>
      </c>
      <c r="U188" s="2">
        <v>116316.53346131447</v>
      </c>
      <c r="V188" s="2">
        <v>19577.628713887814</v>
      </c>
      <c r="W188" s="2">
        <v>5633.8900311175585</v>
      </c>
      <c r="X188" s="2">
        <v>6979.5031407865499</v>
      </c>
      <c r="Y188" s="2">
        <v>24014.979833048106</v>
      </c>
      <c r="Z188" s="2">
        <v>11361.02643166226</v>
      </c>
      <c r="AA188" s="2">
        <v>2417.0723705586206</v>
      </c>
      <c r="AB188" s="2">
        <v>7797.0176138198149</v>
      </c>
      <c r="AC188" s="2">
        <v>39.1</v>
      </c>
      <c r="AD188" s="2">
        <v>2032.6</v>
      </c>
      <c r="AE188" s="24"/>
    </row>
    <row r="189" spans="1:31">
      <c r="A189" s="1">
        <v>2021</v>
      </c>
      <c r="B189" s="9" t="s">
        <v>113</v>
      </c>
      <c r="C189" s="1" t="s">
        <v>183</v>
      </c>
      <c r="D189" s="10">
        <v>57.8</v>
      </c>
      <c r="E189" s="1">
        <v>23</v>
      </c>
      <c r="F189" s="10">
        <v>28.9</v>
      </c>
      <c r="G189" s="1">
        <v>8</v>
      </c>
      <c r="H189" s="10">
        <v>34.4</v>
      </c>
      <c r="I189" s="1">
        <v>34</v>
      </c>
      <c r="J189" s="10">
        <v>9.3000000000000007</v>
      </c>
      <c r="K189" s="1">
        <v>33</v>
      </c>
      <c r="L189" s="10">
        <v>89</v>
      </c>
      <c r="M189" s="1">
        <v>1</v>
      </c>
      <c r="N189" s="14">
        <f t="shared" si="10"/>
        <v>103.58422939068099</v>
      </c>
      <c r="O189" s="14">
        <f t="shared" si="11"/>
        <v>111.58301158301158</v>
      </c>
      <c r="P189" s="14">
        <f t="shared" si="12"/>
        <v>103.92749244712991</v>
      </c>
      <c r="Q189" s="14">
        <f t="shared" si="13"/>
        <v>96.875000000000014</v>
      </c>
      <c r="R189" s="14">
        <f t="shared" si="14"/>
        <v>100.45146726862303</v>
      </c>
      <c r="S189" s="2">
        <v>182627.12335706476</v>
      </c>
      <c r="T189" s="2">
        <v>56872.318766334683</v>
      </c>
      <c r="U189" s="2">
        <v>103430.94596748284</v>
      </c>
      <c r="V189" s="2">
        <v>17800.795554583321</v>
      </c>
      <c r="W189" s="2">
        <v>4523.0630686639224</v>
      </c>
      <c r="X189" s="2">
        <v>6422.6525787209193</v>
      </c>
      <c r="Y189" s="2">
        <v>18923.44468003403</v>
      </c>
      <c r="Z189" s="2">
        <v>9488.2336390364962</v>
      </c>
      <c r="AA189" s="2">
        <v>2056.6319747781586</v>
      </c>
      <c r="AB189" s="2">
        <v>5610.8289507229074</v>
      </c>
      <c r="AC189" s="2">
        <v>29.5</v>
      </c>
      <c r="AD189" s="2">
        <v>1267.4000000000001</v>
      </c>
      <c r="AE189" s="24"/>
    </row>
    <row r="190" spans="1:31">
      <c r="A190" s="1">
        <v>2022</v>
      </c>
      <c r="B190" s="9" t="s">
        <v>21</v>
      </c>
      <c r="C190" s="1" t="s">
        <v>22</v>
      </c>
      <c r="D190" s="10">
        <v>49.1</v>
      </c>
      <c r="E190" s="1">
        <v>45</v>
      </c>
      <c r="F190" s="10">
        <v>11.7</v>
      </c>
      <c r="G190" s="1">
        <v>44</v>
      </c>
      <c r="H190" s="10">
        <v>32.700000000000003</v>
      </c>
      <c r="I190" s="1">
        <v>44</v>
      </c>
      <c r="J190" s="10">
        <v>33.799999999999997</v>
      </c>
      <c r="K190" s="1">
        <v>36</v>
      </c>
      <c r="L190" s="10">
        <v>82.8</v>
      </c>
      <c r="M190" s="1">
        <v>15</v>
      </c>
      <c r="N190" s="14">
        <f t="shared" si="10"/>
        <v>103.80549682875264</v>
      </c>
      <c r="O190" s="14">
        <f t="shared" si="11"/>
        <v>100.86206896551724</v>
      </c>
      <c r="P190" s="14">
        <f t="shared" si="12"/>
        <v>94.782608695652186</v>
      </c>
      <c r="Q190" s="14">
        <f t="shared" si="13"/>
        <v>348.45360824742266</v>
      </c>
      <c r="R190" s="14">
        <f t="shared" si="14"/>
        <v>100.60753341433779</v>
      </c>
      <c r="S190" s="2">
        <v>223683.67052101242</v>
      </c>
      <c r="T190" s="2">
        <v>64917.131232199514</v>
      </c>
      <c r="U190" s="2">
        <v>132159.87161694292</v>
      </c>
      <c r="V190" s="2">
        <v>22444.757943455927</v>
      </c>
      <c r="W190" s="2">
        <v>4161.9097284140653</v>
      </c>
      <c r="X190" s="2">
        <v>7558.7087477044961</v>
      </c>
      <c r="Y190" s="2">
        <v>25160.956371617111</v>
      </c>
      <c r="Z190" s="2">
        <v>10514.249449072016</v>
      </c>
      <c r="AA190" s="2">
        <v>3196.1413250190135</v>
      </c>
      <c r="AB190" s="2">
        <v>8660.4371053316972</v>
      </c>
      <c r="AC190" s="2">
        <v>31.4</v>
      </c>
      <c r="AD190" s="2">
        <v>1765.2</v>
      </c>
      <c r="AE190" s="24"/>
    </row>
    <row r="191" spans="1:31">
      <c r="A191" s="1">
        <v>2022</v>
      </c>
      <c r="B191" s="9" t="s">
        <v>23</v>
      </c>
      <c r="C191" s="1" t="s">
        <v>138</v>
      </c>
      <c r="D191" s="10">
        <v>61.1</v>
      </c>
      <c r="E191" s="1">
        <v>20</v>
      </c>
      <c r="F191" s="10">
        <v>22.2</v>
      </c>
      <c r="G191" s="1">
        <v>19</v>
      </c>
      <c r="H191" s="10">
        <v>32.200000000000003</v>
      </c>
      <c r="I191" s="1">
        <v>46</v>
      </c>
      <c r="J191" s="10">
        <v>35.5</v>
      </c>
      <c r="K191" s="1">
        <v>22</v>
      </c>
      <c r="L191" s="10">
        <v>83.3</v>
      </c>
      <c r="M191" s="1">
        <v>12</v>
      </c>
      <c r="N191" s="14">
        <f t="shared" si="10"/>
        <v>105.16351118760758</v>
      </c>
      <c r="O191" s="14">
        <f t="shared" si="11"/>
        <v>115.625</v>
      </c>
      <c r="P191" s="14">
        <f t="shared" si="12"/>
        <v>93.877551020408177</v>
      </c>
      <c r="Q191" s="14">
        <f t="shared" si="13"/>
        <v>381.72043010752685</v>
      </c>
      <c r="R191" s="14">
        <f t="shared" si="14"/>
        <v>100.96969696969697</v>
      </c>
      <c r="S191" s="2">
        <v>204424.68811193682</v>
      </c>
      <c r="T191" s="2">
        <v>53761.394866500872</v>
      </c>
      <c r="U191" s="2">
        <v>128267.35369058233</v>
      </c>
      <c r="V191" s="2">
        <v>19013.398151189525</v>
      </c>
      <c r="W191" s="2">
        <v>3382.5414036641282</v>
      </c>
      <c r="X191" s="2">
        <v>6478.1565623386987</v>
      </c>
      <c r="Y191" s="2">
        <v>28366.567353714046</v>
      </c>
      <c r="Z191" s="2">
        <v>13237.134526066351</v>
      </c>
      <c r="AA191" s="2">
        <v>3653.9920503495837</v>
      </c>
      <c r="AB191" s="2">
        <v>9215.1367720895323</v>
      </c>
      <c r="AC191" s="2">
        <v>30.7</v>
      </c>
      <c r="AD191" s="2">
        <v>1356.6</v>
      </c>
      <c r="AE191" s="24"/>
    </row>
    <row r="192" spans="1:31">
      <c r="A192" s="1">
        <v>2022</v>
      </c>
      <c r="B192" s="9" t="s">
        <v>25</v>
      </c>
      <c r="C192" s="1" t="s">
        <v>139</v>
      </c>
      <c r="D192" s="10">
        <v>62.5</v>
      </c>
      <c r="E192" s="1">
        <v>15</v>
      </c>
      <c r="F192" s="10">
        <v>21.7</v>
      </c>
      <c r="G192" s="1">
        <v>23</v>
      </c>
      <c r="H192" s="10">
        <v>33.5</v>
      </c>
      <c r="I192" s="1">
        <v>33</v>
      </c>
      <c r="J192" s="10">
        <v>34.799999999999997</v>
      </c>
      <c r="K192" s="1">
        <v>28</v>
      </c>
      <c r="L192" s="10">
        <v>85.7</v>
      </c>
      <c r="M192" s="1">
        <v>3</v>
      </c>
      <c r="N192" s="14">
        <f t="shared" si="10"/>
        <v>102.29132569558101</v>
      </c>
      <c r="O192" s="14">
        <f t="shared" si="11"/>
        <v>127.64705882352941</v>
      </c>
      <c r="P192" s="14">
        <f t="shared" si="12"/>
        <v>100.60060060060061</v>
      </c>
      <c r="Q192" s="14">
        <f t="shared" si="13"/>
        <v>328.30188679245282</v>
      </c>
      <c r="R192" s="14">
        <f t="shared" si="14"/>
        <v>100.46893317702228</v>
      </c>
      <c r="S192" s="2">
        <v>204937.65857043394</v>
      </c>
      <c r="T192" s="2">
        <v>52810.07958383744</v>
      </c>
      <c r="U192" s="2">
        <v>127898.94671618244</v>
      </c>
      <c r="V192" s="2">
        <v>20193.073414818817</v>
      </c>
      <c r="W192" s="2">
        <v>4035.5588555952668</v>
      </c>
      <c r="X192" s="2">
        <v>7084.3196046404191</v>
      </c>
      <c r="Y192" s="2">
        <v>27505.724833405602</v>
      </c>
      <c r="Z192" s="2">
        <v>12558.43754740262</v>
      </c>
      <c r="AA192" s="2">
        <v>3892.2106964127511</v>
      </c>
      <c r="AB192" s="2">
        <v>8995.3451599926266</v>
      </c>
      <c r="AC192" s="2">
        <v>30.5</v>
      </c>
      <c r="AD192" s="2">
        <v>1367.1</v>
      </c>
      <c r="AE192" s="24"/>
    </row>
    <row r="193" spans="1:31">
      <c r="A193" s="1">
        <v>2022</v>
      </c>
      <c r="B193" s="9" t="s">
        <v>27</v>
      </c>
      <c r="C193" s="1" t="s">
        <v>140</v>
      </c>
      <c r="D193" s="10">
        <v>64.400000000000006</v>
      </c>
      <c r="E193" s="1">
        <v>12</v>
      </c>
      <c r="F193" s="10">
        <v>22.9</v>
      </c>
      <c r="G193" s="1">
        <v>17</v>
      </c>
      <c r="H193" s="10">
        <v>33.1</v>
      </c>
      <c r="I193" s="1">
        <v>42</v>
      </c>
      <c r="J193" s="10">
        <v>34.6</v>
      </c>
      <c r="K193" s="1">
        <v>31</v>
      </c>
      <c r="L193" s="10">
        <v>84.4</v>
      </c>
      <c r="M193" s="1">
        <v>5</v>
      </c>
      <c r="N193" s="14">
        <f t="shared" si="10"/>
        <v>106.27062706270627</v>
      </c>
      <c r="O193" s="14">
        <f t="shared" si="11"/>
        <v>94.238683127572003</v>
      </c>
      <c r="P193" s="14">
        <f t="shared" si="12"/>
        <v>94.571428571428569</v>
      </c>
      <c r="Q193" s="14">
        <f t="shared" si="13"/>
        <v>290.75630252100837</v>
      </c>
      <c r="R193" s="14">
        <f t="shared" si="14"/>
        <v>100.95693779904306</v>
      </c>
      <c r="S193" s="2">
        <v>211072.98510298607</v>
      </c>
      <c r="T193" s="2">
        <v>55076.163601855049</v>
      </c>
      <c r="U193" s="2">
        <v>131202.70073633516</v>
      </c>
      <c r="V193" s="2">
        <v>20055.150151614809</v>
      </c>
      <c r="W193" s="2">
        <v>4738.9706131810681</v>
      </c>
      <c r="X193" s="2">
        <v>6349.8078756089672</v>
      </c>
      <c r="Y193" s="2">
        <v>27295.075812003215</v>
      </c>
      <c r="Z193" s="2">
        <v>12797.643988918746</v>
      </c>
      <c r="AA193" s="2">
        <v>3952.4380830481268</v>
      </c>
      <c r="AB193" s="2">
        <v>8617.3918933456735</v>
      </c>
      <c r="AC193" s="2">
        <v>24.6</v>
      </c>
      <c r="AD193" s="2">
        <v>1078.7</v>
      </c>
      <c r="AE193" s="24"/>
    </row>
    <row r="194" spans="1:31">
      <c r="A194" s="1">
        <v>2022</v>
      </c>
      <c r="B194" s="9" t="s">
        <v>29</v>
      </c>
      <c r="C194" s="1" t="s">
        <v>141</v>
      </c>
      <c r="D194" s="10">
        <v>61.2</v>
      </c>
      <c r="E194" s="1">
        <v>19</v>
      </c>
      <c r="F194" s="10">
        <v>31.9</v>
      </c>
      <c r="G194" s="1">
        <v>4</v>
      </c>
      <c r="H194" s="10">
        <v>34.299999999999997</v>
      </c>
      <c r="I194" s="1">
        <v>21</v>
      </c>
      <c r="J194" s="10">
        <v>37.6</v>
      </c>
      <c r="K194" s="1">
        <v>9</v>
      </c>
      <c r="L194" s="10">
        <v>83.4</v>
      </c>
      <c r="M194" s="1">
        <v>9</v>
      </c>
      <c r="N194" s="14">
        <f t="shared" si="10"/>
        <v>103.37837837837837</v>
      </c>
      <c r="O194" s="14">
        <f t="shared" si="11"/>
        <v>88.121546961325961</v>
      </c>
      <c r="P194" s="14">
        <f t="shared" si="12"/>
        <v>99.420289855072454</v>
      </c>
      <c r="Q194" s="14">
        <f t="shared" si="13"/>
        <v>417.77777777777783</v>
      </c>
      <c r="R194" s="14">
        <f t="shared" si="14"/>
        <v>101.09090909090909</v>
      </c>
      <c r="S194" s="2">
        <v>224344.69228145332</v>
      </c>
      <c r="T194" s="2">
        <v>61062.849472568778</v>
      </c>
      <c r="U194" s="2">
        <v>137315.24581284518</v>
      </c>
      <c r="V194" s="2">
        <v>21777.889835250538</v>
      </c>
      <c r="W194" s="2">
        <v>4188.7071607888092</v>
      </c>
      <c r="X194" s="2">
        <v>6575.7131907899293</v>
      </c>
      <c r="Y194" s="2">
        <v>28304.561358525367</v>
      </c>
      <c r="Z194" s="2">
        <v>13104.120285434339</v>
      </c>
      <c r="AA194" s="2">
        <v>4488.0410095598163</v>
      </c>
      <c r="AB194" s="2">
        <v>8520.938567110541</v>
      </c>
      <c r="AC194" s="2">
        <v>30.1</v>
      </c>
      <c r="AD194" s="2">
        <v>1514.9</v>
      </c>
      <c r="AE194" s="24"/>
    </row>
    <row r="195" spans="1:31">
      <c r="A195" s="1">
        <v>2022</v>
      </c>
      <c r="B195" s="9" t="s">
        <v>31</v>
      </c>
      <c r="C195" s="1" t="s">
        <v>142</v>
      </c>
      <c r="D195" s="10">
        <v>77.3</v>
      </c>
      <c r="E195" s="1">
        <v>1</v>
      </c>
      <c r="F195" s="10">
        <v>25.7</v>
      </c>
      <c r="G195" s="1">
        <v>11</v>
      </c>
      <c r="H195" s="10">
        <v>34.4</v>
      </c>
      <c r="I195" s="1">
        <v>19</v>
      </c>
      <c r="J195" s="10">
        <v>40.200000000000003</v>
      </c>
      <c r="K195" s="1">
        <v>1</v>
      </c>
      <c r="L195" s="10">
        <v>85.2</v>
      </c>
      <c r="M195" s="1">
        <v>4</v>
      </c>
      <c r="N195" s="14">
        <f t="shared" si="10"/>
        <v>102.92942743009321</v>
      </c>
      <c r="O195" s="14">
        <f t="shared" si="11"/>
        <v>94.139194139194132</v>
      </c>
      <c r="P195" s="14">
        <f t="shared" si="12"/>
        <v>99.135446685878946</v>
      </c>
      <c r="Q195" s="14">
        <f t="shared" si="13"/>
        <v>382.85714285714289</v>
      </c>
      <c r="R195" s="14">
        <f t="shared" si="14"/>
        <v>101.42857142857142</v>
      </c>
      <c r="S195" s="2">
        <v>213688.41611708404</v>
      </c>
      <c r="T195" s="2">
        <v>56406.711657718493</v>
      </c>
      <c r="U195" s="2">
        <v>132436.36083467095</v>
      </c>
      <c r="V195" s="2">
        <v>21151.641795538828</v>
      </c>
      <c r="W195" s="2">
        <v>3693.7018291557488</v>
      </c>
      <c r="X195" s="2">
        <v>5827.3256655781261</v>
      </c>
      <c r="Y195" s="2">
        <v>28201.461744661541</v>
      </c>
      <c r="Z195" s="2">
        <v>13625.202836021479</v>
      </c>
      <c r="AA195" s="2">
        <v>5146.4212038301866</v>
      </c>
      <c r="AB195" s="2">
        <v>7430.9289965572634</v>
      </c>
      <c r="AC195" s="2">
        <v>28.2</v>
      </c>
      <c r="AD195" s="2">
        <v>1355.7</v>
      </c>
      <c r="AE195" s="24"/>
    </row>
    <row r="196" spans="1:31">
      <c r="A196" s="1">
        <v>2022</v>
      </c>
      <c r="B196" s="9" t="s">
        <v>33</v>
      </c>
      <c r="C196" s="1" t="s">
        <v>143</v>
      </c>
      <c r="D196" s="10">
        <v>58.2</v>
      </c>
      <c r="E196" s="1">
        <v>26</v>
      </c>
      <c r="F196" s="10">
        <v>26.7</v>
      </c>
      <c r="G196" s="1">
        <v>9</v>
      </c>
      <c r="H196" s="10">
        <v>34</v>
      </c>
      <c r="I196" s="1">
        <v>27</v>
      </c>
      <c r="J196" s="10">
        <v>34.200000000000003</v>
      </c>
      <c r="K196" s="1">
        <v>32</v>
      </c>
      <c r="L196" s="10">
        <v>83.3</v>
      </c>
      <c r="M196" s="1">
        <v>10</v>
      </c>
      <c r="N196" s="14">
        <f t="shared" si="10"/>
        <v>101.39372822299653</v>
      </c>
      <c r="O196" s="14">
        <f t="shared" si="11"/>
        <v>101.13636363636364</v>
      </c>
      <c r="P196" s="14">
        <f t="shared" si="12"/>
        <v>96.866096866096868</v>
      </c>
      <c r="Q196" s="14">
        <f t="shared" si="13"/>
        <v>313.76146788990826</v>
      </c>
      <c r="R196" s="14">
        <f t="shared" si="14"/>
        <v>100.96969696969697</v>
      </c>
      <c r="S196" s="2">
        <v>202444.13161993379</v>
      </c>
      <c r="T196" s="2">
        <v>52109.079306792257</v>
      </c>
      <c r="U196" s="2">
        <v>126708.22162834203</v>
      </c>
      <c r="V196" s="2">
        <v>19621.787752970111</v>
      </c>
      <c r="W196" s="2">
        <v>4005.0429318293636</v>
      </c>
      <c r="X196" s="2">
        <v>5839.3044362280298</v>
      </c>
      <c r="Y196" s="2">
        <v>27255.116503597561</v>
      </c>
      <c r="Z196" s="2">
        <v>12947.248422931507</v>
      </c>
      <c r="AA196" s="2">
        <v>3585.4045021216602</v>
      </c>
      <c r="AB196" s="2">
        <v>8605.6837333548519</v>
      </c>
      <c r="AC196" s="2">
        <v>27.7</v>
      </c>
      <c r="AD196" s="2">
        <v>1345.3</v>
      </c>
      <c r="AE196" s="24"/>
    </row>
    <row r="197" spans="1:31">
      <c r="A197" s="1">
        <v>2022</v>
      </c>
      <c r="B197" s="9" t="s">
        <v>35</v>
      </c>
      <c r="C197" s="1" t="s">
        <v>144</v>
      </c>
      <c r="D197" s="10">
        <v>55.5</v>
      </c>
      <c r="E197" s="1">
        <v>36</v>
      </c>
      <c r="F197" s="10">
        <v>15</v>
      </c>
      <c r="G197" s="1">
        <v>39</v>
      </c>
      <c r="H197" s="10">
        <v>33.299999999999997</v>
      </c>
      <c r="I197" s="1">
        <v>37</v>
      </c>
      <c r="J197" s="10">
        <v>35.200000000000003</v>
      </c>
      <c r="K197" s="1">
        <v>26</v>
      </c>
      <c r="L197" s="10">
        <v>80.8</v>
      </c>
      <c r="M197" s="1">
        <v>31</v>
      </c>
      <c r="N197" s="14">
        <f t="shared" si="10"/>
        <v>99.284436493738824</v>
      </c>
      <c r="O197" s="14">
        <f t="shared" si="11"/>
        <v>100.67114093959731</v>
      </c>
      <c r="P197" s="14">
        <f t="shared" si="12"/>
        <v>100.90909090909091</v>
      </c>
      <c r="Q197" s="14">
        <f t="shared" si="13"/>
        <v>290.90909090909093</v>
      </c>
      <c r="R197" s="14">
        <f t="shared" si="14"/>
        <v>101.50753768844221</v>
      </c>
      <c r="S197" s="2">
        <v>195546.09505787183</v>
      </c>
      <c r="T197" s="2">
        <v>48198.286592211429</v>
      </c>
      <c r="U197" s="2">
        <v>123844.40840772033</v>
      </c>
      <c r="V197" s="2">
        <v>19863.049824517355</v>
      </c>
      <c r="W197" s="2">
        <v>3640.3502334227014</v>
      </c>
      <c r="X197" s="2">
        <v>5854.9532094896313</v>
      </c>
      <c r="Y197" s="2">
        <v>23545.562210454817</v>
      </c>
      <c r="Z197" s="2">
        <v>10237.085269876245</v>
      </c>
      <c r="AA197" s="2">
        <v>3276.1220295203789</v>
      </c>
      <c r="AB197" s="2">
        <v>7976.9862772491651</v>
      </c>
      <c r="AC197" s="2">
        <v>26.7</v>
      </c>
      <c r="AD197" s="2">
        <v>1075</v>
      </c>
      <c r="AE197" s="24"/>
    </row>
    <row r="198" spans="1:31">
      <c r="A198" s="1">
        <v>2022</v>
      </c>
      <c r="B198" s="9" t="s">
        <v>37</v>
      </c>
      <c r="C198" s="1" t="s">
        <v>145</v>
      </c>
      <c r="D198" s="10">
        <v>61</v>
      </c>
      <c r="E198" s="1">
        <v>21</v>
      </c>
      <c r="F198" s="10">
        <v>25.4</v>
      </c>
      <c r="G198" s="1">
        <v>13</v>
      </c>
      <c r="H198" s="10">
        <v>34.4</v>
      </c>
      <c r="I198" s="1">
        <v>18</v>
      </c>
      <c r="J198" s="10">
        <v>36.6</v>
      </c>
      <c r="K198" s="1">
        <v>13</v>
      </c>
      <c r="L198" s="10">
        <v>81.400000000000006</v>
      </c>
      <c r="M198" s="1">
        <v>26</v>
      </c>
      <c r="N198" s="14">
        <f t="shared" si="10"/>
        <v>104.63121783876501</v>
      </c>
      <c r="O198" s="14">
        <f t="shared" si="11"/>
        <v>106.27615062761507</v>
      </c>
      <c r="P198" s="14">
        <f t="shared" si="12"/>
        <v>98.567335243553018</v>
      </c>
      <c r="Q198" s="14">
        <f t="shared" si="13"/>
        <v>332.72727272727275</v>
      </c>
      <c r="R198" s="14">
        <f t="shared" si="14"/>
        <v>101.24378109452736</v>
      </c>
      <c r="S198" s="2">
        <v>200987.9216050363</v>
      </c>
      <c r="T198" s="2">
        <v>49821.861021998804</v>
      </c>
      <c r="U198" s="2">
        <v>127153.29718357787</v>
      </c>
      <c r="V198" s="2">
        <v>19663.088118710744</v>
      </c>
      <c r="W198" s="2">
        <v>4349.6752807488492</v>
      </c>
      <c r="X198" s="2">
        <v>6165.0762278330767</v>
      </c>
      <c r="Y198" s="2">
        <v>23800.394142674246</v>
      </c>
      <c r="Z198" s="2">
        <v>10592.955690092676</v>
      </c>
      <c r="AA198" s="2">
        <v>3623.1779058042453</v>
      </c>
      <c r="AB198" s="2">
        <v>7608.6371652283024</v>
      </c>
      <c r="AC198" s="2">
        <v>28.2</v>
      </c>
      <c r="AD198" s="2">
        <v>1107.2</v>
      </c>
      <c r="AE198" s="24"/>
    </row>
    <row r="199" spans="1:31">
      <c r="A199" s="1">
        <v>2022</v>
      </c>
      <c r="B199" s="9" t="s">
        <v>39</v>
      </c>
      <c r="C199" s="1" t="s">
        <v>146</v>
      </c>
      <c r="D199" s="10">
        <v>55.2</v>
      </c>
      <c r="E199" s="1">
        <v>38</v>
      </c>
      <c r="F199" s="10">
        <v>13.2</v>
      </c>
      <c r="G199" s="1">
        <v>42</v>
      </c>
      <c r="H199" s="10">
        <v>33</v>
      </c>
      <c r="I199" s="1">
        <v>43</v>
      </c>
      <c r="J199" s="10">
        <v>33.700000000000003</v>
      </c>
      <c r="K199" s="1">
        <v>37</v>
      </c>
      <c r="L199" s="10">
        <v>82</v>
      </c>
      <c r="M199" s="1">
        <v>21</v>
      </c>
      <c r="N199" s="14">
        <f t="shared" si="10"/>
        <v>101.8450184501845</v>
      </c>
      <c r="O199" s="14">
        <f t="shared" si="11"/>
        <v>106.45161290322579</v>
      </c>
      <c r="P199" s="14">
        <f t="shared" si="12"/>
        <v>98.214285714285708</v>
      </c>
      <c r="Q199" s="14">
        <f t="shared" si="13"/>
        <v>358.51063829787233</v>
      </c>
      <c r="R199" s="14">
        <f t="shared" si="14"/>
        <v>100.98522167487684</v>
      </c>
      <c r="S199" s="2">
        <v>196137.66709101881</v>
      </c>
      <c r="T199" s="2">
        <v>49540.230649852259</v>
      </c>
      <c r="U199" s="2">
        <v>122421.80822929577</v>
      </c>
      <c r="V199" s="2">
        <v>19700.365418748785</v>
      </c>
      <c r="W199" s="2">
        <v>4475.2627931220068</v>
      </c>
      <c r="X199" s="2">
        <v>6204.5202734865379</v>
      </c>
      <c r="Y199" s="2">
        <v>22151.627262964423</v>
      </c>
      <c r="Z199" s="2">
        <v>9437.9593977924687</v>
      </c>
      <c r="AA199" s="2">
        <v>2892.4150690171036</v>
      </c>
      <c r="AB199" s="2">
        <v>7799.587848737503</v>
      </c>
      <c r="AC199" s="2">
        <v>27.8</v>
      </c>
      <c r="AD199" s="2">
        <v>1224.3</v>
      </c>
      <c r="AE199" s="24"/>
    </row>
    <row r="200" spans="1:31">
      <c r="A200" s="1">
        <v>2022</v>
      </c>
      <c r="B200" s="9" t="s">
        <v>41</v>
      </c>
      <c r="C200" s="1" t="s">
        <v>147</v>
      </c>
      <c r="D200" s="10">
        <v>49.8</v>
      </c>
      <c r="E200" s="1">
        <v>43</v>
      </c>
      <c r="F200" s="10">
        <v>8.4</v>
      </c>
      <c r="G200" s="1">
        <v>47</v>
      </c>
      <c r="H200" s="10">
        <v>33.700000000000003</v>
      </c>
      <c r="I200" s="1">
        <v>31</v>
      </c>
      <c r="J200" s="10">
        <v>32.200000000000003</v>
      </c>
      <c r="K200" s="1">
        <v>45</v>
      </c>
      <c r="L200" s="10">
        <v>81.599999999999994</v>
      </c>
      <c r="M200" s="1">
        <v>25</v>
      </c>
      <c r="N200" s="14">
        <f t="shared" si="10"/>
        <v>103.74999999999999</v>
      </c>
      <c r="O200" s="14">
        <f t="shared" si="11"/>
        <v>89.361702127659569</v>
      </c>
      <c r="P200" s="14">
        <f t="shared" si="12"/>
        <v>97.965116279069775</v>
      </c>
      <c r="Q200" s="14">
        <f t="shared" si="13"/>
        <v>361.79775280898878</v>
      </c>
      <c r="R200" s="14">
        <f t="shared" si="14"/>
        <v>101.36645962732918</v>
      </c>
      <c r="S200" s="2">
        <v>194767.42204633687</v>
      </c>
      <c r="T200" s="2">
        <v>47756.524782506778</v>
      </c>
      <c r="U200" s="2">
        <v>121518.78776082821</v>
      </c>
      <c r="V200" s="2">
        <v>20593.103928639557</v>
      </c>
      <c r="W200" s="2">
        <v>4899.0055743623388</v>
      </c>
      <c r="X200" s="2">
        <v>6481.1778597921048</v>
      </c>
      <c r="Y200" s="2">
        <v>22003.938050314689</v>
      </c>
      <c r="Z200" s="2">
        <v>9963.1132612614674</v>
      </c>
      <c r="AA200" s="2">
        <v>2818.18518131885</v>
      </c>
      <c r="AB200" s="2">
        <v>7228.5309437646538</v>
      </c>
      <c r="AC200" s="2">
        <v>27.5</v>
      </c>
      <c r="AD200" s="2">
        <v>857.2</v>
      </c>
      <c r="AE200" s="24"/>
    </row>
    <row r="201" spans="1:31">
      <c r="A201" s="1">
        <v>2022</v>
      </c>
      <c r="B201" s="9" t="s">
        <v>43</v>
      </c>
      <c r="C201" s="1" t="s">
        <v>148</v>
      </c>
      <c r="D201" s="10">
        <v>46.9</v>
      </c>
      <c r="E201" s="1">
        <v>47</v>
      </c>
      <c r="F201" s="10">
        <v>14.4</v>
      </c>
      <c r="G201" s="1">
        <v>41</v>
      </c>
      <c r="H201" s="10">
        <v>34.200000000000003</v>
      </c>
      <c r="I201" s="1">
        <v>22</v>
      </c>
      <c r="J201" s="10">
        <v>32.200000000000003</v>
      </c>
      <c r="K201" s="1">
        <v>43</v>
      </c>
      <c r="L201" s="10">
        <v>81.7</v>
      </c>
      <c r="M201" s="1">
        <v>24</v>
      </c>
      <c r="N201" s="14">
        <f t="shared" si="10"/>
        <v>104.6875</v>
      </c>
      <c r="O201" s="14">
        <f t="shared" si="11"/>
        <v>99.310344827586206</v>
      </c>
      <c r="P201" s="14">
        <f t="shared" si="12"/>
        <v>98.275862068965537</v>
      </c>
      <c r="Q201" s="14">
        <f t="shared" si="13"/>
        <v>350.00000000000006</v>
      </c>
      <c r="R201" s="14">
        <f t="shared" si="14"/>
        <v>101.23915737298637</v>
      </c>
      <c r="S201" s="2">
        <v>197550.82893746867</v>
      </c>
      <c r="T201" s="2">
        <v>50301.261601990249</v>
      </c>
      <c r="U201" s="2">
        <v>121460.28755818389</v>
      </c>
      <c r="V201" s="2">
        <v>21273.318741230392</v>
      </c>
      <c r="W201" s="2">
        <v>4515.9610360641391</v>
      </c>
      <c r="X201" s="2">
        <v>6938.9904061069101</v>
      </c>
      <c r="Y201" s="2">
        <v>22687.33342725347</v>
      </c>
      <c r="Z201" s="2">
        <v>9714.8466769633978</v>
      </c>
      <c r="AA201" s="2">
        <v>2992.4414717844293</v>
      </c>
      <c r="AB201" s="2">
        <v>7964.0361334096187</v>
      </c>
      <c r="AC201" s="2">
        <v>25.9</v>
      </c>
      <c r="AD201" s="2">
        <v>954.4</v>
      </c>
      <c r="AE201" s="24"/>
    </row>
    <row r="202" spans="1:31">
      <c r="A202" s="1">
        <v>2022</v>
      </c>
      <c r="B202" s="9" t="s">
        <v>45</v>
      </c>
      <c r="C202" s="1" t="s">
        <v>149</v>
      </c>
      <c r="D202" s="10">
        <v>53.1</v>
      </c>
      <c r="E202" s="1">
        <v>42</v>
      </c>
      <c r="F202" s="10">
        <v>9.5</v>
      </c>
      <c r="G202" s="1">
        <v>46</v>
      </c>
      <c r="H202" s="10">
        <v>35.200000000000003</v>
      </c>
      <c r="I202" s="1">
        <v>7</v>
      </c>
      <c r="J202" s="10">
        <v>34.1</v>
      </c>
      <c r="K202" s="1">
        <v>33</v>
      </c>
      <c r="L202" s="10">
        <v>80.400000000000006</v>
      </c>
      <c r="M202" s="1">
        <v>34</v>
      </c>
      <c r="N202" s="14">
        <f t="shared" si="10"/>
        <v>103.10679611650487</v>
      </c>
      <c r="O202" s="14">
        <f t="shared" si="11"/>
        <v>106.74157303370787</v>
      </c>
      <c r="P202" s="14">
        <f t="shared" si="12"/>
        <v>99.154929577464799</v>
      </c>
      <c r="Q202" s="14">
        <f t="shared" si="13"/>
        <v>383.14606741573033</v>
      </c>
      <c r="R202" s="14">
        <f t="shared" si="14"/>
        <v>101.51515151515152</v>
      </c>
      <c r="S202" s="2">
        <v>194926.06937838637</v>
      </c>
      <c r="T202" s="2">
        <v>45872.879594260732</v>
      </c>
      <c r="U202" s="2">
        <v>121969.48038651979</v>
      </c>
      <c r="V202" s="2">
        <v>22200.081460542246</v>
      </c>
      <c r="W202" s="2">
        <v>4883.6279370635812</v>
      </c>
      <c r="X202" s="2">
        <v>5514.6779931345936</v>
      </c>
      <c r="Y202" s="2">
        <v>18011.619913466562</v>
      </c>
      <c r="Z202" s="2">
        <v>7542.3401026947322</v>
      </c>
      <c r="AA202" s="2">
        <v>2795.8550654527171</v>
      </c>
      <c r="AB202" s="2">
        <v>5954.5553568888236</v>
      </c>
      <c r="AC202" s="2">
        <v>21.6</v>
      </c>
      <c r="AD202" s="2">
        <v>891.5</v>
      </c>
      <c r="AE202" s="24"/>
    </row>
    <row r="203" spans="1:31">
      <c r="A203" s="1">
        <v>2022</v>
      </c>
      <c r="B203" s="9" t="s">
        <v>47</v>
      </c>
      <c r="C203" s="1" t="s">
        <v>150</v>
      </c>
      <c r="D203" s="10">
        <v>48.2</v>
      </c>
      <c r="E203" s="1">
        <v>46</v>
      </c>
      <c r="F203" s="10">
        <v>10.4</v>
      </c>
      <c r="G203" s="1">
        <v>45</v>
      </c>
      <c r="H203" s="10">
        <v>34</v>
      </c>
      <c r="I203" s="1">
        <v>28</v>
      </c>
      <c r="J203" s="10">
        <v>33.9</v>
      </c>
      <c r="K203" s="1">
        <v>34</v>
      </c>
      <c r="L203" s="10">
        <v>80.900000000000006</v>
      </c>
      <c r="M203" s="1">
        <v>29</v>
      </c>
      <c r="N203" s="14">
        <f t="shared" si="10"/>
        <v>103.65591397849462</v>
      </c>
      <c r="O203" s="14">
        <f t="shared" si="11"/>
        <v>99.047619047619051</v>
      </c>
      <c r="P203" s="14">
        <f t="shared" si="12"/>
        <v>96.866096866096868</v>
      </c>
      <c r="Q203" s="14">
        <f t="shared" si="13"/>
        <v>292.24137931034483</v>
      </c>
      <c r="R203" s="14">
        <f t="shared" si="14"/>
        <v>101.50564617314932</v>
      </c>
      <c r="S203" s="2">
        <v>204398.69900130463</v>
      </c>
      <c r="T203" s="2">
        <v>50633.770750714015</v>
      </c>
      <c r="U203" s="2">
        <v>126742.63780021585</v>
      </c>
      <c r="V203" s="2">
        <v>22420.643113777736</v>
      </c>
      <c r="W203" s="2">
        <v>4601.6473365970305</v>
      </c>
      <c r="X203" s="2">
        <v>6761.0718068515835</v>
      </c>
      <c r="Y203" s="2">
        <v>21854.371383979615</v>
      </c>
      <c r="Z203" s="2">
        <v>9164.8019878550585</v>
      </c>
      <c r="AA203" s="2">
        <v>3305.2950355640637</v>
      </c>
      <c r="AB203" s="2">
        <v>7327.566292096767</v>
      </c>
      <c r="AC203" s="2">
        <v>22.4</v>
      </c>
      <c r="AD203" s="2">
        <v>798.9</v>
      </c>
      <c r="AE203" s="24"/>
    </row>
    <row r="204" spans="1:31">
      <c r="A204" s="1">
        <v>2022</v>
      </c>
      <c r="B204" s="9" t="s">
        <v>49</v>
      </c>
      <c r="C204" s="1" t="s">
        <v>151</v>
      </c>
      <c r="D204" s="10">
        <v>69.900000000000006</v>
      </c>
      <c r="E204" s="1">
        <v>4</v>
      </c>
      <c r="F204" s="10">
        <v>22</v>
      </c>
      <c r="G204" s="1">
        <v>20</v>
      </c>
      <c r="H204" s="10">
        <v>33.5</v>
      </c>
      <c r="I204" s="1">
        <v>34</v>
      </c>
      <c r="J204" s="10">
        <v>38.6</v>
      </c>
      <c r="K204" s="1">
        <v>6</v>
      </c>
      <c r="L204" s="10">
        <v>82.9</v>
      </c>
      <c r="M204" s="1">
        <v>14</v>
      </c>
      <c r="N204" s="14">
        <f t="shared" si="10"/>
        <v>103.55555555555556</v>
      </c>
      <c r="O204" s="14">
        <f t="shared" si="11"/>
        <v>100.45662100456623</v>
      </c>
      <c r="P204" s="14">
        <f t="shared" si="12"/>
        <v>95.988538681948427</v>
      </c>
      <c r="Q204" s="14">
        <f t="shared" si="13"/>
        <v>335.6521739130435</v>
      </c>
      <c r="R204" s="14">
        <f t="shared" si="14"/>
        <v>101.22100122100122</v>
      </c>
      <c r="S204" s="2">
        <v>189541.81277244192</v>
      </c>
      <c r="T204" s="2">
        <v>48240.33708674676</v>
      </c>
      <c r="U204" s="2">
        <v>117625.82645547579</v>
      </c>
      <c r="V204" s="2">
        <v>20013.631043349473</v>
      </c>
      <c r="W204" s="2">
        <v>3662.0181868698805</v>
      </c>
      <c r="X204" s="2">
        <v>4902.9242068068952</v>
      </c>
      <c r="Y204" s="2">
        <v>20723.248086919542</v>
      </c>
      <c r="Z204" s="2">
        <v>9027.290895469956</v>
      </c>
      <c r="AA204" s="2">
        <v>3642.9548000272894</v>
      </c>
      <c r="AB204" s="2">
        <v>6309.6523781925862</v>
      </c>
      <c r="AC204" s="2">
        <v>29.4</v>
      </c>
      <c r="AD204" s="2">
        <v>1217.2</v>
      </c>
      <c r="AE204" s="24"/>
    </row>
    <row r="205" spans="1:31">
      <c r="A205" s="1">
        <v>2022</v>
      </c>
      <c r="B205" s="9" t="s">
        <v>51</v>
      </c>
      <c r="C205" s="1" t="s">
        <v>152</v>
      </c>
      <c r="D205" s="10">
        <v>71.8</v>
      </c>
      <c r="E205" s="1">
        <v>2</v>
      </c>
      <c r="F205" s="10">
        <v>31.9</v>
      </c>
      <c r="G205" s="1">
        <v>5</v>
      </c>
      <c r="H205" s="10">
        <v>33.5</v>
      </c>
      <c r="I205" s="1">
        <v>35</v>
      </c>
      <c r="J205" s="10">
        <v>39.4</v>
      </c>
      <c r="K205" s="1">
        <v>2</v>
      </c>
      <c r="L205" s="10">
        <v>81.900000000000006</v>
      </c>
      <c r="M205" s="1">
        <v>22</v>
      </c>
      <c r="N205" s="14">
        <f t="shared" si="10"/>
        <v>103.90738060781477</v>
      </c>
      <c r="O205" s="14">
        <f t="shared" si="11"/>
        <v>96.374622356495465</v>
      </c>
      <c r="P205" s="14">
        <f t="shared" si="12"/>
        <v>99.406528189910972</v>
      </c>
      <c r="Q205" s="14">
        <f t="shared" si="13"/>
        <v>303.07692307692309</v>
      </c>
      <c r="R205" s="14">
        <f t="shared" si="14"/>
        <v>100.98643649815044</v>
      </c>
      <c r="S205" s="2">
        <v>192009.48317475227</v>
      </c>
      <c r="T205" s="2">
        <v>51764.485224256197</v>
      </c>
      <c r="U205" s="2">
        <v>116109.31535183778</v>
      </c>
      <c r="V205" s="2">
        <v>19707.810478885967</v>
      </c>
      <c r="W205" s="2">
        <v>4427.8721197723253</v>
      </c>
      <c r="X205" s="2">
        <v>5667.6634807874543</v>
      </c>
      <c r="Y205" s="2">
        <v>21100.568625846412</v>
      </c>
      <c r="Z205" s="2">
        <v>8942.1872722138214</v>
      </c>
      <c r="AA205" s="2">
        <v>3135.344803669931</v>
      </c>
      <c r="AB205" s="2">
        <v>7185.740467025209</v>
      </c>
      <c r="AC205" s="2">
        <v>29.7</v>
      </c>
      <c r="AD205" s="2">
        <v>1476</v>
      </c>
      <c r="AE205" s="24"/>
    </row>
    <row r="206" spans="1:31">
      <c r="A206" s="1">
        <v>2022</v>
      </c>
      <c r="B206" s="9" t="s">
        <v>53</v>
      </c>
      <c r="C206" s="1" t="s">
        <v>153</v>
      </c>
      <c r="D206" s="10">
        <v>66.599999999999994</v>
      </c>
      <c r="E206" s="1">
        <v>6</v>
      </c>
      <c r="F206" s="10">
        <v>23.7</v>
      </c>
      <c r="G206" s="1">
        <v>16</v>
      </c>
      <c r="H206" s="10">
        <v>33.9</v>
      </c>
      <c r="I206" s="1">
        <v>30</v>
      </c>
      <c r="J206" s="10">
        <v>36</v>
      </c>
      <c r="K206" s="1">
        <v>16</v>
      </c>
      <c r="L206" s="10">
        <v>81</v>
      </c>
      <c r="M206" s="1">
        <v>28</v>
      </c>
      <c r="N206" s="14">
        <f t="shared" si="10"/>
        <v>101.83486238532109</v>
      </c>
      <c r="O206" s="14">
        <f t="shared" si="11"/>
        <v>105.33333333333333</v>
      </c>
      <c r="P206" s="14">
        <f t="shared" si="12"/>
        <v>96.581196581196565</v>
      </c>
      <c r="Q206" s="14">
        <f t="shared" si="13"/>
        <v>292.6829268292683</v>
      </c>
      <c r="R206" s="14">
        <f t="shared" si="14"/>
        <v>101.25</v>
      </c>
      <c r="S206" s="2">
        <v>201160.85275436271</v>
      </c>
      <c r="T206" s="2">
        <v>54390.23216997819</v>
      </c>
      <c r="U206" s="2">
        <v>123425.12876431296</v>
      </c>
      <c r="V206" s="2">
        <v>18873.642933182415</v>
      </c>
      <c r="W206" s="2">
        <v>4471.8488868891591</v>
      </c>
      <c r="X206" s="2">
        <v>6619.1604168913836</v>
      </c>
      <c r="Y206" s="2">
        <v>21302.784294773151</v>
      </c>
      <c r="Z206" s="2">
        <v>8354.1857904741264</v>
      </c>
      <c r="AA206" s="2">
        <v>3350.0487641663121</v>
      </c>
      <c r="AB206" s="2">
        <v>7647.76205553625</v>
      </c>
      <c r="AC206" s="2">
        <v>30.2</v>
      </c>
      <c r="AD206" s="2">
        <v>1480.6</v>
      </c>
      <c r="AE206" s="24"/>
    </row>
    <row r="207" spans="1:31">
      <c r="A207" s="1">
        <v>2022</v>
      </c>
      <c r="B207" s="9" t="s">
        <v>55</v>
      </c>
      <c r="C207" s="1" t="s">
        <v>154</v>
      </c>
      <c r="D207" s="10">
        <v>65.400000000000006</v>
      </c>
      <c r="E207" s="1">
        <v>9</v>
      </c>
      <c r="F207" s="10">
        <v>21.9</v>
      </c>
      <c r="G207" s="1">
        <v>22</v>
      </c>
      <c r="H207" s="10">
        <v>34.200000000000003</v>
      </c>
      <c r="I207" s="1">
        <v>24</v>
      </c>
      <c r="J207" s="10">
        <v>35.700000000000003</v>
      </c>
      <c r="K207" s="1">
        <v>21</v>
      </c>
      <c r="L207" s="10">
        <v>79.900000000000006</v>
      </c>
      <c r="M207" s="1">
        <v>38</v>
      </c>
      <c r="N207" s="14">
        <f t="shared" si="10"/>
        <v>101.86915887850468</v>
      </c>
      <c r="O207" s="14">
        <f t="shared" si="11"/>
        <v>105.28846153846152</v>
      </c>
      <c r="P207" s="14">
        <f t="shared" si="12"/>
        <v>97.159090909090907</v>
      </c>
      <c r="Q207" s="14">
        <f t="shared" si="13"/>
        <v>256.83453237410072</v>
      </c>
      <c r="R207" s="14">
        <f t="shared" si="14"/>
        <v>100.7566204287516</v>
      </c>
      <c r="S207" s="2">
        <v>207921.67128944545</v>
      </c>
      <c r="T207" s="2">
        <v>58743.554650319114</v>
      </c>
      <c r="U207" s="2">
        <v>125293.19764190546</v>
      </c>
      <c r="V207" s="2">
        <v>19091.663064365071</v>
      </c>
      <c r="W207" s="2">
        <v>4793.2559328557918</v>
      </c>
      <c r="X207" s="2">
        <v>6700.7482227747541</v>
      </c>
      <c r="Y207" s="2">
        <v>22803.854143841887</v>
      </c>
      <c r="Z207" s="2">
        <v>10076.916326434057</v>
      </c>
      <c r="AA207" s="2">
        <v>3439.929751798235</v>
      </c>
      <c r="AB207" s="2">
        <v>7437.1535845276276</v>
      </c>
      <c r="AC207" s="2">
        <v>27.2</v>
      </c>
      <c r="AD207" s="2">
        <v>1361.1</v>
      </c>
      <c r="AE207" s="24"/>
    </row>
    <row r="208" spans="1:31">
      <c r="A208" s="1">
        <v>2022</v>
      </c>
      <c r="B208" s="9" t="s">
        <v>57</v>
      </c>
      <c r="C208" s="1" t="s">
        <v>155</v>
      </c>
      <c r="D208" s="10">
        <v>67.8</v>
      </c>
      <c r="E208" s="1">
        <v>5</v>
      </c>
      <c r="F208" s="10">
        <v>18.7</v>
      </c>
      <c r="G208" s="1">
        <v>29</v>
      </c>
      <c r="H208" s="10">
        <v>33.299999999999997</v>
      </c>
      <c r="I208" s="1">
        <v>39</v>
      </c>
      <c r="J208" s="10">
        <v>31.8</v>
      </c>
      <c r="K208" s="1">
        <v>46</v>
      </c>
      <c r="L208" s="10">
        <v>80.8</v>
      </c>
      <c r="M208" s="1">
        <v>30</v>
      </c>
      <c r="N208" s="14">
        <f t="shared" si="10"/>
        <v>105.11627906976744</v>
      </c>
      <c r="O208" s="14">
        <f t="shared" si="11"/>
        <v>89.047619047619037</v>
      </c>
      <c r="P208" s="14">
        <f t="shared" si="12"/>
        <v>99.700598802395206</v>
      </c>
      <c r="Q208" s="14">
        <f t="shared" si="13"/>
        <v>305.76923076923077</v>
      </c>
      <c r="R208" s="14">
        <f t="shared" si="14"/>
        <v>101.12640801001251</v>
      </c>
      <c r="S208" s="2">
        <v>203272.12504186432</v>
      </c>
      <c r="T208" s="2">
        <v>53646.162741833599</v>
      </c>
      <c r="U208" s="2">
        <v>123948.14302041734</v>
      </c>
      <c r="V208" s="2">
        <v>20908.257232256612</v>
      </c>
      <c r="W208" s="2">
        <v>4769.5620473567806</v>
      </c>
      <c r="X208" s="2">
        <v>5613.7735677348201</v>
      </c>
      <c r="Y208" s="2">
        <v>22254.451842458857</v>
      </c>
      <c r="Z208" s="2">
        <v>9825.1880179280779</v>
      </c>
      <c r="AA208" s="2">
        <v>3114.8806503677674</v>
      </c>
      <c r="AB208" s="2">
        <v>7422.3859049956636</v>
      </c>
      <c r="AC208" s="2">
        <v>28.8</v>
      </c>
      <c r="AD208" s="2">
        <v>1321.4</v>
      </c>
      <c r="AE208" s="24"/>
    </row>
    <row r="209" spans="1:31">
      <c r="A209" s="1">
        <v>2022</v>
      </c>
      <c r="B209" s="9" t="s">
        <v>59</v>
      </c>
      <c r="C209" s="1" t="s">
        <v>156</v>
      </c>
      <c r="D209" s="10">
        <v>64</v>
      </c>
      <c r="E209" s="1">
        <v>13</v>
      </c>
      <c r="F209" s="10">
        <v>29.4</v>
      </c>
      <c r="G209" s="1">
        <v>6</v>
      </c>
      <c r="H209" s="10">
        <v>34.6</v>
      </c>
      <c r="I209" s="1">
        <v>14</v>
      </c>
      <c r="J209" s="10">
        <v>36.299999999999997</v>
      </c>
      <c r="K209" s="1">
        <v>15</v>
      </c>
      <c r="L209" s="10">
        <v>82.6</v>
      </c>
      <c r="M209" s="1">
        <v>18</v>
      </c>
      <c r="N209" s="14">
        <f t="shared" si="10"/>
        <v>104.23452768729642</v>
      </c>
      <c r="O209" s="14">
        <f t="shared" si="11"/>
        <v>98.657718120805356</v>
      </c>
      <c r="P209" s="14">
        <f t="shared" si="12"/>
        <v>98.295454545454547</v>
      </c>
      <c r="Q209" s="14">
        <f t="shared" si="13"/>
        <v>349.03846153846149</v>
      </c>
      <c r="R209" s="14">
        <f t="shared" si="14"/>
        <v>101.10159118727049</v>
      </c>
      <c r="S209" s="2">
        <v>192175.26770484771</v>
      </c>
      <c r="T209" s="2">
        <v>49277.363359873227</v>
      </c>
      <c r="U209" s="2">
        <v>118861.45704530619</v>
      </c>
      <c r="V209" s="2">
        <v>19765.52605224857</v>
      </c>
      <c r="W209" s="2">
        <v>4270.9212474197548</v>
      </c>
      <c r="X209" s="2">
        <v>5563.4570539113147</v>
      </c>
      <c r="Y209" s="2">
        <v>20355.370854426248</v>
      </c>
      <c r="Z209" s="2">
        <v>8635.4168344385998</v>
      </c>
      <c r="AA209" s="2">
        <v>3418.8605621736169</v>
      </c>
      <c r="AB209" s="2">
        <v>6481.8584410072872</v>
      </c>
      <c r="AC209" s="2">
        <v>23.6</v>
      </c>
      <c r="AD209" s="2">
        <v>1136.3</v>
      </c>
      <c r="AE209" s="24"/>
    </row>
    <row r="210" spans="1:31">
      <c r="A210" s="1">
        <v>2022</v>
      </c>
      <c r="B210" s="9" t="s">
        <v>61</v>
      </c>
      <c r="C210" s="1" t="s">
        <v>157</v>
      </c>
      <c r="D210" s="10">
        <v>64.8</v>
      </c>
      <c r="E210" s="1">
        <v>10</v>
      </c>
      <c r="F210" s="10">
        <v>25.5</v>
      </c>
      <c r="G210" s="1">
        <v>12</v>
      </c>
      <c r="H210" s="10">
        <v>34.9</v>
      </c>
      <c r="I210" s="1">
        <v>9</v>
      </c>
      <c r="J210" s="10">
        <v>35.9</v>
      </c>
      <c r="K210" s="1">
        <v>17</v>
      </c>
      <c r="L210" s="10">
        <v>80.400000000000006</v>
      </c>
      <c r="M210" s="1">
        <v>35</v>
      </c>
      <c r="N210" s="14">
        <f t="shared" si="10"/>
        <v>102.20820189274448</v>
      </c>
      <c r="O210" s="14">
        <f t="shared" si="11"/>
        <v>98.076923076923066</v>
      </c>
      <c r="P210" s="14">
        <f t="shared" si="12"/>
        <v>96.675900277008296</v>
      </c>
      <c r="Q210" s="14">
        <f t="shared" si="13"/>
        <v>306.83760683760687</v>
      </c>
      <c r="R210" s="14">
        <f t="shared" si="14"/>
        <v>101.64348925410873</v>
      </c>
      <c r="S210" s="2">
        <v>200314.84830477173</v>
      </c>
      <c r="T210" s="2">
        <v>48503.077383644588</v>
      </c>
      <c r="U210" s="2">
        <v>123892.16727515291</v>
      </c>
      <c r="V210" s="2">
        <v>23043.182714198396</v>
      </c>
      <c r="W210" s="2">
        <v>4876.4209317758432</v>
      </c>
      <c r="X210" s="2">
        <v>5560.4347034059301</v>
      </c>
      <c r="Y210" s="2">
        <v>22251.104308457659</v>
      </c>
      <c r="Z210" s="2">
        <v>9779.4929988735239</v>
      </c>
      <c r="AA210" s="2">
        <v>3607.0229837242391</v>
      </c>
      <c r="AB210" s="2">
        <v>7062.2968908488647</v>
      </c>
      <c r="AC210" s="2">
        <v>23.5</v>
      </c>
      <c r="AD210" s="2">
        <v>1010.3</v>
      </c>
      <c r="AE210" s="24"/>
    </row>
    <row r="211" spans="1:31">
      <c r="A211" s="1">
        <v>2022</v>
      </c>
      <c r="B211" s="9" t="s">
        <v>63</v>
      </c>
      <c r="C211" s="1" t="s">
        <v>158</v>
      </c>
      <c r="D211" s="10">
        <v>59.4</v>
      </c>
      <c r="E211" s="1">
        <v>24</v>
      </c>
      <c r="F211" s="10">
        <v>16.7</v>
      </c>
      <c r="G211" s="1">
        <v>34</v>
      </c>
      <c r="H211" s="10">
        <v>34.700000000000003</v>
      </c>
      <c r="I211" s="1">
        <v>12</v>
      </c>
      <c r="J211" s="10">
        <v>35.299999999999997</v>
      </c>
      <c r="K211" s="1">
        <v>25</v>
      </c>
      <c r="L211" s="10">
        <v>82.1</v>
      </c>
      <c r="M211" s="1">
        <v>20</v>
      </c>
      <c r="N211" s="14">
        <f t="shared" si="10"/>
        <v>105.13274336283185</v>
      </c>
      <c r="O211" s="14">
        <f t="shared" si="11"/>
        <v>100</v>
      </c>
      <c r="P211" s="14">
        <f t="shared" si="12"/>
        <v>97.74647887323944</v>
      </c>
      <c r="Q211" s="14">
        <f t="shared" si="13"/>
        <v>286.99186991869914</v>
      </c>
      <c r="R211" s="14">
        <f t="shared" si="14"/>
        <v>101.10837438423643</v>
      </c>
      <c r="S211" s="2">
        <v>196994.81664767451</v>
      </c>
      <c r="T211" s="2">
        <v>47983.22099005121</v>
      </c>
      <c r="U211" s="2">
        <v>125288.80952694644</v>
      </c>
      <c r="V211" s="2">
        <v>19951.135615779771</v>
      </c>
      <c r="W211" s="2">
        <v>3771.6505148970841</v>
      </c>
      <c r="X211" s="2">
        <v>6315.2284908235015</v>
      </c>
      <c r="Y211" s="2">
        <v>21921.265342381295</v>
      </c>
      <c r="Z211" s="2">
        <v>9062.8223168843087</v>
      </c>
      <c r="AA211" s="2">
        <v>3566.4880346806385</v>
      </c>
      <c r="AB211" s="2">
        <v>7311.9258171492438</v>
      </c>
      <c r="AC211" s="2">
        <v>26.2</v>
      </c>
      <c r="AD211" s="2">
        <v>1012.6</v>
      </c>
      <c r="AE211" s="24"/>
    </row>
    <row r="212" spans="1:31">
      <c r="A212" s="1">
        <v>2022</v>
      </c>
      <c r="B212" s="9" t="s">
        <v>65</v>
      </c>
      <c r="C212" s="1" t="s">
        <v>159</v>
      </c>
      <c r="D212" s="10">
        <v>55.8</v>
      </c>
      <c r="E212" s="1">
        <v>35</v>
      </c>
      <c r="F212" s="10">
        <v>14.5</v>
      </c>
      <c r="G212" s="1">
        <v>40</v>
      </c>
      <c r="H212" s="10">
        <v>33.4</v>
      </c>
      <c r="I212" s="1">
        <v>36</v>
      </c>
      <c r="J212" s="10">
        <v>35.799999999999997</v>
      </c>
      <c r="K212" s="1">
        <v>19</v>
      </c>
      <c r="L212" s="10">
        <v>80.599999999999994</v>
      </c>
      <c r="M212" s="1">
        <v>32</v>
      </c>
      <c r="N212" s="14">
        <f t="shared" si="10"/>
        <v>105.08474576271185</v>
      </c>
      <c r="O212" s="14">
        <f t="shared" si="11"/>
        <v>106.61764705882352</v>
      </c>
      <c r="P212" s="14">
        <f t="shared" si="12"/>
        <v>96.253602305475496</v>
      </c>
      <c r="Q212" s="14">
        <f t="shared" si="13"/>
        <v>340.95238095238096</v>
      </c>
      <c r="R212" s="14">
        <f t="shared" si="14"/>
        <v>101.38364779874213</v>
      </c>
      <c r="S212" s="2">
        <v>196469.23275248753</v>
      </c>
      <c r="T212" s="2">
        <v>44717.773037667132</v>
      </c>
      <c r="U212" s="2">
        <v>123742.59987165702</v>
      </c>
      <c r="V212" s="2">
        <v>23562.790385383621</v>
      </c>
      <c r="W212" s="2">
        <v>4446.0694577797403</v>
      </c>
      <c r="X212" s="2">
        <v>5344.7362016229563</v>
      </c>
      <c r="Y212" s="2">
        <v>20403.07304718245</v>
      </c>
      <c r="Z212" s="2">
        <v>8416.4231156565784</v>
      </c>
      <c r="AA212" s="2">
        <v>3268.706309884752</v>
      </c>
      <c r="AB212" s="2">
        <v>6894.3981538416247</v>
      </c>
      <c r="AC212" s="2">
        <v>22.7</v>
      </c>
      <c r="AD212" s="2">
        <v>879.7</v>
      </c>
      <c r="AE212" s="24"/>
    </row>
    <row r="213" spans="1:31">
      <c r="A213" s="1">
        <v>2022</v>
      </c>
      <c r="B213" s="9" t="s">
        <v>67</v>
      </c>
      <c r="C213" s="1" t="s">
        <v>160</v>
      </c>
      <c r="D213" s="10">
        <v>64.400000000000006</v>
      </c>
      <c r="E213" s="1">
        <v>11</v>
      </c>
      <c r="F213" s="10">
        <v>15.4</v>
      </c>
      <c r="G213" s="1">
        <v>36</v>
      </c>
      <c r="H213" s="10">
        <v>34</v>
      </c>
      <c r="I213" s="1">
        <v>29</v>
      </c>
      <c r="J213" s="10">
        <v>35.1</v>
      </c>
      <c r="K213" s="1">
        <v>27</v>
      </c>
      <c r="L213" s="10">
        <v>80.2</v>
      </c>
      <c r="M213" s="1">
        <v>36</v>
      </c>
      <c r="N213" s="14">
        <f t="shared" si="10"/>
        <v>106.6225165562914</v>
      </c>
      <c r="O213" s="14">
        <f t="shared" si="11"/>
        <v>83.695652173913047</v>
      </c>
      <c r="P213" s="14">
        <f t="shared" si="12"/>
        <v>100.59171597633136</v>
      </c>
      <c r="Q213" s="14">
        <f t="shared" si="13"/>
        <v>340.77669902912618</v>
      </c>
      <c r="R213" s="14">
        <f t="shared" si="14"/>
        <v>101.39064475347664</v>
      </c>
      <c r="S213" s="2">
        <v>199775.87256418934</v>
      </c>
      <c r="T213" s="2">
        <v>50565.311478822827</v>
      </c>
      <c r="U213" s="2">
        <v>123961.10094936636</v>
      </c>
      <c r="V213" s="2">
        <v>21007.261583466301</v>
      </c>
      <c r="W213" s="2">
        <v>4242.198552533825</v>
      </c>
      <c r="X213" s="2">
        <v>5873.7743022967861</v>
      </c>
      <c r="Y213" s="2">
        <v>22175.644923590226</v>
      </c>
      <c r="Z213" s="2">
        <v>9124.7414552884238</v>
      </c>
      <c r="AA213" s="2">
        <v>3536.1572938633153</v>
      </c>
      <c r="AB213" s="2">
        <v>7673.4805097941853</v>
      </c>
      <c r="AC213" s="2">
        <v>27.1</v>
      </c>
      <c r="AD213" s="2">
        <v>1100.4000000000001</v>
      </c>
      <c r="AE213" s="24"/>
    </row>
    <row r="214" spans="1:31">
      <c r="A214" s="1">
        <v>2022</v>
      </c>
      <c r="B214" s="9" t="s">
        <v>69</v>
      </c>
      <c r="C214" s="1" t="s">
        <v>161</v>
      </c>
      <c r="D214" s="10">
        <v>61.9</v>
      </c>
      <c r="E214" s="1">
        <v>17</v>
      </c>
      <c r="F214" s="10">
        <v>20.2</v>
      </c>
      <c r="G214" s="1">
        <v>24</v>
      </c>
      <c r="H214" s="10">
        <v>34.5</v>
      </c>
      <c r="I214" s="1">
        <v>17</v>
      </c>
      <c r="J214" s="10">
        <v>33.5</v>
      </c>
      <c r="K214" s="1">
        <v>41</v>
      </c>
      <c r="L214" s="10">
        <v>81.900000000000006</v>
      </c>
      <c r="M214" s="1">
        <v>23</v>
      </c>
      <c r="N214" s="14">
        <f t="shared" si="10"/>
        <v>99.517684887459808</v>
      </c>
      <c r="O214" s="14">
        <f t="shared" si="11"/>
        <v>100.49751243781093</v>
      </c>
      <c r="P214" s="14">
        <f t="shared" si="12"/>
        <v>98.853868194842406</v>
      </c>
      <c r="Q214" s="14">
        <f t="shared" si="13"/>
        <v>368.13186813186815</v>
      </c>
      <c r="R214" s="14">
        <f t="shared" si="14"/>
        <v>101.48698884758365</v>
      </c>
      <c r="S214" s="2">
        <v>194853.59564442595</v>
      </c>
      <c r="T214" s="2">
        <v>50582.5574118738</v>
      </c>
      <c r="U214" s="2">
        <v>119658.38426710534</v>
      </c>
      <c r="V214" s="2">
        <v>19899.688525719168</v>
      </c>
      <c r="W214" s="2">
        <v>4712.9654397276345</v>
      </c>
      <c r="X214" s="2">
        <v>5653.6509940268215</v>
      </c>
      <c r="Y214" s="2">
        <v>20296.072839968107</v>
      </c>
      <c r="Z214" s="2">
        <v>8745.6033355508844</v>
      </c>
      <c r="AA214" s="2">
        <v>3047.1278725816705</v>
      </c>
      <c r="AB214" s="2">
        <v>6719.0597946839935</v>
      </c>
      <c r="AC214" s="2">
        <v>24</v>
      </c>
      <c r="AD214" s="2">
        <v>983.9</v>
      </c>
      <c r="AE214" s="24"/>
    </row>
    <row r="215" spans="1:31">
      <c r="A215" s="1">
        <v>2022</v>
      </c>
      <c r="B215" s="9" t="s">
        <v>71</v>
      </c>
      <c r="C215" s="1" t="s">
        <v>162</v>
      </c>
      <c r="D215" s="10">
        <v>60.9</v>
      </c>
      <c r="E215" s="1">
        <v>22</v>
      </c>
      <c r="F215" s="10">
        <v>17.100000000000001</v>
      </c>
      <c r="G215" s="1">
        <v>33</v>
      </c>
      <c r="H215" s="10">
        <v>35.5</v>
      </c>
      <c r="I215" s="1">
        <v>3</v>
      </c>
      <c r="J215" s="10">
        <v>32.200000000000003</v>
      </c>
      <c r="K215" s="1">
        <v>44</v>
      </c>
      <c r="L215" s="10">
        <v>78</v>
      </c>
      <c r="M215" s="1">
        <v>43</v>
      </c>
      <c r="N215" s="14">
        <f t="shared" si="10"/>
        <v>103.92491467576792</v>
      </c>
      <c r="O215" s="14">
        <f t="shared" si="11"/>
        <v>97.159090909090907</v>
      </c>
      <c r="P215" s="14">
        <f t="shared" si="12"/>
        <v>98.337950138504155</v>
      </c>
      <c r="Q215" s="14">
        <f t="shared" si="13"/>
        <v>338.94736842105266</v>
      </c>
      <c r="R215" s="14">
        <f t="shared" si="14"/>
        <v>101.43042912873861</v>
      </c>
      <c r="S215" s="2">
        <v>203866.04762333454</v>
      </c>
      <c r="T215" s="2">
        <v>52586.978290399667</v>
      </c>
      <c r="U215" s="2">
        <v>123298.22899483654</v>
      </c>
      <c r="V215" s="2">
        <v>21914.118281960273</v>
      </c>
      <c r="W215" s="2">
        <v>6066.7220561380736</v>
      </c>
      <c r="X215" s="2">
        <v>6020.9685236732348</v>
      </c>
      <c r="Y215" s="2">
        <v>18316.558350014206</v>
      </c>
      <c r="Z215" s="2">
        <v>7463.1787972025259</v>
      </c>
      <c r="AA215" s="2">
        <v>3149.1612423156794</v>
      </c>
      <c r="AB215" s="2">
        <v>5806.1248560484073</v>
      </c>
      <c r="AC215" s="2">
        <v>25.6</v>
      </c>
      <c r="AD215" s="2">
        <v>1252.7</v>
      </c>
      <c r="AE215" s="24"/>
    </row>
    <row r="216" spans="1:31">
      <c r="A216" s="1">
        <v>2022</v>
      </c>
      <c r="B216" s="9" t="s">
        <v>73</v>
      </c>
      <c r="C216" s="1" t="s">
        <v>163</v>
      </c>
      <c r="D216" s="10">
        <v>49.8</v>
      </c>
      <c r="E216" s="1">
        <v>44</v>
      </c>
      <c r="F216" s="10">
        <v>12.8</v>
      </c>
      <c r="G216" s="1">
        <v>43</v>
      </c>
      <c r="H216" s="10">
        <v>35</v>
      </c>
      <c r="I216" s="1">
        <v>8</v>
      </c>
      <c r="J216" s="10">
        <v>33.799999999999997</v>
      </c>
      <c r="K216" s="1">
        <v>35</v>
      </c>
      <c r="L216" s="10">
        <v>78.5</v>
      </c>
      <c r="M216" s="1">
        <v>41</v>
      </c>
      <c r="N216" s="14">
        <f t="shared" si="10"/>
        <v>106.41025641025641</v>
      </c>
      <c r="O216" s="14">
        <f t="shared" si="11"/>
        <v>101.58730158730161</v>
      </c>
      <c r="P216" s="14">
        <f t="shared" si="12"/>
        <v>98.591549295774655</v>
      </c>
      <c r="Q216" s="14">
        <f t="shared" si="13"/>
        <v>355.78947368421046</v>
      </c>
      <c r="R216" s="14">
        <f t="shared" si="14"/>
        <v>101.42118863049095</v>
      </c>
      <c r="S216" s="2">
        <v>209387.59976174269</v>
      </c>
      <c r="T216" s="2">
        <v>50836.31212609967</v>
      </c>
      <c r="U216" s="2">
        <v>125838.04248522519</v>
      </c>
      <c r="V216" s="2">
        <v>25125.510361478846</v>
      </c>
      <c r="W216" s="2">
        <v>7587.7347889390203</v>
      </c>
      <c r="X216" s="2">
        <v>5793.5208688778785</v>
      </c>
      <c r="Y216" s="2">
        <v>19705.72376036776</v>
      </c>
      <c r="Z216" s="2">
        <v>8432.8729122796558</v>
      </c>
      <c r="AA216" s="2">
        <v>3185.3065570406811</v>
      </c>
      <c r="AB216" s="2">
        <v>6356.7083858449041</v>
      </c>
      <c r="AC216" s="2">
        <v>25</v>
      </c>
      <c r="AD216" s="2">
        <v>1184.4000000000001</v>
      </c>
      <c r="AE216" s="24"/>
    </row>
    <row r="217" spans="1:31">
      <c r="A217" s="1">
        <v>2022</v>
      </c>
      <c r="B217" s="9" t="s">
        <v>75</v>
      </c>
      <c r="C217" s="1" t="s">
        <v>164</v>
      </c>
      <c r="D217" s="10">
        <v>56.6</v>
      </c>
      <c r="E217" s="1">
        <v>33</v>
      </c>
      <c r="F217" s="10">
        <v>15.2</v>
      </c>
      <c r="G217" s="1">
        <v>38</v>
      </c>
      <c r="H217" s="10">
        <v>34.5</v>
      </c>
      <c r="I217" s="1">
        <v>16</v>
      </c>
      <c r="J217" s="10">
        <v>33.6</v>
      </c>
      <c r="K217" s="1">
        <v>39</v>
      </c>
      <c r="L217" s="10">
        <v>80.5</v>
      </c>
      <c r="M217" s="1">
        <v>33</v>
      </c>
      <c r="N217" s="14">
        <f t="shared" si="10"/>
        <v>104.81481481481482</v>
      </c>
      <c r="O217" s="14">
        <f t="shared" si="11"/>
        <v>95.597484276729546</v>
      </c>
      <c r="P217" s="14">
        <f t="shared" si="12"/>
        <v>99.423631123919293</v>
      </c>
      <c r="Q217" s="14">
        <f t="shared" si="13"/>
        <v>336.00000000000006</v>
      </c>
      <c r="R217" s="14">
        <f t="shared" si="14"/>
        <v>101.00376411543286</v>
      </c>
      <c r="S217" s="2">
        <v>209710.59118505323</v>
      </c>
      <c r="T217" s="2">
        <v>52071.325087476856</v>
      </c>
      <c r="U217" s="2">
        <v>128396.82936571552</v>
      </c>
      <c r="V217" s="2">
        <v>23834.664307828989</v>
      </c>
      <c r="W217" s="2">
        <v>5407.7724240318757</v>
      </c>
      <c r="X217" s="2">
        <v>5901.5965456155891</v>
      </c>
      <c r="Y217" s="2">
        <v>21050.964712927231</v>
      </c>
      <c r="Z217" s="2">
        <v>8756.352979788302</v>
      </c>
      <c r="AA217" s="2">
        <v>3429.9769683301101</v>
      </c>
      <c r="AB217" s="2">
        <v>7080.7879883546266</v>
      </c>
      <c r="AC217" s="2">
        <v>26.3</v>
      </c>
      <c r="AD217" s="2">
        <v>1181.5</v>
      </c>
      <c r="AE217" s="24"/>
    </row>
    <row r="218" spans="1:31">
      <c r="A218" s="1">
        <v>2022</v>
      </c>
      <c r="B218" s="9" t="s">
        <v>77</v>
      </c>
      <c r="C218" s="1" t="s">
        <v>165</v>
      </c>
      <c r="D218" s="10">
        <v>56.8</v>
      </c>
      <c r="E218" s="1">
        <v>31</v>
      </c>
      <c r="F218" s="10">
        <v>22.6</v>
      </c>
      <c r="G218" s="1">
        <v>18</v>
      </c>
      <c r="H218" s="10">
        <v>36.700000000000003</v>
      </c>
      <c r="I218" s="1">
        <v>1</v>
      </c>
      <c r="J218" s="10">
        <v>35.9</v>
      </c>
      <c r="K218" s="1">
        <v>18</v>
      </c>
      <c r="L218" s="10">
        <v>76.599999999999994</v>
      </c>
      <c r="M218" s="1">
        <v>46</v>
      </c>
      <c r="N218" s="14">
        <f t="shared" si="10"/>
        <v>103.83912248628884</v>
      </c>
      <c r="O218" s="14">
        <f t="shared" si="11"/>
        <v>105.60747663551405</v>
      </c>
      <c r="P218" s="14">
        <f t="shared" si="12"/>
        <v>98.655913978494624</v>
      </c>
      <c r="Q218" s="14">
        <f t="shared" si="13"/>
        <v>262.04379562043795</v>
      </c>
      <c r="R218" s="14">
        <f t="shared" si="14"/>
        <v>101.45695364238409</v>
      </c>
      <c r="S218" s="2">
        <v>209265.95605666935</v>
      </c>
      <c r="T218" s="2">
        <v>54350.472395001925</v>
      </c>
      <c r="U218" s="2">
        <v>127759.16986057922</v>
      </c>
      <c r="V218" s="2">
        <v>21206.721858314526</v>
      </c>
      <c r="W218" s="2">
        <v>5949.5919427736499</v>
      </c>
      <c r="X218" s="2">
        <v>6528.3308038908854</v>
      </c>
      <c r="Y218" s="2">
        <v>21822.645147166368</v>
      </c>
      <c r="Z218" s="2">
        <v>8974.1384114052998</v>
      </c>
      <c r="AA218" s="2">
        <v>3690.3880099709813</v>
      </c>
      <c r="AB218" s="2">
        <v>7071.2044948061239</v>
      </c>
      <c r="AC218" s="2">
        <v>25.4</v>
      </c>
      <c r="AD218" s="2">
        <v>1221.4000000000001</v>
      </c>
      <c r="AE218" s="24"/>
    </row>
    <row r="219" spans="1:31">
      <c r="A219" s="1">
        <v>2022</v>
      </c>
      <c r="B219" s="9" t="s">
        <v>79</v>
      </c>
      <c r="C219" s="1" t="s">
        <v>166</v>
      </c>
      <c r="D219" s="10">
        <v>56.3</v>
      </c>
      <c r="E219" s="1">
        <v>34</v>
      </c>
      <c r="F219" s="10">
        <v>15.3</v>
      </c>
      <c r="G219" s="1">
        <v>37</v>
      </c>
      <c r="H219" s="10">
        <v>34.700000000000003</v>
      </c>
      <c r="I219" s="1">
        <v>10</v>
      </c>
      <c r="J219" s="10">
        <v>34.6</v>
      </c>
      <c r="K219" s="1">
        <v>30</v>
      </c>
      <c r="L219" s="10">
        <v>77.400000000000006</v>
      </c>
      <c r="M219" s="1">
        <v>44</v>
      </c>
      <c r="N219" s="14">
        <f t="shared" si="10"/>
        <v>104.6468401486989</v>
      </c>
      <c r="O219" s="14">
        <f t="shared" si="11"/>
        <v>85.474860335195544</v>
      </c>
      <c r="P219" s="14">
        <f t="shared" si="12"/>
        <v>96.3888888888889</v>
      </c>
      <c r="Q219" s="14">
        <f t="shared" si="13"/>
        <v>346</v>
      </c>
      <c r="R219" s="14">
        <f t="shared" si="14"/>
        <v>101.5748031496063</v>
      </c>
      <c r="S219" s="2">
        <v>208524.32110081281</v>
      </c>
      <c r="T219" s="2">
        <v>51349.30881206815</v>
      </c>
      <c r="U219" s="2">
        <v>128611.04668447278</v>
      </c>
      <c r="V219" s="2">
        <v>21719.468914494093</v>
      </c>
      <c r="W219" s="2">
        <v>6844.4966897777922</v>
      </c>
      <c r="X219" s="2">
        <v>5756.377065411697</v>
      </c>
      <c r="Y219" s="2">
        <v>22349.290974246971</v>
      </c>
      <c r="Z219" s="2">
        <v>9930.538291367473</v>
      </c>
      <c r="AA219" s="2">
        <v>3082.291673228553</v>
      </c>
      <c r="AB219" s="2">
        <v>7377.3896508230264</v>
      </c>
      <c r="AC219" s="2">
        <v>26.5</v>
      </c>
      <c r="AD219" s="2">
        <v>1420.8</v>
      </c>
      <c r="AE219" s="24"/>
    </row>
    <row r="220" spans="1:31">
      <c r="A220" s="1">
        <v>2022</v>
      </c>
      <c r="B220" s="9" t="s">
        <v>81</v>
      </c>
      <c r="C220" s="1" t="s">
        <v>167</v>
      </c>
      <c r="D220" s="10">
        <v>57.1</v>
      </c>
      <c r="E220" s="1">
        <v>29</v>
      </c>
      <c r="F220" s="10">
        <v>21.9</v>
      </c>
      <c r="G220" s="1">
        <v>21</v>
      </c>
      <c r="H220" s="10">
        <v>33.700000000000003</v>
      </c>
      <c r="I220" s="1">
        <v>32</v>
      </c>
      <c r="J220" s="10">
        <v>33.5</v>
      </c>
      <c r="K220" s="1">
        <v>40</v>
      </c>
      <c r="L220" s="10">
        <v>82.8</v>
      </c>
      <c r="M220" s="1">
        <v>16</v>
      </c>
      <c r="N220" s="14">
        <f t="shared" si="10"/>
        <v>102.88288288288288</v>
      </c>
      <c r="O220" s="14">
        <f t="shared" si="11"/>
        <v>107.35294117647058</v>
      </c>
      <c r="P220" s="14">
        <f t="shared" si="12"/>
        <v>96.285714285714292</v>
      </c>
      <c r="Q220" s="14">
        <f t="shared" si="13"/>
        <v>307.33944954128441</v>
      </c>
      <c r="R220" s="14">
        <f t="shared" si="14"/>
        <v>101.09890109890109</v>
      </c>
      <c r="S220" s="2">
        <v>201013.69902847361</v>
      </c>
      <c r="T220" s="2">
        <v>59031.681296466973</v>
      </c>
      <c r="U220" s="2">
        <v>118092.59625383625</v>
      </c>
      <c r="V220" s="2">
        <v>20454.488917197668</v>
      </c>
      <c r="W220" s="2">
        <v>3434.9325609726829</v>
      </c>
      <c r="X220" s="2">
        <v>6154.3113828603682</v>
      </c>
      <c r="Y220" s="2">
        <v>19937.864276958968</v>
      </c>
      <c r="Z220" s="2">
        <v>8932.1324144619175</v>
      </c>
      <c r="AA220" s="2">
        <v>3322.5548201468009</v>
      </c>
      <c r="AB220" s="2">
        <v>6118.9798817507753</v>
      </c>
      <c r="AC220" s="2">
        <v>27.3</v>
      </c>
      <c r="AD220" s="2">
        <v>1528.1</v>
      </c>
      <c r="AE220" s="24"/>
    </row>
    <row r="221" spans="1:31">
      <c r="A221" s="1">
        <v>2022</v>
      </c>
      <c r="B221" s="9" t="s">
        <v>83</v>
      </c>
      <c r="C221" s="1" t="s">
        <v>168</v>
      </c>
      <c r="D221" s="10">
        <v>70.8</v>
      </c>
      <c r="E221" s="1">
        <v>3</v>
      </c>
      <c r="F221" s="10">
        <v>19.600000000000001</v>
      </c>
      <c r="G221" s="1">
        <v>25</v>
      </c>
      <c r="H221" s="10">
        <v>34.5</v>
      </c>
      <c r="I221" s="1">
        <v>15</v>
      </c>
      <c r="J221" s="10">
        <v>37.9</v>
      </c>
      <c r="K221" s="1">
        <v>8</v>
      </c>
      <c r="L221" s="10">
        <v>84.3</v>
      </c>
      <c r="M221" s="1">
        <v>6</v>
      </c>
      <c r="N221" s="14">
        <f t="shared" si="10"/>
        <v>105.98802395209582</v>
      </c>
      <c r="O221" s="14">
        <f t="shared" si="11"/>
        <v>83.404255319148945</v>
      </c>
      <c r="P221" s="14">
        <f t="shared" si="12"/>
        <v>100.29069767441861</v>
      </c>
      <c r="Q221" s="14">
        <f t="shared" si="13"/>
        <v>473.75</v>
      </c>
      <c r="R221" s="14">
        <f t="shared" si="14"/>
        <v>101.07913669064747</v>
      </c>
      <c r="S221" s="2">
        <v>216228.06992751776</v>
      </c>
      <c r="T221" s="2">
        <v>61428.018439324318</v>
      </c>
      <c r="U221" s="2">
        <v>131523.62119597534</v>
      </c>
      <c r="V221" s="2">
        <v>19980.905901164446</v>
      </c>
      <c r="W221" s="2">
        <v>3295.5243910536101</v>
      </c>
      <c r="X221" s="2">
        <v>7225.5018823208084</v>
      </c>
      <c r="Y221" s="2">
        <v>24018.42990379249</v>
      </c>
      <c r="Z221" s="2">
        <v>10664.042101188319</v>
      </c>
      <c r="AA221" s="2">
        <v>4411.4715105557279</v>
      </c>
      <c r="AB221" s="2">
        <v>6968.8909742152664</v>
      </c>
      <c r="AC221" s="2">
        <v>26.9</v>
      </c>
      <c r="AD221" s="2">
        <v>1474.9</v>
      </c>
      <c r="AE221" s="24"/>
    </row>
    <row r="222" spans="1:31">
      <c r="A222" s="1">
        <v>2022</v>
      </c>
      <c r="B222" s="9" t="s">
        <v>85</v>
      </c>
      <c r="C222" s="1" t="s">
        <v>169</v>
      </c>
      <c r="D222" s="10">
        <v>63.7</v>
      </c>
      <c r="E222" s="1">
        <v>14</v>
      </c>
      <c r="F222" s="10">
        <v>33.1</v>
      </c>
      <c r="G222" s="1">
        <v>3</v>
      </c>
      <c r="H222" s="10">
        <v>32.299999999999997</v>
      </c>
      <c r="I222" s="1">
        <v>45</v>
      </c>
      <c r="J222" s="10">
        <v>37.1</v>
      </c>
      <c r="K222" s="1">
        <v>11</v>
      </c>
      <c r="L222" s="10">
        <v>80</v>
      </c>
      <c r="M222" s="1">
        <v>37</v>
      </c>
      <c r="N222" s="14">
        <f t="shared" si="10"/>
        <v>110.01727115716753</v>
      </c>
      <c r="O222" s="14">
        <f t="shared" si="11"/>
        <v>94.034090909090907</v>
      </c>
      <c r="P222" s="14">
        <f t="shared" si="12"/>
        <v>96.706586826347291</v>
      </c>
      <c r="Q222" s="14">
        <f t="shared" si="13"/>
        <v>446.98795180722885</v>
      </c>
      <c r="R222" s="14">
        <f t="shared" si="14"/>
        <v>101.13780025284451</v>
      </c>
      <c r="S222" s="2">
        <v>205803.50675242062</v>
      </c>
      <c r="T222" s="2">
        <v>52327.69674014581</v>
      </c>
      <c r="U222" s="2">
        <v>125892.84577035441</v>
      </c>
      <c r="V222" s="2">
        <v>23719.832095608406</v>
      </c>
      <c r="W222" s="2">
        <v>3863.1321463119561</v>
      </c>
      <c r="X222" s="2">
        <v>5226.332313196619</v>
      </c>
      <c r="Y222" s="2">
        <v>21207.1575359942</v>
      </c>
      <c r="Z222" s="2">
        <v>8988.1623692876037</v>
      </c>
      <c r="AA222" s="2">
        <v>3546.8170423311858</v>
      </c>
      <c r="AB222" s="2">
        <v>7122.637622349077</v>
      </c>
      <c r="AC222" s="2">
        <v>26.8</v>
      </c>
      <c r="AD222" s="2">
        <v>1455.3</v>
      </c>
      <c r="AE222" s="24"/>
    </row>
    <row r="223" spans="1:31">
      <c r="A223" s="1">
        <v>2022</v>
      </c>
      <c r="B223" s="9" t="s">
        <v>87</v>
      </c>
      <c r="C223" s="1" t="s">
        <v>170</v>
      </c>
      <c r="D223" s="10">
        <v>57.3</v>
      </c>
      <c r="E223" s="1">
        <v>28</v>
      </c>
      <c r="F223" s="10">
        <v>18.600000000000001</v>
      </c>
      <c r="G223" s="1">
        <v>30</v>
      </c>
      <c r="H223" s="10">
        <v>33.299999999999997</v>
      </c>
      <c r="I223" s="1">
        <v>40</v>
      </c>
      <c r="J223" s="10">
        <v>37.4</v>
      </c>
      <c r="K223" s="1">
        <v>10</v>
      </c>
      <c r="L223" s="10">
        <v>79.8</v>
      </c>
      <c r="M223" s="1">
        <v>39</v>
      </c>
      <c r="N223" s="14">
        <f t="shared" si="10"/>
        <v>101.95729537366547</v>
      </c>
      <c r="O223" s="14">
        <f t="shared" si="11"/>
        <v>103.33333333333334</v>
      </c>
      <c r="P223" s="14">
        <f t="shared" si="12"/>
        <v>96.521739130434767</v>
      </c>
      <c r="Q223" s="14">
        <f t="shared" si="13"/>
        <v>393.68421052631578</v>
      </c>
      <c r="R223" s="14">
        <f t="shared" si="14"/>
        <v>101.3977128335451</v>
      </c>
      <c r="S223" s="2">
        <v>202506.0493687554</v>
      </c>
      <c r="T223" s="2">
        <v>51050.782272800949</v>
      </c>
      <c r="U223" s="2">
        <v>125806.91112606792</v>
      </c>
      <c r="V223" s="2">
        <v>21607.369428666461</v>
      </c>
      <c r="W223" s="2">
        <v>4040.9865412200625</v>
      </c>
      <c r="X223" s="2">
        <v>5371.788108991972</v>
      </c>
      <c r="Y223" s="2">
        <v>20908.892106831423</v>
      </c>
      <c r="Z223" s="2">
        <v>8767.0718570322842</v>
      </c>
      <c r="AA223" s="2">
        <v>3348.7935141694647</v>
      </c>
      <c r="AB223" s="2">
        <v>7016.9880074221246</v>
      </c>
      <c r="AC223" s="2">
        <v>29.6</v>
      </c>
      <c r="AD223" s="2">
        <v>1338</v>
      </c>
      <c r="AE223" s="24"/>
    </row>
    <row r="224" spans="1:31">
      <c r="A224" s="1">
        <v>2022</v>
      </c>
      <c r="B224" s="9" t="s">
        <v>89</v>
      </c>
      <c r="C224" s="1" t="s">
        <v>171</v>
      </c>
      <c r="D224" s="10">
        <v>57</v>
      </c>
      <c r="E224" s="1">
        <v>30</v>
      </c>
      <c r="F224" s="10">
        <v>18.2</v>
      </c>
      <c r="G224" s="1">
        <v>32</v>
      </c>
      <c r="H224" s="10">
        <v>35.299999999999997</v>
      </c>
      <c r="I224" s="1">
        <v>6</v>
      </c>
      <c r="J224" s="10">
        <v>33.6</v>
      </c>
      <c r="K224" s="1">
        <v>38</v>
      </c>
      <c r="L224" s="10">
        <v>82.7</v>
      </c>
      <c r="M224" s="1">
        <v>17</v>
      </c>
      <c r="N224" s="14">
        <f t="shared" si="10"/>
        <v>103.26086956521738</v>
      </c>
      <c r="O224" s="14">
        <f t="shared" si="11"/>
        <v>93.333333333333329</v>
      </c>
      <c r="P224" s="14">
        <f t="shared" si="12"/>
        <v>105.0595238095238</v>
      </c>
      <c r="Q224" s="14">
        <f t="shared" si="13"/>
        <v>369.23076923076923</v>
      </c>
      <c r="R224" s="14">
        <f t="shared" si="14"/>
        <v>101.22399020807833</v>
      </c>
      <c r="S224" s="2">
        <v>216411.32898266896</v>
      </c>
      <c r="T224" s="2">
        <v>59004.346993463376</v>
      </c>
      <c r="U224" s="2">
        <v>130761.21258649846</v>
      </c>
      <c r="V224" s="2">
        <v>22243.474548291757</v>
      </c>
      <c r="W224" s="2">
        <v>4402.2948544153842</v>
      </c>
      <c r="X224" s="2">
        <v>7185.6476422437754</v>
      </c>
      <c r="Y224" s="2">
        <v>23234.29630107903</v>
      </c>
      <c r="Z224" s="2">
        <v>10063.819078696439</v>
      </c>
      <c r="AA224" s="2">
        <v>3442.2944653801715</v>
      </c>
      <c r="AB224" s="2">
        <v>7436.1373710571079</v>
      </c>
      <c r="AC224" s="2">
        <v>37.200000000000003</v>
      </c>
      <c r="AD224" s="2">
        <v>1854.1</v>
      </c>
      <c r="AE224" s="24"/>
    </row>
    <row r="225" spans="1:31">
      <c r="A225" s="1">
        <v>2022</v>
      </c>
      <c r="B225" s="9" t="s">
        <v>91</v>
      </c>
      <c r="C225" s="1" t="s">
        <v>172</v>
      </c>
      <c r="D225" s="10">
        <v>55.1</v>
      </c>
      <c r="E225" s="1">
        <v>40</v>
      </c>
      <c r="F225" s="10">
        <v>24.8</v>
      </c>
      <c r="G225" s="1">
        <v>14</v>
      </c>
      <c r="H225" s="10">
        <v>35.299999999999997</v>
      </c>
      <c r="I225" s="1">
        <v>5</v>
      </c>
      <c r="J225" s="10">
        <v>32.799999999999997</v>
      </c>
      <c r="K225" s="1">
        <v>42</v>
      </c>
      <c r="L225" s="10">
        <v>74.5</v>
      </c>
      <c r="M225" s="1">
        <v>47</v>
      </c>
      <c r="N225" s="14">
        <f t="shared" si="10"/>
        <v>101.28676470588236</v>
      </c>
      <c r="O225" s="14">
        <f t="shared" si="11"/>
        <v>90.842490842490847</v>
      </c>
      <c r="P225" s="14">
        <f t="shared" si="12"/>
        <v>98.055555555555557</v>
      </c>
      <c r="Q225" s="14">
        <f t="shared" si="13"/>
        <v>381.39534883720927</v>
      </c>
      <c r="R225" s="14">
        <f t="shared" si="14"/>
        <v>101.08548168249661</v>
      </c>
      <c r="S225" s="2">
        <v>218293.4527376231</v>
      </c>
      <c r="T225" s="2">
        <v>56857.96336640048</v>
      </c>
      <c r="U225" s="2">
        <v>131891.17328314288</v>
      </c>
      <c r="V225" s="2">
        <v>23804.923686149687</v>
      </c>
      <c r="W225" s="2">
        <v>5739.392401930043</v>
      </c>
      <c r="X225" s="2">
        <v>6701.3912580966271</v>
      </c>
      <c r="Y225" s="2">
        <v>24488.537034825888</v>
      </c>
      <c r="Z225" s="2">
        <v>11038.136444936201</v>
      </c>
      <c r="AA225" s="2">
        <v>2863.7728834884447</v>
      </c>
      <c r="AB225" s="2">
        <v>8630.5181543779945</v>
      </c>
      <c r="AC225" s="2">
        <v>36.1</v>
      </c>
      <c r="AD225" s="2">
        <v>1885.9</v>
      </c>
      <c r="AE225" s="24"/>
    </row>
    <row r="226" spans="1:31">
      <c r="A226" s="1">
        <v>2022</v>
      </c>
      <c r="B226" s="9" t="s">
        <v>93</v>
      </c>
      <c r="C226" s="1" t="s">
        <v>173</v>
      </c>
      <c r="D226" s="10">
        <v>54.1</v>
      </c>
      <c r="E226" s="1">
        <v>41</v>
      </c>
      <c r="F226" s="10">
        <v>33.700000000000003</v>
      </c>
      <c r="G226" s="1">
        <v>2</v>
      </c>
      <c r="H226" s="10">
        <v>34.200000000000003</v>
      </c>
      <c r="I226" s="1">
        <v>23</v>
      </c>
      <c r="J226" s="10">
        <v>35.5</v>
      </c>
      <c r="K226" s="1">
        <v>23</v>
      </c>
      <c r="L226" s="10">
        <v>78.3</v>
      </c>
      <c r="M226" s="1">
        <v>42</v>
      </c>
      <c r="N226" s="14">
        <f t="shared" si="10"/>
        <v>98.90310786106032</v>
      </c>
      <c r="O226" s="14">
        <f t="shared" si="11"/>
        <v>93.871866295264638</v>
      </c>
      <c r="P226" s="14">
        <f t="shared" si="12"/>
        <v>96.067415730337075</v>
      </c>
      <c r="Q226" s="14">
        <f t="shared" si="13"/>
        <v>373.68421052631578</v>
      </c>
      <c r="R226" s="14">
        <f t="shared" si="14"/>
        <v>101.1627906976744</v>
      </c>
      <c r="S226" s="2">
        <v>217238.85697369103</v>
      </c>
      <c r="T226" s="2">
        <v>55867.337915264798</v>
      </c>
      <c r="U226" s="2">
        <v>133232.28470479208</v>
      </c>
      <c r="V226" s="2">
        <v>23453.075595552582</v>
      </c>
      <c r="W226" s="2">
        <v>4686.1587580815367</v>
      </c>
      <c r="X226" s="2">
        <v>6481.1962712288059</v>
      </c>
      <c r="Y226" s="2">
        <v>22188.043156993801</v>
      </c>
      <c r="Z226" s="2">
        <v>9238.4656214821734</v>
      </c>
      <c r="AA226" s="2">
        <v>2893.054586856897</v>
      </c>
      <c r="AB226" s="2">
        <v>7996.2793813535291</v>
      </c>
      <c r="AC226" s="2">
        <v>28</v>
      </c>
      <c r="AD226" s="2">
        <v>1505.2</v>
      </c>
      <c r="AE226" s="24"/>
    </row>
    <row r="227" spans="1:31">
      <c r="A227" s="1">
        <v>2022</v>
      </c>
      <c r="B227" s="9" t="s">
        <v>95</v>
      </c>
      <c r="C227" s="1" t="s">
        <v>174</v>
      </c>
      <c r="D227" s="10">
        <v>61.4</v>
      </c>
      <c r="E227" s="1">
        <v>18</v>
      </c>
      <c r="F227" s="10">
        <v>18.3</v>
      </c>
      <c r="G227" s="1">
        <v>31</v>
      </c>
      <c r="H227" s="10">
        <v>33.299999999999997</v>
      </c>
      <c r="I227" s="1">
        <v>38</v>
      </c>
      <c r="J227" s="10">
        <v>35.299999999999997</v>
      </c>
      <c r="K227" s="1">
        <v>24</v>
      </c>
      <c r="L227" s="10">
        <v>79</v>
      </c>
      <c r="M227" s="1">
        <v>40</v>
      </c>
      <c r="N227" s="14">
        <f t="shared" si="10"/>
        <v>103.71621621621621</v>
      </c>
      <c r="O227" s="14">
        <f t="shared" si="11"/>
        <v>96.825396825396837</v>
      </c>
      <c r="P227" s="14">
        <f t="shared" si="12"/>
        <v>97.084548104956269</v>
      </c>
      <c r="Q227" s="14">
        <f t="shared" si="13"/>
        <v>415.29411764705878</v>
      </c>
      <c r="R227" s="14">
        <f t="shared" si="14"/>
        <v>101.80412371134022</v>
      </c>
      <c r="S227" s="2">
        <v>206133.91518794617</v>
      </c>
      <c r="T227" s="2">
        <v>55217.291423079849</v>
      </c>
      <c r="U227" s="2">
        <v>125682.11763405785</v>
      </c>
      <c r="V227" s="2">
        <v>20310.190952334437</v>
      </c>
      <c r="W227" s="2">
        <v>4924.3151784739794</v>
      </c>
      <c r="X227" s="2">
        <v>6432.5829428544075</v>
      </c>
      <c r="Y227" s="2">
        <v>21784.1414221425</v>
      </c>
      <c r="Z227" s="2">
        <v>8897.0142845725532</v>
      </c>
      <c r="AA227" s="2">
        <v>3207.1963469130214</v>
      </c>
      <c r="AB227" s="2">
        <v>7259.2215719995793</v>
      </c>
      <c r="AC227" s="2">
        <v>28.9</v>
      </c>
      <c r="AD227" s="2">
        <v>1551.3</v>
      </c>
      <c r="AE227" s="24"/>
    </row>
    <row r="228" spans="1:31">
      <c r="A228" s="1">
        <v>2022</v>
      </c>
      <c r="B228" s="9" t="s">
        <v>97</v>
      </c>
      <c r="C228" s="1" t="s">
        <v>175</v>
      </c>
      <c r="D228" s="10">
        <v>66.099999999999994</v>
      </c>
      <c r="E228" s="1">
        <v>7</v>
      </c>
      <c r="F228" s="10">
        <v>15.5</v>
      </c>
      <c r="G228" s="1">
        <v>35</v>
      </c>
      <c r="H228" s="10">
        <v>30.2</v>
      </c>
      <c r="I228" s="1">
        <v>47</v>
      </c>
      <c r="J228" s="10">
        <v>31.6</v>
      </c>
      <c r="K228" s="1">
        <v>47</v>
      </c>
      <c r="L228" s="10">
        <v>76.900000000000006</v>
      </c>
      <c r="M228" s="1">
        <v>45</v>
      </c>
      <c r="N228" s="14">
        <f t="shared" si="10"/>
        <v>107.47967479674796</v>
      </c>
      <c r="O228" s="14">
        <f t="shared" si="11"/>
        <v>93.939393939393938</v>
      </c>
      <c r="P228" s="14">
        <f t="shared" si="12"/>
        <v>94.968553459119505</v>
      </c>
      <c r="Q228" s="14">
        <f t="shared" si="13"/>
        <v>347.25274725274727</v>
      </c>
      <c r="R228" s="14">
        <f t="shared" si="14"/>
        <v>100.91863517060369</v>
      </c>
      <c r="S228" s="2">
        <v>210485.54130011614</v>
      </c>
      <c r="T228" s="2">
        <v>61465.732821395475</v>
      </c>
      <c r="U228" s="2">
        <v>124409.77641464882</v>
      </c>
      <c r="V228" s="2">
        <v>19895.789940066574</v>
      </c>
      <c r="W228" s="2">
        <v>4714.2421240052354</v>
      </c>
      <c r="X228" s="2">
        <v>6984.0347111384017</v>
      </c>
      <c r="Y228" s="2">
        <v>22504.911535594656</v>
      </c>
      <c r="Z228" s="2">
        <v>10676.072418009846</v>
      </c>
      <c r="AA228" s="2">
        <v>2654.4616414607108</v>
      </c>
      <c r="AB228" s="2">
        <v>6671.9620942192214</v>
      </c>
      <c r="AC228" s="2">
        <v>40.799999999999997</v>
      </c>
      <c r="AD228" s="2">
        <v>2328.1</v>
      </c>
      <c r="AE228" s="24"/>
    </row>
    <row r="229" spans="1:31">
      <c r="A229" s="1">
        <v>2022</v>
      </c>
      <c r="B229" s="9" t="s">
        <v>99</v>
      </c>
      <c r="C229" s="1" t="s">
        <v>176</v>
      </c>
      <c r="D229" s="10">
        <v>55.4</v>
      </c>
      <c r="E229" s="1">
        <v>37</v>
      </c>
      <c r="F229" s="10">
        <v>19.3</v>
      </c>
      <c r="G229" s="1">
        <v>28</v>
      </c>
      <c r="H229" s="10">
        <v>34.299999999999997</v>
      </c>
      <c r="I229" s="1">
        <v>20</v>
      </c>
      <c r="J229" s="10">
        <v>36.5</v>
      </c>
      <c r="K229" s="1">
        <v>14</v>
      </c>
      <c r="L229" s="10">
        <v>82.3</v>
      </c>
      <c r="M229" s="1">
        <v>19</v>
      </c>
      <c r="N229" s="14">
        <f t="shared" si="10"/>
        <v>105.92734225621416</v>
      </c>
      <c r="O229" s="14">
        <f t="shared" si="11"/>
        <v>137.85714285714286</v>
      </c>
      <c r="P229" s="14">
        <f t="shared" si="12"/>
        <v>99.420289855072454</v>
      </c>
      <c r="Q229" s="14">
        <f t="shared" si="13"/>
        <v>347.61904761904765</v>
      </c>
      <c r="R229" s="14">
        <f t="shared" si="14"/>
        <v>101.23001230012301</v>
      </c>
      <c r="S229" s="2">
        <v>214331.24552119809</v>
      </c>
      <c r="T229" s="2">
        <v>57410.882670210238</v>
      </c>
      <c r="U229" s="2">
        <v>127261.15179582062</v>
      </c>
      <c r="V229" s="2">
        <v>23290.538179001134</v>
      </c>
      <c r="W229" s="2">
        <v>6368.6728761660861</v>
      </c>
      <c r="X229" s="2">
        <v>6701.4493354560036</v>
      </c>
      <c r="Y229" s="2">
        <v>21879.425241856537</v>
      </c>
      <c r="Z229" s="2">
        <v>9940.5244336835221</v>
      </c>
      <c r="AA229" s="2">
        <v>3034.0013802054095</v>
      </c>
      <c r="AB229" s="2">
        <v>7018.0927037906167</v>
      </c>
      <c r="AC229" s="2">
        <v>33.200000000000003</v>
      </c>
      <c r="AD229" s="2">
        <v>1596.8</v>
      </c>
      <c r="AE229" s="24"/>
    </row>
    <row r="230" spans="1:31">
      <c r="A230" s="1">
        <v>2022</v>
      </c>
      <c r="B230" s="9" t="s">
        <v>101</v>
      </c>
      <c r="C230" s="1" t="s">
        <v>177</v>
      </c>
      <c r="D230" s="10">
        <v>58.9</v>
      </c>
      <c r="E230" s="1">
        <v>25</v>
      </c>
      <c r="F230" s="10">
        <v>26.2</v>
      </c>
      <c r="G230" s="1">
        <v>10</v>
      </c>
      <c r="H230" s="10">
        <v>36.4</v>
      </c>
      <c r="I230" s="1">
        <v>2</v>
      </c>
      <c r="J230" s="10">
        <v>39.1</v>
      </c>
      <c r="K230" s="1">
        <v>3</v>
      </c>
      <c r="L230" s="10">
        <v>83.3</v>
      </c>
      <c r="M230" s="1">
        <v>11</v>
      </c>
      <c r="N230" s="14">
        <f t="shared" si="10"/>
        <v>105.93525179856114</v>
      </c>
      <c r="O230" s="14">
        <f t="shared" si="11"/>
        <v>145.55555555555554</v>
      </c>
      <c r="P230" s="14">
        <f t="shared" si="12"/>
        <v>103.7037037037037</v>
      </c>
      <c r="Q230" s="14">
        <f t="shared" si="13"/>
        <v>340</v>
      </c>
      <c r="R230" s="14">
        <f t="shared" si="14"/>
        <v>100.72551390568319</v>
      </c>
      <c r="S230" s="2">
        <v>234186.97758294203</v>
      </c>
      <c r="T230" s="2">
        <v>65252.064370210639</v>
      </c>
      <c r="U230" s="2">
        <v>140944.97516187644</v>
      </c>
      <c r="V230" s="2">
        <v>21593.679559239612</v>
      </c>
      <c r="W230" s="2">
        <v>6396.2584916153355</v>
      </c>
      <c r="X230" s="2">
        <v>7232.9877901414102</v>
      </c>
      <c r="Y230" s="2">
        <v>27560.046387397491</v>
      </c>
      <c r="Z230" s="2">
        <v>12594.516036901692</v>
      </c>
      <c r="AA230" s="2">
        <v>4492.5928642695562</v>
      </c>
      <c r="AB230" s="2">
        <v>8563.8144818929522</v>
      </c>
      <c r="AC230" s="2">
        <v>38.299999999999997</v>
      </c>
      <c r="AD230" s="2">
        <v>1767</v>
      </c>
      <c r="AE230" s="24"/>
    </row>
    <row r="231" spans="1:31">
      <c r="A231" s="1">
        <v>2022</v>
      </c>
      <c r="B231" s="9" t="s">
        <v>103</v>
      </c>
      <c r="C231" s="1" t="s">
        <v>178</v>
      </c>
      <c r="D231" s="10">
        <v>57.7</v>
      </c>
      <c r="E231" s="1">
        <v>27</v>
      </c>
      <c r="F231" s="10">
        <v>26.8</v>
      </c>
      <c r="G231" s="1">
        <v>8</v>
      </c>
      <c r="H231" s="10">
        <v>35.4</v>
      </c>
      <c r="I231" s="1">
        <v>4</v>
      </c>
      <c r="J231" s="10">
        <v>34.6</v>
      </c>
      <c r="K231" s="1">
        <v>29</v>
      </c>
      <c r="L231" s="10">
        <v>83.1</v>
      </c>
      <c r="M231" s="1">
        <v>13</v>
      </c>
      <c r="N231" s="14">
        <f t="shared" si="10"/>
        <v>103.40501792114696</v>
      </c>
      <c r="O231" s="14">
        <f t="shared" si="11"/>
        <v>95.373665480427036</v>
      </c>
      <c r="P231" s="14">
        <f t="shared" si="12"/>
        <v>102.90697674418605</v>
      </c>
      <c r="Q231" s="14">
        <f t="shared" si="13"/>
        <v>372.04301075268813</v>
      </c>
      <c r="R231" s="14">
        <f t="shared" si="14"/>
        <v>100.97205346294045</v>
      </c>
      <c r="S231" s="2">
        <v>219595.3632123977</v>
      </c>
      <c r="T231" s="2">
        <v>63913.950695119172</v>
      </c>
      <c r="U231" s="2">
        <v>127885.58782850284</v>
      </c>
      <c r="V231" s="2">
        <v>21768.351951662564</v>
      </c>
      <c r="W231" s="2">
        <v>6027.4727371131075</v>
      </c>
      <c r="X231" s="2">
        <v>6815.2806478172552</v>
      </c>
      <c r="Y231" s="2">
        <v>24132.300151697436</v>
      </c>
      <c r="Z231" s="2">
        <v>11775.728496690153</v>
      </c>
      <c r="AA231" s="2">
        <v>2812.7549434793727</v>
      </c>
      <c r="AB231" s="2">
        <v>7378.8309285766463</v>
      </c>
      <c r="AC231" s="2">
        <v>36.4</v>
      </c>
      <c r="AD231" s="2">
        <v>1971.3</v>
      </c>
      <c r="AE231" s="24"/>
    </row>
    <row r="232" spans="1:31">
      <c r="A232" s="1">
        <v>2022</v>
      </c>
      <c r="B232" s="9" t="s">
        <v>105</v>
      </c>
      <c r="C232" s="1" t="s">
        <v>179</v>
      </c>
      <c r="D232" s="10">
        <v>62.1</v>
      </c>
      <c r="E232" s="1">
        <v>16</v>
      </c>
      <c r="F232" s="10">
        <v>36.200000000000003</v>
      </c>
      <c r="G232" s="1">
        <v>1</v>
      </c>
      <c r="H232" s="10">
        <v>33.200000000000003</v>
      </c>
      <c r="I232" s="1">
        <v>41</v>
      </c>
      <c r="J232" s="10">
        <v>38.799999999999997</v>
      </c>
      <c r="K232" s="1">
        <v>4</v>
      </c>
      <c r="L232" s="10">
        <v>83.4</v>
      </c>
      <c r="M232" s="1">
        <v>8</v>
      </c>
      <c r="N232" s="14">
        <f t="shared" si="10"/>
        <v>100.16129032258065</v>
      </c>
      <c r="O232" s="14">
        <f t="shared" si="11"/>
        <v>116.39871382636657</v>
      </c>
      <c r="P232" s="14">
        <f t="shared" si="12"/>
        <v>94.857142857142861</v>
      </c>
      <c r="Q232" s="14">
        <f t="shared" si="13"/>
        <v>337.39130434782606</v>
      </c>
      <c r="R232" s="14">
        <f t="shared" si="14"/>
        <v>100.96852300242132</v>
      </c>
      <c r="S232" s="2">
        <v>217907.64875285586</v>
      </c>
      <c r="T232" s="2">
        <v>60516.579339660471</v>
      </c>
      <c r="U232" s="2">
        <v>131030.26955754578</v>
      </c>
      <c r="V232" s="2">
        <v>20896.169923806978</v>
      </c>
      <c r="W232" s="2">
        <v>5464.62993184265</v>
      </c>
      <c r="X232" s="2">
        <v>6419.0445555407032</v>
      </c>
      <c r="Y232" s="2">
        <v>24821.617671434309</v>
      </c>
      <c r="Z232" s="2">
        <v>11771.227181072052</v>
      </c>
      <c r="AA232" s="2">
        <v>3166.585131346078</v>
      </c>
      <c r="AB232" s="2">
        <v>8201.5814542440894</v>
      </c>
      <c r="AC232" s="2">
        <v>37.1</v>
      </c>
      <c r="AD232" s="2">
        <v>1878.5</v>
      </c>
      <c r="AE232" s="24"/>
    </row>
    <row r="233" spans="1:31">
      <c r="A233" s="1">
        <v>2022</v>
      </c>
      <c r="B233" s="9" t="s">
        <v>107</v>
      </c>
      <c r="C233" s="1" t="s">
        <v>180</v>
      </c>
      <c r="D233" s="10">
        <v>65.5</v>
      </c>
      <c r="E233" s="1">
        <v>8</v>
      </c>
      <c r="F233" s="10">
        <v>29.4</v>
      </c>
      <c r="G233" s="1">
        <v>7</v>
      </c>
      <c r="H233" s="10">
        <v>34.1</v>
      </c>
      <c r="I233" s="1">
        <v>26</v>
      </c>
      <c r="J233" s="10">
        <v>38.200000000000003</v>
      </c>
      <c r="K233" s="1">
        <v>7</v>
      </c>
      <c r="L233" s="10">
        <v>81</v>
      </c>
      <c r="M233" s="1">
        <v>27</v>
      </c>
      <c r="N233" s="14">
        <f t="shared" si="10"/>
        <v>100.92449922958397</v>
      </c>
      <c r="O233" s="14">
        <f t="shared" si="11"/>
        <v>101.03092783505154</v>
      </c>
      <c r="P233" s="14">
        <f t="shared" si="12"/>
        <v>97.150997150997156</v>
      </c>
      <c r="Q233" s="14">
        <f t="shared" si="13"/>
        <v>483.54430379746833</v>
      </c>
      <c r="R233" s="14">
        <f t="shared" si="14"/>
        <v>100.87173100871732</v>
      </c>
      <c r="S233" s="2">
        <v>220513.48634695142</v>
      </c>
      <c r="T233" s="2">
        <v>63063.36524735581</v>
      </c>
      <c r="U233" s="2">
        <v>132997.53149628517</v>
      </c>
      <c r="V233" s="2">
        <v>19121.461186949335</v>
      </c>
      <c r="W233" s="2">
        <v>5331.1284163610771</v>
      </c>
      <c r="X233" s="2">
        <v>7244.4800000663954</v>
      </c>
      <c r="Y233" s="2">
        <v>25033.381517199719</v>
      </c>
      <c r="Z233" s="2">
        <v>10915.515613443067</v>
      </c>
      <c r="AA233" s="2">
        <v>3464.9778116762805</v>
      </c>
      <c r="AB233" s="2">
        <v>8575.9192710788629</v>
      </c>
      <c r="AC233" s="2">
        <v>30.4</v>
      </c>
      <c r="AD233" s="2">
        <v>1757.7</v>
      </c>
      <c r="AE233" s="24"/>
    </row>
    <row r="234" spans="1:31">
      <c r="A234" s="1">
        <v>2022</v>
      </c>
      <c r="B234" s="9" t="s">
        <v>109</v>
      </c>
      <c r="C234" s="1" t="s">
        <v>181</v>
      </c>
      <c r="D234" s="10">
        <v>56.6</v>
      </c>
      <c r="E234" s="1">
        <v>32</v>
      </c>
      <c r="F234" s="10">
        <v>19.3</v>
      </c>
      <c r="G234" s="1">
        <v>27</v>
      </c>
      <c r="H234" s="10">
        <v>34.700000000000003</v>
      </c>
      <c r="I234" s="1">
        <v>11</v>
      </c>
      <c r="J234" s="10">
        <v>36.799999999999997</v>
      </c>
      <c r="K234" s="1">
        <v>12</v>
      </c>
      <c r="L234" s="10">
        <v>84.2</v>
      </c>
      <c r="M234" s="1">
        <v>7</v>
      </c>
      <c r="N234" s="14">
        <f t="shared" si="10"/>
        <v>101.25223613595706</v>
      </c>
      <c r="O234" s="14">
        <f t="shared" si="11"/>
        <v>122.9299363057325</v>
      </c>
      <c r="P234" s="14">
        <f t="shared" si="12"/>
        <v>99.42693409742121</v>
      </c>
      <c r="Q234" s="14">
        <f t="shared" si="13"/>
        <v>353.84615384615381</v>
      </c>
      <c r="R234" s="14">
        <f t="shared" si="14"/>
        <v>101.32370637785802</v>
      </c>
      <c r="S234" s="2">
        <v>206090.68991486172</v>
      </c>
      <c r="T234" s="2">
        <v>54828.981283445966</v>
      </c>
      <c r="U234" s="2">
        <v>126479.7194589116</v>
      </c>
      <c r="V234" s="2">
        <v>19895.734941544521</v>
      </c>
      <c r="W234" s="2">
        <v>4886.2542309596793</v>
      </c>
      <c r="X234" s="2">
        <v>6273.0767211681805</v>
      </c>
      <c r="Y234" s="2">
        <v>23318.464599552663</v>
      </c>
      <c r="Z234" s="2">
        <v>11557.11169750091</v>
      </c>
      <c r="AA234" s="2">
        <v>2355.878161927139</v>
      </c>
      <c r="AB234" s="2">
        <v>7392.9823175471956</v>
      </c>
      <c r="AC234" s="2">
        <v>35.5</v>
      </c>
      <c r="AD234" s="2">
        <v>1727.9</v>
      </c>
      <c r="AE234" s="24"/>
    </row>
    <row r="235" spans="1:31">
      <c r="A235" s="1">
        <v>2022</v>
      </c>
      <c r="B235" s="9" t="s">
        <v>111</v>
      </c>
      <c r="C235" s="1" t="s">
        <v>182</v>
      </c>
      <c r="D235" s="10">
        <v>55.1</v>
      </c>
      <c r="E235" s="1">
        <v>39</v>
      </c>
      <c r="F235" s="10">
        <v>19.600000000000001</v>
      </c>
      <c r="G235" s="1">
        <v>26</v>
      </c>
      <c r="H235" s="10">
        <v>34.700000000000003</v>
      </c>
      <c r="I235" s="1">
        <v>13</v>
      </c>
      <c r="J235" s="10">
        <v>38.700000000000003</v>
      </c>
      <c r="K235" s="1">
        <v>5</v>
      </c>
      <c r="L235" s="10">
        <v>86.1</v>
      </c>
      <c r="M235" s="1">
        <v>2</v>
      </c>
      <c r="N235" s="14">
        <f t="shared" si="10"/>
        <v>112.44897959183673</v>
      </c>
      <c r="O235" s="14">
        <f t="shared" si="11"/>
        <v>122.50000000000001</v>
      </c>
      <c r="P235" s="14">
        <f t="shared" si="12"/>
        <v>100.28901734104048</v>
      </c>
      <c r="Q235" s="14">
        <f t="shared" si="13"/>
        <v>225.00000000000006</v>
      </c>
      <c r="R235" s="14">
        <f t="shared" si="14"/>
        <v>100.81967213114753</v>
      </c>
      <c r="S235" s="2">
        <v>215188.84971442743</v>
      </c>
      <c r="T235" s="2">
        <v>61254.50225681594</v>
      </c>
      <c r="U235" s="2">
        <v>128849.13142070634</v>
      </c>
      <c r="V235" s="2">
        <v>19707.430694064962</v>
      </c>
      <c r="W235" s="2">
        <v>5377.7853428401459</v>
      </c>
      <c r="X235" s="2">
        <v>6806.8757266755783</v>
      </c>
      <c r="Y235" s="2">
        <v>24388.350488892414</v>
      </c>
      <c r="Z235" s="2">
        <v>11593.545382564162</v>
      </c>
      <c r="AA235" s="2">
        <v>2442.3951784177511</v>
      </c>
      <c r="AB235" s="2">
        <v>7930.6677466181973</v>
      </c>
      <c r="AC235" s="2">
        <v>38.700000000000003</v>
      </c>
      <c r="AD235" s="2">
        <v>2026.4</v>
      </c>
      <c r="AE235" s="24"/>
    </row>
    <row r="236" spans="1:31">
      <c r="A236" s="1">
        <v>2022</v>
      </c>
      <c r="B236" s="9" t="s">
        <v>113</v>
      </c>
      <c r="C236" s="1" t="s">
        <v>183</v>
      </c>
      <c r="D236" s="10">
        <v>60.1</v>
      </c>
      <c r="E236" s="1">
        <v>23</v>
      </c>
      <c r="F236" s="10">
        <v>24.5</v>
      </c>
      <c r="G236" s="1">
        <v>15</v>
      </c>
      <c r="H236" s="10">
        <v>34.200000000000003</v>
      </c>
      <c r="I236" s="1">
        <v>25</v>
      </c>
      <c r="J236" s="10">
        <v>35.799999999999997</v>
      </c>
      <c r="K236" s="1">
        <v>20</v>
      </c>
      <c r="L236" s="10">
        <v>89.3</v>
      </c>
      <c r="M236" s="1">
        <v>1</v>
      </c>
      <c r="N236" s="14">
        <f t="shared" si="10"/>
        <v>103.97923875432527</v>
      </c>
      <c r="O236" s="14">
        <f t="shared" si="11"/>
        <v>84.775086505190316</v>
      </c>
      <c r="P236" s="14">
        <f t="shared" si="12"/>
        <v>99.418604651162795</v>
      </c>
      <c r="Q236" s="14">
        <f t="shared" si="13"/>
        <v>384.94623655913972</v>
      </c>
      <c r="R236" s="14">
        <f t="shared" si="14"/>
        <v>100.3370786516854</v>
      </c>
      <c r="S236" s="2">
        <v>189357.27507801124</v>
      </c>
      <c r="T236" s="2">
        <v>53966.218179768126</v>
      </c>
      <c r="U236" s="2">
        <v>112325.59775088808</v>
      </c>
      <c r="V236" s="2">
        <v>18376.733722398712</v>
      </c>
      <c r="W236" s="2">
        <v>4688.7254249563694</v>
      </c>
      <c r="X236" s="2">
        <v>7003.1333604437086</v>
      </c>
      <c r="Y236" s="2">
        <v>19050.364951091145</v>
      </c>
      <c r="Z236" s="2">
        <v>9548.1535562050503</v>
      </c>
      <c r="AA236" s="2">
        <v>2076.8125647722882</v>
      </c>
      <c r="AB236" s="2">
        <v>5683.6037242330995</v>
      </c>
      <c r="AC236" s="2">
        <v>30</v>
      </c>
      <c r="AD236" s="2">
        <v>1274</v>
      </c>
      <c r="AE236" s="24"/>
    </row>
    <row r="237" spans="1:31">
      <c r="A237" s="1">
        <v>2023</v>
      </c>
      <c r="B237" s="9" t="s">
        <v>21</v>
      </c>
      <c r="C237" s="1" t="s">
        <v>22</v>
      </c>
      <c r="D237" s="10">
        <v>53.5</v>
      </c>
      <c r="E237" s="1">
        <v>42</v>
      </c>
      <c r="F237" s="10">
        <v>13.5</v>
      </c>
      <c r="G237" s="1">
        <v>45</v>
      </c>
      <c r="H237" s="10">
        <v>32.4</v>
      </c>
      <c r="I237" s="1">
        <v>43</v>
      </c>
      <c r="J237" s="10">
        <v>32.6</v>
      </c>
      <c r="K237" s="1">
        <v>32</v>
      </c>
      <c r="L237" s="10">
        <v>84.4</v>
      </c>
      <c r="M237" s="1">
        <v>18</v>
      </c>
      <c r="N237" s="14">
        <f t="shared" si="10"/>
        <v>108.96130346232178</v>
      </c>
      <c r="O237" s="14">
        <f t="shared" si="11"/>
        <v>115.3846153846154</v>
      </c>
      <c r="P237" s="14">
        <f t="shared" si="12"/>
        <v>99.082568807339428</v>
      </c>
      <c r="Q237" s="14">
        <f t="shared" si="13"/>
        <v>96.449704142011853</v>
      </c>
      <c r="R237" s="14">
        <f t="shared" si="14"/>
        <v>101.93236714975846</v>
      </c>
      <c r="S237" s="2">
        <v>232288.06371134004</v>
      </c>
      <c r="T237" s="2">
        <v>67505.210689343119</v>
      </c>
      <c r="U237" s="2">
        <v>137861.93409467724</v>
      </c>
      <c r="V237" s="2">
        <v>22680.016566053571</v>
      </c>
      <c r="W237" s="2">
        <v>4240.9023612661149</v>
      </c>
      <c r="X237" s="2">
        <v>8030.5053636658749</v>
      </c>
      <c r="Y237" s="2">
        <v>25521.595379746668</v>
      </c>
      <c r="Z237" s="21">
        <v>10575.359949743297</v>
      </c>
      <c r="AA237" s="21">
        <v>3269.0112465361135</v>
      </c>
      <c r="AB237" s="21">
        <v>8929.8851102393219</v>
      </c>
      <c r="AC237" s="22">
        <v>29.6</v>
      </c>
      <c r="AD237" s="22">
        <v>1765.3</v>
      </c>
      <c r="AE237" s="25"/>
    </row>
    <row r="238" spans="1:31">
      <c r="A238" s="1">
        <v>2023</v>
      </c>
      <c r="B238" s="9" t="s">
        <v>23</v>
      </c>
      <c r="C238" s="1" t="s">
        <v>138</v>
      </c>
      <c r="D238" s="10">
        <v>61.4</v>
      </c>
      <c r="E238" s="1">
        <v>22</v>
      </c>
      <c r="F238" s="10">
        <v>28.4</v>
      </c>
      <c r="G238" s="1">
        <v>10</v>
      </c>
      <c r="H238" s="10">
        <v>33.5</v>
      </c>
      <c r="I238" s="1">
        <v>30</v>
      </c>
      <c r="J238" s="10">
        <v>34.200000000000003</v>
      </c>
      <c r="K238" s="1">
        <v>18</v>
      </c>
      <c r="L238" s="10">
        <v>84.8</v>
      </c>
      <c r="M238" s="1">
        <v>13</v>
      </c>
      <c r="N238" s="14">
        <f t="shared" si="10"/>
        <v>100.49099836333879</v>
      </c>
      <c r="O238" s="14">
        <f t="shared" si="11"/>
        <v>127.92792792792793</v>
      </c>
      <c r="P238" s="14">
        <f t="shared" si="12"/>
        <v>104.03726708074532</v>
      </c>
      <c r="Q238" s="14">
        <f t="shared" si="13"/>
        <v>96.338028169014095</v>
      </c>
      <c r="R238" s="14">
        <f t="shared" si="14"/>
        <v>101.80072028811524</v>
      </c>
      <c r="S238" s="2">
        <v>215115.73292000353</v>
      </c>
      <c r="T238" s="2">
        <v>56151.59272821778</v>
      </c>
      <c r="U238" s="2">
        <v>135981.60575505192</v>
      </c>
      <c r="V238" s="2">
        <v>19511.127337707356</v>
      </c>
      <c r="W238" s="2">
        <v>3471.4070990264581</v>
      </c>
      <c r="X238" s="2">
        <v>7103.9296889944226</v>
      </c>
      <c r="Y238" s="2">
        <v>28810.925927112687</v>
      </c>
      <c r="Z238" s="21">
        <v>13279.073847702266</v>
      </c>
      <c r="AA238" s="21">
        <v>3778.0350366954776</v>
      </c>
      <c r="AB238" s="21">
        <v>9510.4221653116565</v>
      </c>
      <c r="AC238" s="22">
        <v>29.7</v>
      </c>
      <c r="AD238" s="22">
        <v>1357.2</v>
      </c>
      <c r="AE238" s="25"/>
    </row>
    <row r="239" spans="1:31">
      <c r="A239" s="1">
        <v>2023</v>
      </c>
      <c r="B239" s="9" t="s">
        <v>25</v>
      </c>
      <c r="C239" s="1" t="s">
        <v>139</v>
      </c>
      <c r="D239" s="10">
        <v>63.7</v>
      </c>
      <c r="E239" s="1">
        <v>16</v>
      </c>
      <c r="F239" s="10">
        <v>22.2</v>
      </c>
      <c r="G239" s="1">
        <v>24</v>
      </c>
      <c r="H239" s="10">
        <v>34</v>
      </c>
      <c r="I239" s="1">
        <v>18</v>
      </c>
      <c r="J239" s="10">
        <v>31.4</v>
      </c>
      <c r="K239" s="1">
        <v>40</v>
      </c>
      <c r="L239" s="10">
        <v>87.1</v>
      </c>
      <c r="M239" s="1">
        <v>4</v>
      </c>
      <c r="N239" s="14">
        <f t="shared" si="10"/>
        <v>101.92000000000002</v>
      </c>
      <c r="O239" s="14">
        <f t="shared" si="11"/>
        <v>102.30414746543779</v>
      </c>
      <c r="P239" s="14">
        <f t="shared" si="12"/>
        <v>101.49253731343283</v>
      </c>
      <c r="Q239" s="14">
        <f t="shared" si="13"/>
        <v>90.229885057471265</v>
      </c>
      <c r="R239" s="14">
        <f t="shared" si="14"/>
        <v>101.63360560093349</v>
      </c>
      <c r="S239" s="2">
        <v>209984.98152340626</v>
      </c>
      <c r="T239" s="2">
        <v>53145.528751008664</v>
      </c>
      <c r="U239" s="2">
        <v>132341.85875569348</v>
      </c>
      <c r="V239" s="2">
        <v>20454.098183256174</v>
      </c>
      <c r="W239" s="2">
        <v>4043.4958334479393</v>
      </c>
      <c r="X239" s="2">
        <v>6083.9292362336992</v>
      </c>
      <c r="Y239" s="2">
        <v>28149.50142503684</v>
      </c>
      <c r="Z239" s="21">
        <v>12755.842061921419</v>
      </c>
      <c r="AA239" s="21">
        <v>4039.2455537069654</v>
      </c>
      <c r="AB239" s="21">
        <v>9337.2206784422287</v>
      </c>
      <c r="AC239" s="22">
        <v>29.5</v>
      </c>
      <c r="AD239" s="22">
        <v>1362.9</v>
      </c>
      <c r="AE239" s="25"/>
    </row>
    <row r="240" spans="1:31">
      <c r="A240" s="1">
        <v>2023</v>
      </c>
      <c r="B240" s="9" t="s">
        <v>27</v>
      </c>
      <c r="C240" s="1" t="s">
        <v>140</v>
      </c>
      <c r="D240" s="10">
        <v>64.099999999999994</v>
      </c>
      <c r="E240" s="1">
        <v>14</v>
      </c>
      <c r="F240" s="10">
        <v>24.4</v>
      </c>
      <c r="G240" s="1">
        <v>19</v>
      </c>
      <c r="H240" s="10">
        <v>32.5</v>
      </c>
      <c r="I240" s="1">
        <v>42</v>
      </c>
      <c r="J240" s="10">
        <v>33.4</v>
      </c>
      <c r="K240" s="1">
        <v>26</v>
      </c>
      <c r="L240" s="10">
        <v>86</v>
      </c>
      <c r="M240" s="1">
        <v>6</v>
      </c>
      <c r="N240" s="14">
        <f t="shared" si="10"/>
        <v>99.534161490683218</v>
      </c>
      <c r="O240" s="14">
        <f t="shared" si="11"/>
        <v>106.55021834061135</v>
      </c>
      <c r="P240" s="14">
        <f t="shared" si="12"/>
        <v>98.187311178247725</v>
      </c>
      <c r="Q240" s="14">
        <f t="shared" si="13"/>
        <v>96.531791907514446</v>
      </c>
      <c r="R240" s="14">
        <f t="shared" si="14"/>
        <v>101.89573459715639</v>
      </c>
      <c r="S240" s="2">
        <v>218088.38252095212</v>
      </c>
      <c r="T240" s="2">
        <v>57348.604767816731</v>
      </c>
      <c r="U240" s="2">
        <v>135531.3169816825</v>
      </c>
      <c r="V240" s="2">
        <v>20487.997023063075</v>
      </c>
      <c r="W240" s="2">
        <v>4720.4637483898005</v>
      </c>
      <c r="X240" s="2">
        <v>6832.1265169308472</v>
      </c>
      <c r="Y240" s="2">
        <v>27337.927791901333</v>
      </c>
      <c r="Z240" s="21">
        <v>12869.380684377773</v>
      </c>
      <c r="AA240" s="21">
        <v>3978.176078790626</v>
      </c>
      <c r="AB240" s="21">
        <v>8593.2718072423741</v>
      </c>
      <c r="AC240" s="22">
        <v>23.7</v>
      </c>
      <c r="AD240" s="22">
        <v>1080.8</v>
      </c>
      <c r="AE240" s="25"/>
    </row>
    <row r="241" spans="1:31">
      <c r="A241" s="1">
        <v>2023</v>
      </c>
      <c r="B241" s="9" t="s">
        <v>29</v>
      </c>
      <c r="C241" s="1" t="s">
        <v>141</v>
      </c>
      <c r="D241" s="10">
        <v>62.9</v>
      </c>
      <c r="E241" s="1">
        <v>18</v>
      </c>
      <c r="F241" s="10">
        <v>32.299999999999997</v>
      </c>
      <c r="G241" s="1">
        <v>5</v>
      </c>
      <c r="H241" s="10">
        <v>33</v>
      </c>
      <c r="I241" s="1">
        <v>40</v>
      </c>
      <c r="J241" s="10">
        <v>37.9</v>
      </c>
      <c r="K241" s="1">
        <v>5</v>
      </c>
      <c r="L241" s="10">
        <v>85.1</v>
      </c>
      <c r="M241" s="1">
        <v>10</v>
      </c>
      <c r="N241" s="14">
        <f t="shared" si="10"/>
        <v>102.77777777777777</v>
      </c>
      <c r="O241" s="14">
        <f t="shared" si="11"/>
        <v>101.25391849529781</v>
      </c>
      <c r="P241" s="14">
        <f t="shared" si="12"/>
        <v>96.209912536443156</v>
      </c>
      <c r="Q241" s="14">
        <f t="shared" si="13"/>
        <v>100.79787234042553</v>
      </c>
      <c r="R241" s="14">
        <f t="shared" si="14"/>
        <v>102.03836930455634</v>
      </c>
      <c r="S241" s="2">
        <v>231413.68012724604</v>
      </c>
      <c r="T241" s="2">
        <v>63999.061547372919</v>
      </c>
      <c r="U241" s="2">
        <v>141195.80603508416</v>
      </c>
      <c r="V241" s="2">
        <v>21803.508483533955</v>
      </c>
      <c r="W241" s="2">
        <v>4415.3040612550167</v>
      </c>
      <c r="X241" s="2">
        <v>6952.3138209938397</v>
      </c>
      <c r="Y241" s="2">
        <v>28877.155047290475</v>
      </c>
      <c r="Z241" s="21">
        <v>13347.524678226093</v>
      </c>
      <c r="AA241" s="21">
        <v>4526.9829805045711</v>
      </c>
      <c r="AB241" s="21">
        <v>8754.0071544962957</v>
      </c>
      <c r="AC241" s="22">
        <v>29.4</v>
      </c>
      <c r="AD241" s="22">
        <v>1521.6</v>
      </c>
      <c r="AE241" s="25"/>
    </row>
    <row r="242" spans="1:31">
      <c r="A242" s="1">
        <v>2023</v>
      </c>
      <c r="B242" s="9" t="s">
        <v>31</v>
      </c>
      <c r="C242" s="1" t="s">
        <v>142</v>
      </c>
      <c r="D242" s="10">
        <v>77.900000000000006</v>
      </c>
      <c r="E242" s="1">
        <v>1</v>
      </c>
      <c r="F242" s="10">
        <v>29.1</v>
      </c>
      <c r="G242" s="1">
        <v>8</v>
      </c>
      <c r="H242" s="10">
        <v>33.700000000000003</v>
      </c>
      <c r="I242" s="1">
        <v>25</v>
      </c>
      <c r="J242" s="10">
        <v>37.4</v>
      </c>
      <c r="K242" s="1">
        <v>7</v>
      </c>
      <c r="L242" s="10">
        <v>87.1</v>
      </c>
      <c r="M242" s="1">
        <v>3</v>
      </c>
      <c r="N242" s="14">
        <f t="shared" ref="N242:N305" si="15">D242/D195*100</f>
        <v>100.77619663648125</v>
      </c>
      <c r="O242" s="14">
        <f t="shared" ref="O242:O305" si="16">F242/F195*100</f>
        <v>113.22957198443582</v>
      </c>
      <c r="P242" s="14">
        <f t="shared" ref="P242:P305" si="17">H242/H195*100</f>
        <v>97.965116279069775</v>
      </c>
      <c r="Q242" s="14">
        <f t="shared" ref="Q242:Q305" si="18">J242/J195*100</f>
        <v>93.034825870646756</v>
      </c>
      <c r="R242" s="14">
        <f t="shared" ref="R242:R305" si="19">L242/L195*100</f>
        <v>102.2300469483568</v>
      </c>
      <c r="S242" s="2">
        <v>218927.93064044023</v>
      </c>
      <c r="T242" s="2">
        <v>56623.701633337587</v>
      </c>
      <c r="U242" s="2">
        <v>137114.37297883589</v>
      </c>
      <c r="V242" s="2">
        <v>21424.891618207341</v>
      </c>
      <c r="W242" s="2">
        <v>3764.9644100594096</v>
      </c>
      <c r="X242" s="2">
        <v>6072.5885484076789</v>
      </c>
      <c r="Y242" s="2">
        <v>28476.301090471603</v>
      </c>
      <c r="Z242" s="21">
        <v>13722.089768124406</v>
      </c>
      <c r="AA242" s="21">
        <v>5185.1757561478016</v>
      </c>
      <c r="AB242" s="21">
        <v>7615.0979424686011</v>
      </c>
      <c r="AC242" s="22">
        <v>27.5</v>
      </c>
      <c r="AD242" s="22">
        <v>1324.9</v>
      </c>
      <c r="AE242" s="25"/>
    </row>
    <row r="243" spans="1:31">
      <c r="A243" s="1">
        <v>2023</v>
      </c>
      <c r="B243" s="9" t="s">
        <v>33</v>
      </c>
      <c r="C243" s="1" t="s">
        <v>143</v>
      </c>
      <c r="D243" s="10">
        <v>59.8</v>
      </c>
      <c r="E243" s="1">
        <v>25</v>
      </c>
      <c r="F243" s="10">
        <v>27.9</v>
      </c>
      <c r="G243" s="1">
        <v>11</v>
      </c>
      <c r="H243" s="10">
        <v>33.799999999999997</v>
      </c>
      <c r="I243" s="1">
        <v>21</v>
      </c>
      <c r="J243" s="10">
        <v>31.3</v>
      </c>
      <c r="K243" s="1">
        <v>41</v>
      </c>
      <c r="L243" s="10">
        <v>84.8</v>
      </c>
      <c r="M243" s="1">
        <v>11</v>
      </c>
      <c r="N243" s="14">
        <f t="shared" si="15"/>
        <v>102.74914089347078</v>
      </c>
      <c r="O243" s="14">
        <f t="shared" si="16"/>
        <v>104.4943820224719</v>
      </c>
      <c r="P243" s="14">
        <f t="shared" si="17"/>
        <v>99.411764705882348</v>
      </c>
      <c r="Q243" s="14">
        <f t="shared" si="18"/>
        <v>91.520467836257296</v>
      </c>
      <c r="R243" s="14">
        <f t="shared" si="19"/>
        <v>101.80072028811524</v>
      </c>
      <c r="S243" s="2">
        <v>207510.72234257241</v>
      </c>
      <c r="T243" s="2">
        <v>54482.035454304503</v>
      </c>
      <c r="U243" s="2">
        <v>128805.9331490911</v>
      </c>
      <c r="V243" s="2">
        <v>19978.717614855901</v>
      </c>
      <c r="W243" s="2">
        <v>4244.0361243209281</v>
      </c>
      <c r="X243" s="2">
        <v>6174.1944186035362</v>
      </c>
      <c r="Y243" s="2">
        <v>27296.163855286828</v>
      </c>
      <c r="Z243" s="21">
        <v>12780.236621722812</v>
      </c>
      <c r="AA243" s="21">
        <v>3611.5335525424189</v>
      </c>
      <c r="AB243" s="21">
        <v>8752.0665250136262</v>
      </c>
      <c r="AC243" s="22">
        <v>26.7</v>
      </c>
      <c r="AD243" s="22">
        <v>1349.4</v>
      </c>
      <c r="AE243" s="25"/>
    </row>
    <row r="244" spans="1:31">
      <c r="A244" s="1">
        <v>2023</v>
      </c>
      <c r="B244" s="9" t="s">
        <v>35</v>
      </c>
      <c r="C244" s="1" t="s">
        <v>144</v>
      </c>
      <c r="D244" s="10">
        <v>55.7</v>
      </c>
      <c r="E244" s="1">
        <v>38</v>
      </c>
      <c r="F244" s="10">
        <v>17.2</v>
      </c>
      <c r="G244" s="1">
        <v>37</v>
      </c>
      <c r="H244" s="10">
        <v>32.1</v>
      </c>
      <c r="I244" s="1">
        <v>46</v>
      </c>
      <c r="J244" s="10">
        <v>32.200000000000003</v>
      </c>
      <c r="K244" s="1">
        <v>35</v>
      </c>
      <c r="L244" s="10">
        <v>82.7</v>
      </c>
      <c r="M244" s="1">
        <v>29</v>
      </c>
      <c r="N244" s="14">
        <f t="shared" si="15"/>
        <v>100.36036036036036</v>
      </c>
      <c r="O244" s="14">
        <f t="shared" si="16"/>
        <v>114.66666666666667</v>
      </c>
      <c r="P244" s="14">
        <f t="shared" si="17"/>
        <v>96.396396396396412</v>
      </c>
      <c r="Q244" s="14">
        <f t="shared" si="18"/>
        <v>91.477272727272734</v>
      </c>
      <c r="R244" s="14">
        <f t="shared" si="19"/>
        <v>102.35148514851487</v>
      </c>
      <c r="S244" s="2">
        <v>200177.46662306634</v>
      </c>
      <c r="T244" s="2">
        <v>50320.872712446195</v>
      </c>
      <c r="U244" s="2">
        <v>126063.6947930006</v>
      </c>
      <c r="V244" s="2">
        <v>20029.031873834771</v>
      </c>
      <c r="W244" s="2">
        <v>3763.8672437847681</v>
      </c>
      <c r="X244" s="2">
        <v>5990.0326932144744</v>
      </c>
      <c r="Y244" s="2">
        <v>23625.345563463445</v>
      </c>
      <c r="Z244" s="21">
        <v>10174.588804471916</v>
      </c>
      <c r="AA244" s="21">
        <v>3299.1321837306627</v>
      </c>
      <c r="AB244" s="21">
        <v>8124.3559686233575</v>
      </c>
      <c r="AC244" s="22">
        <v>25.8</v>
      </c>
      <c r="AD244" s="22">
        <v>1074</v>
      </c>
      <c r="AE244" s="25"/>
    </row>
    <row r="245" spans="1:31">
      <c r="A245" s="1">
        <v>2023</v>
      </c>
      <c r="B245" s="9" t="s">
        <v>37</v>
      </c>
      <c r="C245" s="1" t="s">
        <v>145</v>
      </c>
      <c r="D245" s="10">
        <v>61.7</v>
      </c>
      <c r="E245" s="1">
        <v>21</v>
      </c>
      <c r="F245" s="10">
        <v>27.6</v>
      </c>
      <c r="G245" s="1">
        <v>12</v>
      </c>
      <c r="H245" s="10">
        <v>33.6</v>
      </c>
      <c r="I245" s="1">
        <v>27</v>
      </c>
      <c r="J245" s="10">
        <v>34.6</v>
      </c>
      <c r="K245" s="1">
        <v>16</v>
      </c>
      <c r="L245" s="10">
        <v>83.1</v>
      </c>
      <c r="M245" s="1">
        <v>26</v>
      </c>
      <c r="N245" s="14">
        <f t="shared" si="15"/>
        <v>101.14754098360656</v>
      </c>
      <c r="O245" s="14">
        <f t="shared" si="16"/>
        <v>108.66141732283465</v>
      </c>
      <c r="P245" s="14">
        <f t="shared" si="17"/>
        <v>97.674418604651166</v>
      </c>
      <c r="Q245" s="14">
        <f t="shared" si="18"/>
        <v>94.535519125683066</v>
      </c>
      <c r="R245" s="14">
        <f t="shared" si="19"/>
        <v>102.08845208845207</v>
      </c>
      <c r="S245" s="2">
        <v>207947.26868030214</v>
      </c>
      <c r="T245" s="2">
        <v>52988.360325925983</v>
      </c>
      <c r="U245" s="2">
        <v>130303.63063922494</v>
      </c>
      <c r="V245" s="2">
        <v>20092.28017297386</v>
      </c>
      <c r="W245" s="2">
        <v>4562.9975421773497</v>
      </c>
      <c r="X245" s="2">
        <v>6414.1594050846652</v>
      </c>
      <c r="Y245" s="2">
        <v>24079.670683780441</v>
      </c>
      <c r="Z245" s="21">
        <v>10655.759807105942</v>
      </c>
      <c r="AA245" s="21">
        <v>3625.9396099314799</v>
      </c>
      <c r="AB245" s="21">
        <v>7839.6422215625907</v>
      </c>
      <c r="AC245" s="22">
        <v>27.1</v>
      </c>
      <c r="AD245" s="22">
        <v>1104.0999999999999</v>
      </c>
      <c r="AE245" s="25"/>
    </row>
    <row r="246" spans="1:31">
      <c r="A246" s="1">
        <v>2023</v>
      </c>
      <c r="B246" s="9" t="s">
        <v>39</v>
      </c>
      <c r="C246" s="1" t="s">
        <v>146</v>
      </c>
      <c r="D246" s="10">
        <v>55.5</v>
      </c>
      <c r="E246" s="1">
        <v>39</v>
      </c>
      <c r="F246" s="10">
        <v>14.5</v>
      </c>
      <c r="G246" s="1">
        <v>42</v>
      </c>
      <c r="H246" s="10">
        <v>32.299999999999997</v>
      </c>
      <c r="I246" s="1">
        <v>45</v>
      </c>
      <c r="J246" s="10">
        <v>32.6</v>
      </c>
      <c r="K246" s="1">
        <v>31</v>
      </c>
      <c r="L246" s="10">
        <v>83.8</v>
      </c>
      <c r="M246" s="1">
        <v>20</v>
      </c>
      <c r="N246" s="14">
        <f t="shared" si="15"/>
        <v>100.54347826086956</v>
      </c>
      <c r="O246" s="14">
        <f t="shared" si="16"/>
        <v>109.84848484848486</v>
      </c>
      <c r="P246" s="14">
        <f t="shared" si="17"/>
        <v>97.878787878787861</v>
      </c>
      <c r="Q246" s="14">
        <f t="shared" si="18"/>
        <v>96.735905044510389</v>
      </c>
      <c r="R246" s="14">
        <f t="shared" si="19"/>
        <v>102.19512195121952</v>
      </c>
      <c r="S246" s="2">
        <v>201405.9765240899</v>
      </c>
      <c r="T246" s="2">
        <v>50867.378512894255</v>
      </c>
      <c r="U246" s="2">
        <v>125716.81209308191</v>
      </c>
      <c r="V246" s="2">
        <v>20065.598900037221</v>
      </c>
      <c r="W246" s="2">
        <v>4756.1870180765336</v>
      </c>
      <c r="X246" s="2">
        <v>5927.8904430563834</v>
      </c>
      <c r="Y246" s="2">
        <v>22213.658056718872</v>
      </c>
      <c r="Z246" s="21">
        <v>9377.5622320620478</v>
      </c>
      <c r="AA246" s="21">
        <v>2961.315485189758</v>
      </c>
      <c r="AB246" s="21">
        <v>7930.8931819799736</v>
      </c>
      <c r="AC246" s="22">
        <v>27</v>
      </c>
      <c r="AD246" s="22">
        <v>1220.9000000000001</v>
      </c>
      <c r="AE246" s="25"/>
    </row>
    <row r="247" spans="1:31">
      <c r="A247" s="1">
        <v>2023</v>
      </c>
      <c r="B247" s="9" t="s">
        <v>41</v>
      </c>
      <c r="C247" s="1" t="s">
        <v>147</v>
      </c>
      <c r="D247" s="10">
        <v>48.1</v>
      </c>
      <c r="E247" s="1">
        <v>46</v>
      </c>
      <c r="F247" s="10">
        <v>9.6999999999999993</v>
      </c>
      <c r="G247" s="1">
        <v>47</v>
      </c>
      <c r="H247" s="10">
        <v>33.200000000000003</v>
      </c>
      <c r="I247" s="1">
        <v>36</v>
      </c>
      <c r="J247" s="10">
        <v>30.5</v>
      </c>
      <c r="K247" s="1">
        <v>46</v>
      </c>
      <c r="L247" s="10">
        <v>83.5</v>
      </c>
      <c r="M247" s="1">
        <v>24</v>
      </c>
      <c r="N247" s="14">
        <f t="shared" si="15"/>
        <v>96.586345381526115</v>
      </c>
      <c r="O247" s="14">
        <f t="shared" si="16"/>
        <v>115.47619047619047</v>
      </c>
      <c r="P247" s="14">
        <f t="shared" si="17"/>
        <v>98.516320474777459</v>
      </c>
      <c r="Q247" s="14">
        <f t="shared" si="18"/>
        <v>94.720496894409933</v>
      </c>
      <c r="R247" s="14">
        <f t="shared" si="19"/>
        <v>102.32843137254903</v>
      </c>
      <c r="S247" s="2">
        <v>201472.52666019063</v>
      </c>
      <c r="T247" s="2">
        <v>50517.464334582641</v>
      </c>
      <c r="U247" s="2">
        <v>124902.12935468723</v>
      </c>
      <c r="V247" s="2">
        <v>20939.378559606215</v>
      </c>
      <c r="W247" s="2">
        <v>5113.5544113145397</v>
      </c>
      <c r="X247" s="2">
        <v>6584.949822282264</v>
      </c>
      <c r="Y247" s="2">
        <v>22249.554383718929</v>
      </c>
      <c r="Z247" s="21">
        <v>9926.5980895365556</v>
      </c>
      <c r="AA247" s="21">
        <v>2865.5744134676588</v>
      </c>
      <c r="AB247" s="21">
        <v>7480.1638275495397</v>
      </c>
      <c r="AC247" s="22">
        <v>26.5</v>
      </c>
      <c r="AD247" s="22">
        <v>858.6</v>
      </c>
      <c r="AE247" s="25"/>
    </row>
    <row r="248" spans="1:31">
      <c r="A248" s="1">
        <v>2023</v>
      </c>
      <c r="B248" s="9" t="s">
        <v>43</v>
      </c>
      <c r="C248" s="1" t="s">
        <v>148</v>
      </c>
      <c r="D248" s="10">
        <v>47.7</v>
      </c>
      <c r="E248" s="1">
        <v>47</v>
      </c>
      <c r="F248" s="10">
        <v>16</v>
      </c>
      <c r="G248" s="1">
        <v>40</v>
      </c>
      <c r="H248" s="10">
        <v>33.5</v>
      </c>
      <c r="I248" s="1">
        <v>28</v>
      </c>
      <c r="J248" s="10">
        <v>32.200000000000003</v>
      </c>
      <c r="K248" s="1">
        <v>36</v>
      </c>
      <c r="L248" s="10">
        <v>83.4</v>
      </c>
      <c r="M248" s="1">
        <v>25</v>
      </c>
      <c r="N248" s="14">
        <f t="shared" si="15"/>
        <v>101.70575692963753</v>
      </c>
      <c r="O248" s="14">
        <f t="shared" si="16"/>
        <v>111.11111111111111</v>
      </c>
      <c r="P248" s="14">
        <f t="shared" si="17"/>
        <v>97.953216374269005</v>
      </c>
      <c r="Q248" s="14">
        <f t="shared" si="18"/>
        <v>100</v>
      </c>
      <c r="R248" s="14">
        <f t="shared" si="19"/>
        <v>102.08078335373318</v>
      </c>
      <c r="S248" s="2">
        <v>204922.5076620827</v>
      </c>
      <c r="T248" s="2">
        <v>52398.581525592715</v>
      </c>
      <c r="U248" s="2">
        <v>126364.43778666868</v>
      </c>
      <c r="V248" s="2">
        <v>21482.177740259303</v>
      </c>
      <c r="W248" s="2">
        <v>4677.3106095619896</v>
      </c>
      <c r="X248" s="2">
        <v>6963.2623747681264</v>
      </c>
      <c r="Y248" s="2">
        <v>22978.064443960124</v>
      </c>
      <c r="Z248" s="21">
        <v>9671.7205398518199</v>
      </c>
      <c r="AA248" s="21">
        <v>3041.0112310518844</v>
      </c>
      <c r="AB248" s="21">
        <v>8284.4992186536965</v>
      </c>
      <c r="AC248" s="22">
        <v>25.1</v>
      </c>
      <c r="AD248" s="22">
        <v>957.2</v>
      </c>
      <c r="AE248" s="25"/>
    </row>
    <row r="249" spans="1:31">
      <c r="A249" s="1">
        <v>2023</v>
      </c>
      <c r="B249" s="9" t="s">
        <v>45</v>
      </c>
      <c r="C249" s="1" t="s">
        <v>149</v>
      </c>
      <c r="D249" s="10">
        <v>53.8</v>
      </c>
      <c r="E249" s="1">
        <v>41</v>
      </c>
      <c r="F249" s="10">
        <v>11.6</v>
      </c>
      <c r="G249" s="1">
        <v>46</v>
      </c>
      <c r="H249" s="10">
        <v>34.4</v>
      </c>
      <c r="I249" s="1">
        <v>9</v>
      </c>
      <c r="J249" s="10">
        <v>32</v>
      </c>
      <c r="K249" s="1">
        <v>37</v>
      </c>
      <c r="L249" s="10">
        <v>82.3</v>
      </c>
      <c r="M249" s="1">
        <v>35</v>
      </c>
      <c r="N249" s="14">
        <f t="shared" si="15"/>
        <v>101.31826741996232</v>
      </c>
      <c r="O249" s="14">
        <f t="shared" si="16"/>
        <v>122.10526315789474</v>
      </c>
      <c r="P249" s="14">
        <f t="shared" si="17"/>
        <v>97.72727272727272</v>
      </c>
      <c r="Q249" s="14">
        <f t="shared" si="18"/>
        <v>93.841642228738991</v>
      </c>
      <c r="R249" s="14">
        <f t="shared" si="19"/>
        <v>102.36318407960199</v>
      </c>
      <c r="S249" s="2">
        <v>201573.80583287464</v>
      </c>
      <c r="T249" s="2">
        <v>46724.7480140357</v>
      </c>
      <c r="U249" s="2">
        <v>127026.60381521333</v>
      </c>
      <c r="V249" s="2">
        <v>22739.035509010904</v>
      </c>
      <c r="W249" s="2">
        <v>5083.4184946147352</v>
      </c>
      <c r="X249" s="2">
        <v>5436.6668840694092</v>
      </c>
      <c r="Y249" s="2">
        <v>18146.452286846721</v>
      </c>
      <c r="Z249" s="21">
        <v>7503.8183834077827</v>
      </c>
      <c r="AA249" s="21">
        <v>2844.1665359384665</v>
      </c>
      <c r="AB249" s="21">
        <v>6102.8039398225646</v>
      </c>
      <c r="AC249" s="22">
        <v>20.9</v>
      </c>
      <c r="AD249" s="22">
        <v>890.7</v>
      </c>
      <c r="AE249" s="25"/>
    </row>
    <row r="250" spans="1:31">
      <c r="A250" s="1">
        <v>2023</v>
      </c>
      <c r="B250" s="9" t="s">
        <v>47</v>
      </c>
      <c r="C250" s="1" t="s">
        <v>150</v>
      </c>
      <c r="D250" s="10">
        <v>48.2</v>
      </c>
      <c r="E250" s="1">
        <v>45</v>
      </c>
      <c r="F250" s="10">
        <v>13.5</v>
      </c>
      <c r="G250" s="1">
        <v>44</v>
      </c>
      <c r="H250" s="10">
        <v>33.4</v>
      </c>
      <c r="I250" s="1">
        <v>34</v>
      </c>
      <c r="J250" s="10">
        <v>31.9</v>
      </c>
      <c r="K250" s="1">
        <v>38</v>
      </c>
      <c r="L250" s="10">
        <v>82.6</v>
      </c>
      <c r="M250" s="1">
        <v>33</v>
      </c>
      <c r="N250" s="14">
        <f t="shared" si="15"/>
        <v>100</v>
      </c>
      <c r="O250" s="14">
        <f t="shared" si="16"/>
        <v>129.80769230769232</v>
      </c>
      <c r="P250" s="14">
        <f t="shared" si="17"/>
        <v>98.235294117647058</v>
      </c>
      <c r="Q250" s="14">
        <f t="shared" si="18"/>
        <v>94.100294985250727</v>
      </c>
      <c r="R250" s="14">
        <f t="shared" si="19"/>
        <v>102.10135970333745</v>
      </c>
      <c r="S250" s="2">
        <v>211462.57007907942</v>
      </c>
      <c r="T250" s="2">
        <v>51549.375791095903</v>
      </c>
      <c r="U250" s="2">
        <v>132307.3729151458</v>
      </c>
      <c r="V250" s="2">
        <v>22816.813314948969</v>
      </c>
      <c r="W250" s="2">
        <v>4789.0080578887546</v>
      </c>
      <c r="X250" s="2">
        <v>6784.7517164543578</v>
      </c>
      <c r="Y250" s="2">
        <v>21969.130486662598</v>
      </c>
      <c r="Z250" s="21">
        <v>9101.8501936589219</v>
      </c>
      <c r="AA250" s="21">
        <v>3371.847821098012</v>
      </c>
      <c r="AB250" s="21">
        <v>7457.5841562354199</v>
      </c>
      <c r="AC250" s="22">
        <v>21.6</v>
      </c>
      <c r="AD250" s="22">
        <v>792.7</v>
      </c>
      <c r="AE250" s="25"/>
    </row>
    <row r="251" spans="1:31">
      <c r="A251" s="1">
        <v>2023</v>
      </c>
      <c r="B251" s="9" t="s">
        <v>49</v>
      </c>
      <c r="C251" s="1" t="s">
        <v>151</v>
      </c>
      <c r="D251" s="10">
        <v>70.400000000000006</v>
      </c>
      <c r="E251" s="1">
        <v>4</v>
      </c>
      <c r="F251" s="10">
        <v>24.2</v>
      </c>
      <c r="G251" s="1">
        <v>21</v>
      </c>
      <c r="H251" s="10">
        <v>34.200000000000003</v>
      </c>
      <c r="I251" s="1">
        <v>13</v>
      </c>
      <c r="J251" s="10">
        <v>36.1</v>
      </c>
      <c r="K251" s="1">
        <v>12</v>
      </c>
      <c r="L251" s="10">
        <v>84.8</v>
      </c>
      <c r="M251" s="1">
        <v>12</v>
      </c>
      <c r="N251" s="14">
        <f t="shared" si="15"/>
        <v>100.71530758226037</v>
      </c>
      <c r="O251" s="14">
        <f t="shared" si="16"/>
        <v>109.99999999999999</v>
      </c>
      <c r="P251" s="14">
        <f t="shared" si="17"/>
        <v>102.08955223880598</v>
      </c>
      <c r="Q251" s="14">
        <f t="shared" si="18"/>
        <v>93.523316062176164</v>
      </c>
      <c r="R251" s="14">
        <f t="shared" si="19"/>
        <v>102.29191797346201</v>
      </c>
      <c r="S251" s="2">
        <v>196851.79282312747</v>
      </c>
      <c r="T251" s="2">
        <v>49885.673630342011</v>
      </c>
      <c r="U251" s="2">
        <v>122635.90303864695</v>
      </c>
      <c r="V251" s="2">
        <v>20574.391430381918</v>
      </c>
      <c r="W251" s="2">
        <v>3755.8247237566043</v>
      </c>
      <c r="X251" s="2">
        <v>5181.0195326585845</v>
      </c>
      <c r="Y251" s="2">
        <v>21081.522278188757</v>
      </c>
      <c r="Z251" s="21">
        <v>9097.5760179878707</v>
      </c>
      <c r="AA251" s="21">
        <v>3750.9119313586843</v>
      </c>
      <c r="AB251" s="21">
        <v>6472.0059177382509</v>
      </c>
      <c r="AC251" s="22">
        <v>28.3</v>
      </c>
      <c r="AD251" s="22">
        <v>1208.7</v>
      </c>
      <c r="AE251" s="25"/>
    </row>
    <row r="252" spans="1:31">
      <c r="A252" s="1">
        <v>2023</v>
      </c>
      <c r="B252" s="9" t="s">
        <v>51</v>
      </c>
      <c r="C252" s="1" t="s">
        <v>152</v>
      </c>
      <c r="D252" s="10">
        <v>72.3</v>
      </c>
      <c r="E252" s="1">
        <v>2</v>
      </c>
      <c r="F252" s="10">
        <v>33.200000000000003</v>
      </c>
      <c r="G252" s="1">
        <v>4</v>
      </c>
      <c r="H252" s="10">
        <v>33.1</v>
      </c>
      <c r="I252" s="1">
        <v>39</v>
      </c>
      <c r="J252" s="10">
        <v>38.5</v>
      </c>
      <c r="K252" s="1">
        <v>3</v>
      </c>
      <c r="L252" s="10">
        <v>83.8</v>
      </c>
      <c r="M252" s="1">
        <v>21</v>
      </c>
      <c r="N252" s="14">
        <f t="shared" si="15"/>
        <v>100.69637883008356</v>
      </c>
      <c r="O252" s="14">
        <f t="shared" si="16"/>
        <v>104.07523510971788</v>
      </c>
      <c r="P252" s="14">
        <f t="shared" si="17"/>
        <v>98.805970149253724</v>
      </c>
      <c r="Q252" s="14">
        <f t="shared" si="18"/>
        <v>97.71573604060913</v>
      </c>
      <c r="R252" s="14">
        <f t="shared" si="19"/>
        <v>102.31990231990231</v>
      </c>
      <c r="S252" s="2">
        <v>197899.00656784099</v>
      </c>
      <c r="T252" s="2">
        <v>52690.412735843995</v>
      </c>
      <c r="U252" s="2">
        <v>120569.26392875747</v>
      </c>
      <c r="V252" s="2">
        <v>20206.379575657662</v>
      </c>
      <c r="W252" s="2">
        <v>4432.9503275818497</v>
      </c>
      <c r="X252" s="2">
        <v>5787.4341244643201</v>
      </c>
      <c r="Y252" s="2">
        <v>21576.979202551975</v>
      </c>
      <c r="Z252" s="21">
        <v>9044.3658643022063</v>
      </c>
      <c r="AA252" s="21">
        <v>3283.1447459712763</v>
      </c>
      <c r="AB252" s="21">
        <v>7435.6376501458872</v>
      </c>
      <c r="AC252" s="22">
        <v>28.8</v>
      </c>
      <c r="AD252" s="22">
        <v>1454.6</v>
      </c>
      <c r="AE252" s="25"/>
    </row>
    <row r="253" spans="1:31">
      <c r="A253" s="1">
        <v>2023</v>
      </c>
      <c r="B253" s="9" t="s">
        <v>53</v>
      </c>
      <c r="C253" s="1" t="s">
        <v>153</v>
      </c>
      <c r="D253" s="10">
        <v>67</v>
      </c>
      <c r="E253" s="1">
        <v>8</v>
      </c>
      <c r="F253" s="10">
        <v>27.5</v>
      </c>
      <c r="G253" s="1">
        <v>13</v>
      </c>
      <c r="H253" s="10">
        <v>33.6</v>
      </c>
      <c r="I253" s="1">
        <v>26</v>
      </c>
      <c r="J253" s="10">
        <v>32.799999999999997</v>
      </c>
      <c r="K253" s="1">
        <v>28</v>
      </c>
      <c r="L253" s="10">
        <v>82.9</v>
      </c>
      <c r="M253" s="1">
        <v>27</v>
      </c>
      <c r="N253" s="14">
        <f t="shared" si="15"/>
        <v>100.60060060060061</v>
      </c>
      <c r="O253" s="14">
        <f t="shared" si="16"/>
        <v>116.03375527426161</v>
      </c>
      <c r="P253" s="14">
        <f t="shared" si="17"/>
        <v>99.115044247787623</v>
      </c>
      <c r="Q253" s="14">
        <f t="shared" si="18"/>
        <v>91.1111111111111</v>
      </c>
      <c r="R253" s="14">
        <f t="shared" si="19"/>
        <v>102.34567901234568</v>
      </c>
      <c r="S253" s="2">
        <v>204548.61362814371</v>
      </c>
      <c r="T253" s="2">
        <v>55471.204968103149</v>
      </c>
      <c r="U253" s="2">
        <v>125349.29741139343</v>
      </c>
      <c r="V253" s="2">
        <v>19268.123372908631</v>
      </c>
      <c r="W253" s="2">
        <v>4459.9878757384886</v>
      </c>
      <c r="X253" s="2">
        <v>7054.4242342425141</v>
      </c>
      <c r="Y253" s="2">
        <v>21504.520829268786</v>
      </c>
      <c r="Z253" s="21">
        <v>8279.8856164975314</v>
      </c>
      <c r="AA253" s="21">
        <v>3381.4156363320767</v>
      </c>
      <c r="AB253" s="21">
        <v>7919.1205470313434</v>
      </c>
      <c r="AC253" s="22">
        <v>28.9</v>
      </c>
      <c r="AD253" s="22">
        <v>1475.1</v>
      </c>
      <c r="AE253" s="25"/>
    </row>
    <row r="254" spans="1:31">
      <c r="A254" s="1">
        <v>2023</v>
      </c>
      <c r="B254" s="9" t="s">
        <v>55</v>
      </c>
      <c r="C254" s="1" t="s">
        <v>154</v>
      </c>
      <c r="D254" s="10">
        <v>67.599999999999994</v>
      </c>
      <c r="E254" s="1">
        <v>7</v>
      </c>
      <c r="F254" s="10">
        <v>24.3</v>
      </c>
      <c r="G254" s="1">
        <v>20</v>
      </c>
      <c r="H254" s="10">
        <v>32.9</v>
      </c>
      <c r="I254" s="1">
        <v>41</v>
      </c>
      <c r="J254" s="10">
        <v>33.6</v>
      </c>
      <c r="K254" s="1">
        <v>24</v>
      </c>
      <c r="L254" s="10">
        <v>81.8</v>
      </c>
      <c r="M254" s="1">
        <v>39</v>
      </c>
      <c r="N254" s="14">
        <f t="shared" si="15"/>
        <v>103.36391437308868</v>
      </c>
      <c r="O254" s="14">
        <f t="shared" si="16"/>
        <v>110.95890410958904</v>
      </c>
      <c r="P254" s="14">
        <f t="shared" si="17"/>
        <v>96.198830409356717</v>
      </c>
      <c r="Q254" s="14">
        <f t="shared" si="18"/>
        <v>94.117647058823522</v>
      </c>
      <c r="R254" s="14">
        <f t="shared" si="19"/>
        <v>102.37797246558196</v>
      </c>
      <c r="S254" s="2">
        <v>211226.08202880507</v>
      </c>
      <c r="T254" s="2">
        <v>59847.234463744535</v>
      </c>
      <c r="U254" s="2">
        <v>127137.35701893936</v>
      </c>
      <c r="V254" s="2">
        <v>19383.559859484441</v>
      </c>
      <c r="W254" s="2">
        <v>4857.9306866367351</v>
      </c>
      <c r="X254" s="2">
        <v>7010.1576480920266</v>
      </c>
      <c r="Y254" s="2">
        <v>22794.327332147972</v>
      </c>
      <c r="Z254" s="21">
        <v>10000.42721157238</v>
      </c>
      <c r="AA254" s="21">
        <v>3442.4418728449359</v>
      </c>
      <c r="AB254" s="21">
        <v>7490.1738916043396</v>
      </c>
      <c r="AC254" s="22">
        <v>26</v>
      </c>
      <c r="AD254" s="22">
        <v>1350.9</v>
      </c>
      <c r="AE254" s="25"/>
    </row>
    <row r="255" spans="1:31">
      <c r="A255" s="1">
        <v>2023</v>
      </c>
      <c r="B255" s="9" t="s">
        <v>57</v>
      </c>
      <c r="C255" s="1" t="s">
        <v>155</v>
      </c>
      <c r="D255" s="10">
        <v>69</v>
      </c>
      <c r="E255" s="1">
        <v>5</v>
      </c>
      <c r="F255" s="10">
        <v>22.5</v>
      </c>
      <c r="G255" s="1">
        <v>23</v>
      </c>
      <c r="H255" s="10">
        <v>33.200000000000003</v>
      </c>
      <c r="I255" s="1">
        <v>35</v>
      </c>
      <c r="J255" s="10">
        <v>33.4</v>
      </c>
      <c r="K255" s="1">
        <v>25</v>
      </c>
      <c r="L255" s="10">
        <v>82.6</v>
      </c>
      <c r="M255" s="1">
        <v>31</v>
      </c>
      <c r="N255" s="14">
        <f t="shared" si="15"/>
        <v>101.76991150442478</v>
      </c>
      <c r="O255" s="14">
        <f t="shared" si="16"/>
        <v>120.32085561497328</v>
      </c>
      <c r="P255" s="14">
        <f t="shared" si="17"/>
        <v>99.699699699699721</v>
      </c>
      <c r="Q255" s="14">
        <f t="shared" si="18"/>
        <v>105.03144654088049</v>
      </c>
      <c r="R255" s="14">
        <f t="shared" si="19"/>
        <v>102.22772277227723</v>
      </c>
      <c r="S255" s="2">
        <v>207888.8411638978</v>
      </c>
      <c r="T255" s="2">
        <v>53781.029468805602</v>
      </c>
      <c r="U255" s="2">
        <v>127740.36790560561</v>
      </c>
      <c r="V255" s="2">
        <v>21459.872435015019</v>
      </c>
      <c r="W255" s="2">
        <v>4907.57135447156</v>
      </c>
      <c r="X255" s="2">
        <v>5640.7156401819784</v>
      </c>
      <c r="Y255" s="2">
        <v>22264.640102073896</v>
      </c>
      <c r="Z255" s="21">
        <v>9611.2011972526052</v>
      </c>
      <c r="AA255" s="21">
        <v>3095.2189880182286</v>
      </c>
      <c r="AB255" s="21">
        <v>7630.2134848054848</v>
      </c>
      <c r="AC255" s="22">
        <v>28.8</v>
      </c>
      <c r="AD255" s="22">
        <v>1320.5</v>
      </c>
      <c r="AE255" s="25"/>
    </row>
    <row r="256" spans="1:31">
      <c r="A256" s="1">
        <v>2023</v>
      </c>
      <c r="B256" s="9" t="s">
        <v>59</v>
      </c>
      <c r="C256" s="1" t="s">
        <v>156</v>
      </c>
      <c r="D256" s="10">
        <v>64.5</v>
      </c>
      <c r="E256" s="1">
        <v>13</v>
      </c>
      <c r="F256" s="10">
        <v>31.2</v>
      </c>
      <c r="G256" s="1">
        <v>6</v>
      </c>
      <c r="H256" s="10">
        <v>34</v>
      </c>
      <c r="I256" s="1">
        <v>19</v>
      </c>
      <c r="J256" s="10">
        <v>36.200000000000003</v>
      </c>
      <c r="K256" s="1">
        <v>11</v>
      </c>
      <c r="L256" s="10">
        <v>84.6</v>
      </c>
      <c r="M256" s="1">
        <v>15</v>
      </c>
      <c r="N256" s="14">
        <f t="shared" si="15"/>
        <v>100.78125</v>
      </c>
      <c r="O256" s="14">
        <f t="shared" si="16"/>
        <v>106.12244897959184</v>
      </c>
      <c r="P256" s="14">
        <f t="shared" si="17"/>
        <v>98.265895953757223</v>
      </c>
      <c r="Q256" s="14">
        <f t="shared" si="18"/>
        <v>99.724517906336104</v>
      </c>
      <c r="R256" s="14">
        <f t="shared" si="19"/>
        <v>102.42130750605327</v>
      </c>
      <c r="S256" s="2">
        <v>199763.98524279031</v>
      </c>
      <c r="T256" s="2">
        <v>53374.16100037071</v>
      </c>
      <c r="U256" s="2">
        <v>121709.96816068584</v>
      </c>
      <c r="V256" s="2">
        <v>20303.014865300764</v>
      </c>
      <c r="W256" s="2">
        <v>4376.8412164330248</v>
      </c>
      <c r="X256" s="2">
        <v>5724.1400897727444</v>
      </c>
      <c r="Y256" s="2">
        <v>20642.432314496684</v>
      </c>
      <c r="Z256" s="21">
        <v>8646.0903283268835</v>
      </c>
      <c r="AA256" s="21">
        <v>3468.5916556603847</v>
      </c>
      <c r="AB256" s="21">
        <v>6718.891895257646</v>
      </c>
      <c r="AC256" s="22">
        <v>23</v>
      </c>
      <c r="AD256" s="22">
        <v>1129.4000000000001</v>
      </c>
      <c r="AE256" s="25"/>
    </row>
    <row r="257" spans="1:31">
      <c r="A257" s="1">
        <v>2023</v>
      </c>
      <c r="B257" s="9" t="s">
        <v>61</v>
      </c>
      <c r="C257" s="1" t="s">
        <v>157</v>
      </c>
      <c r="D257" s="10">
        <v>65.5</v>
      </c>
      <c r="E257" s="1">
        <v>10</v>
      </c>
      <c r="F257" s="10">
        <v>24.6</v>
      </c>
      <c r="G257" s="1">
        <v>18</v>
      </c>
      <c r="H257" s="10">
        <v>34.799999999999997</v>
      </c>
      <c r="I257" s="1">
        <v>4</v>
      </c>
      <c r="J257" s="10">
        <v>36.200000000000003</v>
      </c>
      <c r="K257" s="1">
        <v>10</v>
      </c>
      <c r="L257" s="10">
        <v>82.7</v>
      </c>
      <c r="M257" s="1">
        <v>30</v>
      </c>
      <c r="N257" s="14">
        <f t="shared" si="15"/>
        <v>101.08024691358024</v>
      </c>
      <c r="O257" s="14">
        <f t="shared" si="16"/>
        <v>96.470588235294116</v>
      </c>
      <c r="P257" s="14">
        <f t="shared" si="17"/>
        <v>99.713467048710598</v>
      </c>
      <c r="Q257" s="14">
        <f t="shared" si="18"/>
        <v>100.83565459610028</v>
      </c>
      <c r="R257" s="14">
        <f t="shared" si="19"/>
        <v>102.86069651741295</v>
      </c>
      <c r="S257" s="2">
        <v>207529.7239277311</v>
      </c>
      <c r="T257" s="2">
        <v>50964.696420513494</v>
      </c>
      <c r="U257" s="2">
        <v>128018.79256910789</v>
      </c>
      <c r="V257" s="2">
        <v>23441.597616096129</v>
      </c>
      <c r="W257" s="2">
        <v>5104.6373220135665</v>
      </c>
      <c r="X257" s="2">
        <v>6065.5218476788432</v>
      </c>
      <c r="Y257" s="2">
        <v>22325.534358032535</v>
      </c>
      <c r="Z257" s="21">
        <v>9722.6673046925935</v>
      </c>
      <c r="AA257" s="21">
        <v>3616.4169825187469</v>
      </c>
      <c r="AB257" s="21">
        <v>7171.7659343853666</v>
      </c>
      <c r="AC257" s="22">
        <v>23.2</v>
      </c>
      <c r="AD257" s="22">
        <v>983.9</v>
      </c>
      <c r="AE257" s="25"/>
    </row>
    <row r="258" spans="1:31">
      <c r="A258" s="1">
        <v>2023</v>
      </c>
      <c r="B258" s="9" t="s">
        <v>63</v>
      </c>
      <c r="C258" s="1" t="s">
        <v>158</v>
      </c>
      <c r="D258" s="10">
        <v>59.7</v>
      </c>
      <c r="E258" s="1">
        <v>26</v>
      </c>
      <c r="F258" s="10">
        <v>17.7</v>
      </c>
      <c r="G258" s="1">
        <v>36</v>
      </c>
      <c r="H258" s="10">
        <v>34.299999999999997</v>
      </c>
      <c r="I258" s="1">
        <v>11</v>
      </c>
      <c r="J258" s="10">
        <v>34.6</v>
      </c>
      <c r="K258" s="1">
        <v>17</v>
      </c>
      <c r="L258" s="10">
        <v>83.8</v>
      </c>
      <c r="M258" s="1">
        <v>22</v>
      </c>
      <c r="N258" s="14">
        <f t="shared" si="15"/>
        <v>100.50505050505052</v>
      </c>
      <c r="O258" s="14">
        <f t="shared" si="16"/>
        <v>105.98802395209582</v>
      </c>
      <c r="P258" s="14">
        <f t="shared" si="17"/>
        <v>98.8472622478386</v>
      </c>
      <c r="Q258" s="14">
        <f t="shared" si="18"/>
        <v>98.016997167138825</v>
      </c>
      <c r="R258" s="14">
        <f t="shared" si="19"/>
        <v>102.0706455542022</v>
      </c>
      <c r="S258" s="2">
        <v>202970.41237336665</v>
      </c>
      <c r="T258" s="2">
        <v>49824.500306560389</v>
      </c>
      <c r="U258" s="2">
        <v>128674.83024556925</v>
      </c>
      <c r="V258" s="2">
        <v>20363.865900355991</v>
      </c>
      <c r="W258" s="2">
        <v>4107.2159208809944</v>
      </c>
      <c r="X258" s="2">
        <v>6097.0113566974997</v>
      </c>
      <c r="Y258" s="2">
        <v>22359.441122507043</v>
      </c>
      <c r="Z258" s="21">
        <v>9256.7874920358954</v>
      </c>
      <c r="AA258" s="21">
        <v>3614.3125925005907</v>
      </c>
      <c r="AB258" s="21">
        <v>7490.8004884292732</v>
      </c>
      <c r="AC258" s="22">
        <v>25.4</v>
      </c>
      <c r="AD258" s="22">
        <v>1013.4</v>
      </c>
      <c r="AE258" s="25"/>
    </row>
    <row r="259" spans="1:31">
      <c r="A259" s="1">
        <v>2023</v>
      </c>
      <c r="B259" s="9" t="s">
        <v>65</v>
      </c>
      <c r="C259" s="1" t="s">
        <v>159</v>
      </c>
      <c r="D259" s="10">
        <v>57</v>
      </c>
      <c r="E259" s="1">
        <v>35</v>
      </c>
      <c r="F259" s="10">
        <v>16.8</v>
      </c>
      <c r="G259" s="1">
        <v>39</v>
      </c>
      <c r="H259" s="10">
        <v>33.200000000000003</v>
      </c>
      <c r="I259" s="1">
        <v>38</v>
      </c>
      <c r="J259" s="10">
        <v>31.1</v>
      </c>
      <c r="K259" s="1">
        <v>42</v>
      </c>
      <c r="L259" s="10">
        <v>82.6</v>
      </c>
      <c r="M259" s="1">
        <v>32</v>
      </c>
      <c r="N259" s="14">
        <f t="shared" si="15"/>
        <v>102.15053763440861</v>
      </c>
      <c r="O259" s="14">
        <f t="shared" si="16"/>
        <v>115.86206896551725</v>
      </c>
      <c r="P259" s="14">
        <f t="shared" si="17"/>
        <v>99.40119760479044</v>
      </c>
      <c r="Q259" s="14">
        <f t="shared" si="18"/>
        <v>86.871508379888269</v>
      </c>
      <c r="R259" s="14">
        <f t="shared" si="19"/>
        <v>102.48138957816377</v>
      </c>
      <c r="S259" s="2">
        <v>203573.01586068043</v>
      </c>
      <c r="T259" s="2">
        <v>46940.104795947984</v>
      </c>
      <c r="U259" s="2">
        <v>127669.68366862403</v>
      </c>
      <c r="V259" s="2">
        <v>24271.407887079175</v>
      </c>
      <c r="W259" s="2">
        <v>4691.8195090292602</v>
      </c>
      <c r="X259" s="2">
        <v>5360.7283790135152</v>
      </c>
      <c r="Y259" s="2">
        <v>20595.889230557823</v>
      </c>
      <c r="Z259" s="21">
        <v>8413.9763229611908</v>
      </c>
      <c r="AA259" s="21">
        <v>3291.836969115609</v>
      </c>
      <c r="AB259" s="21">
        <v>7068.0084220215676</v>
      </c>
      <c r="AC259" s="22">
        <v>21.9</v>
      </c>
      <c r="AD259" s="22">
        <v>872.4</v>
      </c>
      <c r="AE259" s="25"/>
    </row>
    <row r="260" spans="1:31">
      <c r="A260" s="1">
        <v>2023</v>
      </c>
      <c r="B260" s="9" t="s">
        <v>67</v>
      </c>
      <c r="C260" s="1" t="s">
        <v>160</v>
      </c>
      <c r="D260" s="10">
        <v>64.599999999999994</v>
      </c>
      <c r="E260" s="1">
        <v>12</v>
      </c>
      <c r="F260" s="10">
        <v>18.100000000000001</v>
      </c>
      <c r="G260" s="1">
        <v>33</v>
      </c>
      <c r="H260" s="10">
        <v>33.4</v>
      </c>
      <c r="I260" s="1">
        <v>33</v>
      </c>
      <c r="J260" s="10">
        <v>34.799999999999997</v>
      </c>
      <c r="K260" s="1">
        <v>15</v>
      </c>
      <c r="L260" s="10">
        <v>82.1</v>
      </c>
      <c r="M260" s="1">
        <v>36</v>
      </c>
      <c r="N260" s="14">
        <f t="shared" si="15"/>
        <v>100.31055900621115</v>
      </c>
      <c r="O260" s="14">
        <f t="shared" si="16"/>
        <v>117.53246753246754</v>
      </c>
      <c r="P260" s="14">
        <f t="shared" si="17"/>
        <v>98.235294117647058</v>
      </c>
      <c r="Q260" s="14">
        <f t="shared" si="18"/>
        <v>99.145299145299134</v>
      </c>
      <c r="R260" s="14">
        <f t="shared" si="19"/>
        <v>102.36907730673315</v>
      </c>
      <c r="S260" s="2">
        <v>205751.74051951533</v>
      </c>
      <c r="T260" s="2">
        <v>53600.510666159302</v>
      </c>
      <c r="U260" s="2">
        <v>126153.66030794881</v>
      </c>
      <c r="V260" s="2">
        <v>21520.1331761724</v>
      </c>
      <c r="W260" s="2">
        <v>4477.4363692348197</v>
      </c>
      <c r="X260" s="2">
        <v>6103.0738619824388</v>
      </c>
      <c r="Y260" s="2">
        <v>22456.119370872533</v>
      </c>
      <c r="Z260" s="21">
        <v>9236.0677508296139</v>
      </c>
      <c r="AA260" s="21">
        <v>3589.0542617978276</v>
      </c>
      <c r="AB260" s="21">
        <v>7794.6548576143923</v>
      </c>
      <c r="AC260" s="22">
        <v>26.2</v>
      </c>
      <c r="AD260" s="22">
        <v>1105.2</v>
      </c>
      <c r="AE260" s="25"/>
    </row>
    <row r="261" spans="1:31">
      <c r="A261" s="1">
        <v>2023</v>
      </c>
      <c r="B261" s="9" t="s">
        <v>69</v>
      </c>
      <c r="C261" s="1" t="s">
        <v>161</v>
      </c>
      <c r="D261" s="10">
        <v>62.6</v>
      </c>
      <c r="E261" s="1">
        <v>20</v>
      </c>
      <c r="F261" s="10">
        <v>19.5</v>
      </c>
      <c r="G261" s="1">
        <v>31</v>
      </c>
      <c r="H261" s="10">
        <v>33.799999999999997</v>
      </c>
      <c r="I261" s="1">
        <v>22</v>
      </c>
      <c r="J261" s="10">
        <v>32.299999999999997</v>
      </c>
      <c r="K261" s="1">
        <v>34</v>
      </c>
      <c r="L261" s="10">
        <v>83.6</v>
      </c>
      <c r="M261" s="1">
        <v>23</v>
      </c>
      <c r="N261" s="14">
        <f t="shared" si="15"/>
        <v>101.13085621970922</v>
      </c>
      <c r="O261" s="14">
        <f t="shared" si="16"/>
        <v>96.534653465346537</v>
      </c>
      <c r="P261" s="14">
        <f t="shared" si="17"/>
        <v>97.971014492753611</v>
      </c>
      <c r="Q261" s="14">
        <f t="shared" si="18"/>
        <v>96.417910447761187</v>
      </c>
      <c r="R261" s="14">
        <f t="shared" si="19"/>
        <v>102.07570207570207</v>
      </c>
      <c r="S261" s="2">
        <v>200824.09716970369</v>
      </c>
      <c r="T261" s="2">
        <v>53634.272667955556</v>
      </c>
      <c r="U261" s="2">
        <v>121883.41922546692</v>
      </c>
      <c r="V261" s="2">
        <v>20399.893400254285</v>
      </c>
      <c r="W261" s="2">
        <v>4906.5118760269152</v>
      </c>
      <c r="X261" s="2">
        <v>6048.639233486032</v>
      </c>
      <c r="Y261" s="2">
        <v>20304.76935093163</v>
      </c>
      <c r="Z261" s="21">
        <v>8619.3814519822008</v>
      </c>
      <c r="AA261" s="21">
        <v>3083.6167217729731</v>
      </c>
      <c r="AB261" s="21">
        <v>6784.9607570513117</v>
      </c>
      <c r="AC261" s="22">
        <v>23</v>
      </c>
      <c r="AD261" s="22">
        <v>976.1</v>
      </c>
      <c r="AE261" s="25"/>
    </row>
    <row r="262" spans="1:31">
      <c r="A262" s="1">
        <v>2023</v>
      </c>
      <c r="B262" s="9" t="s">
        <v>71</v>
      </c>
      <c r="C262" s="1" t="s">
        <v>162</v>
      </c>
      <c r="D262" s="10">
        <v>62.8</v>
      </c>
      <c r="E262" s="1">
        <v>19</v>
      </c>
      <c r="F262" s="10">
        <v>17.8</v>
      </c>
      <c r="G262" s="1">
        <v>35</v>
      </c>
      <c r="H262" s="10">
        <v>34.799999999999997</v>
      </c>
      <c r="I262" s="1">
        <v>5</v>
      </c>
      <c r="J262" s="10">
        <v>30.5</v>
      </c>
      <c r="K262" s="1">
        <v>45</v>
      </c>
      <c r="L262" s="10">
        <v>80.3</v>
      </c>
      <c r="M262" s="1">
        <v>43</v>
      </c>
      <c r="N262" s="14">
        <f t="shared" si="15"/>
        <v>103.11986863711002</v>
      </c>
      <c r="O262" s="14">
        <f t="shared" si="16"/>
        <v>104.09356725146199</v>
      </c>
      <c r="P262" s="14">
        <f t="shared" si="17"/>
        <v>98.028169014084497</v>
      </c>
      <c r="Q262" s="14">
        <f t="shared" si="18"/>
        <v>94.720496894409933</v>
      </c>
      <c r="R262" s="14">
        <f t="shared" si="19"/>
        <v>102.94871794871794</v>
      </c>
      <c r="S262" s="2">
        <v>208080.55399449298</v>
      </c>
      <c r="T262" s="2">
        <v>54182.083624490035</v>
      </c>
      <c r="U262" s="2">
        <v>124828.90313413301</v>
      </c>
      <c r="V262" s="2">
        <v>22687.723324481136</v>
      </c>
      <c r="W262" s="2">
        <v>6381.8439113887898</v>
      </c>
      <c r="X262" s="2">
        <v>6347.8397420664851</v>
      </c>
      <c r="Y262" s="2">
        <v>18334.866099599225</v>
      </c>
      <c r="Z262" s="21">
        <v>7394.7099133337906</v>
      </c>
      <c r="AA262" s="21">
        <v>3143.4912740347431</v>
      </c>
      <c r="AB262" s="21">
        <v>5932.7562851628818</v>
      </c>
      <c r="AC262" s="22">
        <v>24.3</v>
      </c>
      <c r="AD262" s="22">
        <v>1253.5</v>
      </c>
      <c r="AE262" s="25"/>
    </row>
    <row r="263" spans="1:31">
      <c r="A263" s="1">
        <v>2023</v>
      </c>
      <c r="B263" s="9" t="s">
        <v>73</v>
      </c>
      <c r="C263" s="1" t="s">
        <v>163</v>
      </c>
      <c r="D263" s="10">
        <v>50.2</v>
      </c>
      <c r="E263" s="1">
        <v>44</v>
      </c>
      <c r="F263" s="10">
        <v>13.8</v>
      </c>
      <c r="G263" s="1">
        <v>43</v>
      </c>
      <c r="H263" s="10">
        <v>34.1</v>
      </c>
      <c r="I263" s="1">
        <v>15</v>
      </c>
      <c r="J263" s="10">
        <v>31.6</v>
      </c>
      <c r="K263" s="1">
        <v>39</v>
      </c>
      <c r="L263" s="10">
        <v>80.7</v>
      </c>
      <c r="M263" s="1">
        <v>41</v>
      </c>
      <c r="N263" s="14">
        <f t="shared" si="15"/>
        <v>100.80321285140563</v>
      </c>
      <c r="O263" s="14">
        <f t="shared" si="16"/>
        <v>107.8125</v>
      </c>
      <c r="P263" s="14">
        <f t="shared" si="17"/>
        <v>97.428571428571431</v>
      </c>
      <c r="Q263" s="14">
        <f t="shared" si="18"/>
        <v>93.491124260355036</v>
      </c>
      <c r="R263" s="14">
        <f t="shared" si="19"/>
        <v>102.80254777070064</v>
      </c>
      <c r="S263" s="2">
        <v>214924.81569629005</v>
      </c>
      <c r="T263" s="2">
        <v>52528.892079866622</v>
      </c>
      <c r="U263" s="2">
        <v>128612.45515075132</v>
      </c>
      <c r="V263" s="2">
        <v>25717.027016385422</v>
      </c>
      <c r="W263" s="2">
        <v>8066.4414492866736</v>
      </c>
      <c r="X263" s="2">
        <v>6019.9510312680522</v>
      </c>
      <c r="Y263" s="2">
        <v>19888.998117925781</v>
      </c>
      <c r="Z263" s="21">
        <v>8442.9628354979614</v>
      </c>
      <c r="AA263" s="21">
        <v>3219.8986115696434</v>
      </c>
      <c r="AB263" s="21">
        <v>6497.8189378587113</v>
      </c>
      <c r="AC263" s="22">
        <v>24</v>
      </c>
      <c r="AD263" s="22">
        <v>1172.5999999999999</v>
      </c>
      <c r="AE263" s="25"/>
    </row>
    <row r="264" spans="1:31">
      <c r="A264" s="1">
        <v>2023</v>
      </c>
      <c r="B264" s="9" t="s">
        <v>75</v>
      </c>
      <c r="C264" s="1" t="s">
        <v>164</v>
      </c>
      <c r="D264" s="10">
        <v>56.8</v>
      </c>
      <c r="E264" s="1">
        <v>36</v>
      </c>
      <c r="F264" s="10">
        <v>15.5</v>
      </c>
      <c r="G264" s="1">
        <v>41</v>
      </c>
      <c r="H264" s="10">
        <v>33.700000000000003</v>
      </c>
      <c r="I264" s="1">
        <v>23</v>
      </c>
      <c r="J264" s="10">
        <v>32.799999999999997</v>
      </c>
      <c r="K264" s="1">
        <v>29</v>
      </c>
      <c r="L264" s="10">
        <v>82.4</v>
      </c>
      <c r="M264" s="1">
        <v>34</v>
      </c>
      <c r="N264" s="14">
        <f t="shared" si="15"/>
        <v>100.35335689045937</v>
      </c>
      <c r="O264" s="14">
        <f t="shared" si="16"/>
        <v>101.97368421052633</v>
      </c>
      <c r="P264" s="14">
        <f t="shared" si="17"/>
        <v>97.681159420289859</v>
      </c>
      <c r="Q264" s="14">
        <f t="shared" si="18"/>
        <v>97.619047619047606</v>
      </c>
      <c r="R264" s="14">
        <f t="shared" si="19"/>
        <v>102.36024844720497</v>
      </c>
      <c r="S264" s="2">
        <v>215713.65996515274</v>
      </c>
      <c r="T264" s="2">
        <v>53847.861339209856</v>
      </c>
      <c r="U264" s="2">
        <v>131574.38514538953</v>
      </c>
      <c r="V264" s="2">
        <v>24531.392560736906</v>
      </c>
      <c r="W264" s="2">
        <v>5760.0209198164212</v>
      </c>
      <c r="X264" s="2">
        <v>6002.0302606438854</v>
      </c>
      <c r="Y264" s="2">
        <v>21103.862949822269</v>
      </c>
      <c r="Z264" s="21">
        <v>8656.1792916205268</v>
      </c>
      <c r="AA264" s="21">
        <v>3441.6620358969494</v>
      </c>
      <c r="AB264" s="21">
        <v>7232.6590966688509</v>
      </c>
      <c r="AC264" s="22">
        <v>25.2</v>
      </c>
      <c r="AD264" s="22">
        <v>1185.3</v>
      </c>
      <c r="AE264" s="25"/>
    </row>
    <row r="265" spans="1:31">
      <c r="A265" s="1">
        <v>2023</v>
      </c>
      <c r="B265" s="9" t="s">
        <v>77</v>
      </c>
      <c r="C265" s="1" t="s">
        <v>165</v>
      </c>
      <c r="D265" s="10">
        <v>56.3</v>
      </c>
      <c r="E265" s="1">
        <v>37</v>
      </c>
      <c r="F265" s="10">
        <v>20.8</v>
      </c>
      <c r="G265" s="1">
        <v>28</v>
      </c>
      <c r="H265" s="10">
        <v>35.5</v>
      </c>
      <c r="I265" s="1">
        <v>2</v>
      </c>
      <c r="J265" s="10">
        <v>37.1</v>
      </c>
      <c r="K265" s="1">
        <v>8</v>
      </c>
      <c r="L265" s="10">
        <v>79</v>
      </c>
      <c r="M265" s="1">
        <v>46</v>
      </c>
      <c r="N265" s="14">
        <f t="shared" si="15"/>
        <v>99.119718309859152</v>
      </c>
      <c r="O265" s="14">
        <f t="shared" si="16"/>
        <v>92.035398230088489</v>
      </c>
      <c r="P265" s="14">
        <f t="shared" si="17"/>
        <v>96.730245231607626</v>
      </c>
      <c r="Q265" s="14">
        <f t="shared" si="18"/>
        <v>103.34261838440113</v>
      </c>
      <c r="R265" s="14">
        <f t="shared" si="19"/>
        <v>103.13315926892952</v>
      </c>
      <c r="S265" s="2">
        <v>210978.28339390183</v>
      </c>
      <c r="T265" s="2">
        <v>55510.838518534336</v>
      </c>
      <c r="U265" s="2">
        <v>127735.84441194056</v>
      </c>
      <c r="V265" s="2">
        <v>21564.466123590704</v>
      </c>
      <c r="W265" s="2">
        <v>6167.1343398362387</v>
      </c>
      <c r="X265" s="2">
        <v>5699.4886509224471</v>
      </c>
      <c r="Y265" s="2">
        <v>21651.483188204642</v>
      </c>
      <c r="Z265" s="21">
        <v>8888.9106886317059</v>
      </c>
      <c r="AA265" s="21">
        <v>3795.3648716689436</v>
      </c>
      <c r="AB265" s="21">
        <v>6980.485359583191</v>
      </c>
      <c r="AC265" s="22">
        <v>24.5</v>
      </c>
      <c r="AD265" s="22">
        <v>1226.5</v>
      </c>
      <c r="AE265" s="25"/>
    </row>
    <row r="266" spans="1:31">
      <c r="A266" s="1">
        <v>2023</v>
      </c>
      <c r="B266" s="9" t="s">
        <v>79</v>
      </c>
      <c r="C266" s="1" t="s">
        <v>166</v>
      </c>
      <c r="D266" s="10">
        <v>57.5</v>
      </c>
      <c r="E266" s="1">
        <v>32</v>
      </c>
      <c r="F266" s="10">
        <v>17.899999999999999</v>
      </c>
      <c r="G266" s="1">
        <v>34</v>
      </c>
      <c r="H266" s="10">
        <v>35.200000000000003</v>
      </c>
      <c r="I266" s="1">
        <v>3</v>
      </c>
      <c r="J266" s="10">
        <v>32.700000000000003</v>
      </c>
      <c r="K266" s="1">
        <v>30</v>
      </c>
      <c r="L266" s="10">
        <v>79.8</v>
      </c>
      <c r="M266" s="1">
        <v>44</v>
      </c>
      <c r="N266" s="14">
        <f t="shared" si="15"/>
        <v>102.13143872113677</v>
      </c>
      <c r="O266" s="14">
        <f t="shared" si="16"/>
        <v>116.99346405228756</v>
      </c>
      <c r="P266" s="14">
        <f t="shared" si="17"/>
        <v>101.44092219020173</v>
      </c>
      <c r="Q266" s="14">
        <f t="shared" si="18"/>
        <v>94.50867052023122</v>
      </c>
      <c r="R266" s="14">
        <f t="shared" si="19"/>
        <v>103.10077519379843</v>
      </c>
      <c r="S266" s="2">
        <v>216890.84844429954</v>
      </c>
      <c r="T266" s="2">
        <v>54343.967871429304</v>
      </c>
      <c r="U266" s="2">
        <v>133210.1074184489</v>
      </c>
      <c r="V266" s="2">
        <v>22153.504083946118</v>
      </c>
      <c r="W266" s="2">
        <v>7183.2690704752113</v>
      </c>
      <c r="X266" s="2">
        <v>6388.7804224455722</v>
      </c>
      <c r="Y266" s="2">
        <v>22533.700160255001</v>
      </c>
      <c r="Z266" s="21">
        <v>10027.912682710978</v>
      </c>
      <c r="AA266" s="21">
        <v>3096.2128958554063</v>
      </c>
      <c r="AB266" s="21">
        <v>7498.2691451832743</v>
      </c>
      <c r="AC266" s="22">
        <v>26.2</v>
      </c>
      <c r="AD266" s="22">
        <v>1400.4</v>
      </c>
      <c r="AE266" s="25"/>
    </row>
    <row r="267" spans="1:31">
      <c r="A267" s="1">
        <v>2023</v>
      </c>
      <c r="B267" s="9" t="s">
        <v>81</v>
      </c>
      <c r="C267" s="1" t="s">
        <v>167</v>
      </c>
      <c r="D267" s="10">
        <v>58</v>
      </c>
      <c r="E267" s="1">
        <v>30</v>
      </c>
      <c r="F267" s="10">
        <v>23.6</v>
      </c>
      <c r="G267" s="1">
        <v>22</v>
      </c>
      <c r="H267" s="10">
        <v>33.700000000000003</v>
      </c>
      <c r="I267" s="1">
        <v>24</v>
      </c>
      <c r="J267" s="10">
        <v>31</v>
      </c>
      <c r="K267" s="1">
        <v>44</v>
      </c>
      <c r="L267" s="10">
        <v>84.6</v>
      </c>
      <c r="M267" s="1">
        <v>16</v>
      </c>
      <c r="N267" s="14">
        <f t="shared" si="15"/>
        <v>101.57618213660244</v>
      </c>
      <c r="O267" s="14">
        <f t="shared" si="16"/>
        <v>107.76255707762559</v>
      </c>
      <c r="P267" s="14">
        <f t="shared" si="17"/>
        <v>100</v>
      </c>
      <c r="Q267" s="14">
        <f t="shared" si="18"/>
        <v>92.537313432835816</v>
      </c>
      <c r="R267" s="14">
        <f t="shared" si="19"/>
        <v>102.17391304347825</v>
      </c>
      <c r="S267" s="2">
        <v>210732.00379877025</v>
      </c>
      <c r="T267" s="2">
        <v>61875.908256162438</v>
      </c>
      <c r="U267" s="2">
        <v>124634.74020556675</v>
      </c>
      <c r="V267" s="2">
        <v>20805.519053853615</v>
      </c>
      <c r="W267" s="2">
        <v>3415.8362831874651</v>
      </c>
      <c r="X267" s="2">
        <v>6641.9905785533774</v>
      </c>
      <c r="Y267" s="2">
        <v>20331.862774846562</v>
      </c>
      <c r="Z267" s="21">
        <v>9019.586271482076</v>
      </c>
      <c r="AA267" s="21">
        <v>3495.7300003044775</v>
      </c>
      <c r="AB267" s="21">
        <v>6210.2489793432824</v>
      </c>
      <c r="AC267" s="22">
        <v>26.2</v>
      </c>
      <c r="AD267" s="22">
        <v>1502.4</v>
      </c>
      <c r="AE267" s="25"/>
    </row>
    <row r="268" spans="1:31">
      <c r="A268" s="1">
        <v>2023</v>
      </c>
      <c r="B268" s="9" t="s">
        <v>83</v>
      </c>
      <c r="C268" s="1" t="s">
        <v>168</v>
      </c>
      <c r="D268" s="10">
        <v>71.5</v>
      </c>
      <c r="E268" s="1">
        <v>3</v>
      </c>
      <c r="F268" s="10">
        <v>25.6</v>
      </c>
      <c r="G268" s="1">
        <v>15</v>
      </c>
      <c r="H268" s="10">
        <v>33.5</v>
      </c>
      <c r="I268" s="1">
        <v>29</v>
      </c>
      <c r="J268" s="10">
        <v>35.799999999999997</v>
      </c>
      <c r="K268" s="1">
        <v>13</v>
      </c>
      <c r="L268" s="10">
        <v>86.3</v>
      </c>
      <c r="M268" s="1">
        <v>5</v>
      </c>
      <c r="N268" s="14">
        <f t="shared" si="15"/>
        <v>100.98870056497175</v>
      </c>
      <c r="O268" s="14">
        <f t="shared" si="16"/>
        <v>130.61224489795919</v>
      </c>
      <c r="P268" s="14">
        <f t="shared" si="17"/>
        <v>97.101449275362313</v>
      </c>
      <c r="Q268" s="14">
        <f t="shared" si="18"/>
        <v>94.459102902374667</v>
      </c>
      <c r="R268" s="14">
        <f t="shared" si="19"/>
        <v>102.37247924080664</v>
      </c>
      <c r="S268" s="2">
        <v>220828.69636819066</v>
      </c>
      <c r="T268" s="2">
        <v>62316.990204735164</v>
      </c>
      <c r="U268" s="2">
        <v>135116.9700500234</v>
      </c>
      <c r="V268" s="2">
        <v>20091.746600578193</v>
      </c>
      <c r="W268" s="2">
        <v>3302.989512853937</v>
      </c>
      <c r="X268" s="2">
        <v>6787.2514929658937</v>
      </c>
      <c r="Y268" s="2">
        <v>24032.618232371846</v>
      </c>
      <c r="Z268" s="21">
        <v>10631.568843512905</v>
      </c>
      <c r="AA268" s="21">
        <v>4472.8532742228344</v>
      </c>
      <c r="AB268" s="21">
        <v>6991.6990741195141</v>
      </c>
      <c r="AC268" s="22">
        <v>26.1</v>
      </c>
      <c r="AD268" s="22">
        <v>1490.2</v>
      </c>
      <c r="AE268" s="25"/>
    </row>
    <row r="269" spans="1:31">
      <c r="A269" s="1">
        <v>2023</v>
      </c>
      <c r="B269" s="9" t="s">
        <v>85</v>
      </c>
      <c r="C269" s="1" t="s">
        <v>169</v>
      </c>
      <c r="D269" s="10">
        <v>65</v>
      </c>
      <c r="E269" s="1">
        <v>11</v>
      </c>
      <c r="F269" s="10">
        <v>35.6</v>
      </c>
      <c r="G269" s="1">
        <v>2</v>
      </c>
      <c r="H269" s="10">
        <v>32.4</v>
      </c>
      <c r="I269" s="1">
        <v>44</v>
      </c>
      <c r="J269" s="10">
        <v>38.299999999999997</v>
      </c>
      <c r="K269" s="1">
        <v>4</v>
      </c>
      <c r="L269" s="10">
        <v>81.8</v>
      </c>
      <c r="M269" s="1">
        <v>37</v>
      </c>
      <c r="N269" s="14">
        <f t="shared" si="15"/>
        <v>102.04081632653062</v>
      </c>
      <c r="O269" s="14">
        <f t="shared" si="16"/>
        <v>107.55287009063443</v>
      </c>
      <c r="P269" s="14">
        <f t="shared" si="17"/>
        <v>100.30959752321982</v>
      </c>
      <c r="Q269" s="14">
        <f t="shared" si="18"/>
        <v>103.23450134770889</v>
      </c>
      <c r="R269" s="14">
        <f t="shared" si="19"/>
        <v>102.25</v>
      </c>
      <c r="S269" s="2">
        <v>212126.78133491473</v>
      </c>
      <c r="T269" s="2">
        <v>55296.420018863639</v>
      </c>
      <c r="U269" s="2">
        <v>128280.61596761765</v>
      </c>
      <c r="V269" s="2">
        <v>24548.149682236643</v>
      </c>
      <c r="W269" s="2">
        <v>4001.5956661968003</v>
      </c>
      <c r="X269" s="2">
        <v>5491.99356727348</v>
      </c>
      <c r="Y269" s="2">
        <v>21553.706931032611</v>
      </c>
      <c r="Z269" s="21">
        <v>9045.6644732149998</v>
      </c>
      <c r="AA269" s="21">
        <v>3566.6573986067378</v>
      </c>
      <c r="AB269" s="21">
        <v>7369.4523219711064</v>
      </c>
      <c r="AC269" s="22">
        <v>25.7</v>
      </c>
      <c r="AD269" s="22">
        <v>1444</v>
      </c>
      <c r="AE269" s="25"/>
    </row>
    <row r="270" spans="1:31">
      <c r="A270" s="1">
        <v>2023</v>
      </c>
      <c r="B270" s="9" t="s">
        <v>87</v>
      </c>
      <c r="C270" s="1" t="s">
        <v>170</v>
      </c>
      <c r="D270" s="10">
        <v>59.3</v>
      </c>
      <c r="E270" s="1">
        <v>27</v>
      </c>
      <c r="F270" s="10">
        <v>21.4</v>
      </c>
      <c r="G270" s="1">
        <v>27</v>
      </c>
      <c r="H270" s="10">
        <v>33.4</v>
      </c>
      <c r="I270" s="1">
        <v>32</v>
      </c>
      <c r="J270" s="10">
        <v>36.700000000000003</v>
      </c>
      <c r="K270" s="1">
        <v>9</v>
      </c>
      <c r="L270" s="10">
        <v>81.8</v>
      </c>
      <c r="M270" s="1">
        <v>38</v>
      </c>
      <c r="N270" s="14">
        <f t="shared" si="15"/>
        <v>103.49040139616056</v>
      </c>
      <c r="O270" s="14">
        <f t="shared" si="16"/>
        <v>115.05376344086019</v>
      </c>
      <c r="P270" s="14">
        <f t="shared" si="17"/>
        <v>100.30030030030031</v>
      </c>
      <c r="Q270" s="14">
        <f t="shared" si="18"/>
        <v>98.128342245989316</v>
      </c>
      <c r="R270" s="14">
        <f t="shared" si="19"/>
        <v>102.50626566416041</v>
      </c>
      <c r="S270" s="2">
        <v>206743.22704760678</v>
      </c>
      <c r="T270" s="2">
        <v>52204.143136114348</v>
      </c>
      <c r="U270" s="2">
        <v>128283.94488053081</v>
      </c>
      <c r="V270" s="2">
        <v>22069.83190575421</v>
      </c>
      <c r="W270" s="2">
        <v>4185.3071252074333</v>
      </c>
      <c r="X270" s="2">
        <v>5815.5281605962591</v>
      </c>
      <c r="Y270" s="2">
        <v>21083.648832282895</v>
      </c>
      <c r="Z270" s="21">
        <v>8765.1423857723639</v>
      </c>
      <c r="AA270" s="21">
        <v>3330.4540522685743</v>
      </c>
      <c r="AB270" s="21">
        <v>7277.2572972091912</v>
      </c>
      <c r="AC270" s="22">
        <v>28.6</v>
      </c>
      <c r="AD270" s="22">
        <v>1346.5</v>
      </c>
      <c r="AE270" s="25"/>
    </row>
    <row r="271" spans="1:31">
      <c r="A271" s="1">
        <v>2023</v>
      </c>
      <c r="B271" s="9" t="s">
        <v>89</v>
      </c>
      <c r="C271" s="1" t="s">
        <v>171</v>
      </c>
      <c r="D271" s="10">
        <v>57.1</v>
      </c>
      <c r="E271" s="1">
        <v>33</v>
      </c>
      <c r="F271" s="10">
        <v>20.2</v>
      </c>
      <c r="G271" s="1">
        <v>30</v>
      </c>
      <c r="H271" s="10">
        <v>34.4</v>
      </c>
      <c r="I271" s="1">
        <v>10</v>
      </c>
      <c r="J271" s="10">
        <v>33.700000000000003</v>
      </c>
      <c r="K271" s="1">
        <v>23</v>
      </c>
      <c r="L271" s="10">
        <v>84.6</v>
      </c>
      <c r="M271" s="1">
        <v>17</v>
      </c>
      <c r="N271" s="14">
        <f t="shared" si="15"/>
        <v>100.17543859649123</v>
      </c>
      <c r="O271" s="14">
        <f t="shared" si="16"/>
        <v>110.98901098901099</v>
      </c>
      <c r="P271" s="14">
        <f t="shared" si="17"/>
        <v>97.450424929178467</v>
      </c>
      <c r="Q271" s="14">
        <f t="shared" si="18"/>
        <v>100.29761904761905</v>
      </c>
      <c r="R271" s="14">
        <f t="shared" si="19"/>
        <v>102.2974607013301</v>
      </c>
      <c r="S271" s="2">
        <v>224047.2257557807</v>
      </c>
      <c r="T271" s="2">
        <v>61510.888264931418</v>
      </c>
      <c r="U271" s="2">
        <v>134944.08813363564</v>
      </c>
      <c r="V271" s="2">
        <v>23003.043267942525</v>
      </c>
      <c r="W271" s="2">
        <v>4589.2060892710961</v>
      </c>
      <c r="X271" s="2">
        <v>7399.6413688103539</v>
      </c>
      <c r="Y271" s="2">
        <v>23442.111728790678</v>
      </c>
      <c r="Z271" s="21">
        <v>10141.248284746353</v>
      </c>
      <c r="AA271" s="21">
        <v>3564.3984710154605</v>
      </c>
      <c r="AB271" s="21">
        <v>7489.6826860669544</v>
      </c>
      <c r="AC271" s="22">
        <v>36.200000000000003</v>
      </c>
      <c r="AD271" s="22">
        <v>1851.8</v>
      </c>
      <c r="AE271" s="25"/>
    </row>
    <row r="272" spans="1:31">
      <c r="A272" s="1">
        <v>2023</v>
      </c>
      <c r="B272" s="9" t="s">
        <v>91</v>
      </c>
      <c r="C272" s="1" t="s">
        <v>172</v>
      </c>
      <c r="D272" s="10">
        <v>57</v>
      </c>
      <c r="E272" s="1">
        <v>34</v>
      </c>
      <c r="F272" s="10">
        <v>27.2</v>
      </c>
      <c r="G272" s="1">
        <v>14</v>
      </c>
      <c r="H272" s="10">
        <v>35.799999999999997</v>
      </c>
      <c r="I272" s="1">
        <v>1</v>
      </c>
      <c r="J272" s="10">
        <v>31.1</v>
      </c>
      <c r="K272" s="1">
        <v>43</v>
      </c>
      <c r="L272" s="10">
        <v>77</v>
      </c>
      <c r="M272" s="1">
        <v>47</v>
      </c>
      <c r="N272" s="14">
        <f t="shared" si="15"/>
        <v>103.44827586206897</v>
      </c>
      <c r="O272" s="14">
        <f t="shared" si="16"/>
        <v>109.6774193548387</v>
      </c>
      <c r="P272" s="14">
        <f t="shared" si="17"/>
        <v>101.41643059490085</v>
      </c>
      <c r="Q272" s="14">
        <f t="shared" si="18"/>
        <v>94.817073170731732</v>
      </c>
      <c r="R272" s="14">
        <f t="shared" si="19"/>
        <v>103.35570469798658</v>
      </c>
      <c r="S272" s="2">
        <v>227283.55462517642</v>
      </c>
      <c r="T272" s="2">
        <v>61297.129786410427</v>
      </c>
      <c r="U272" s="2">
        <v>135567.63059352676</v>
      </c>
      <c r="V272" s="2">
        <v>24228.272060082109</v>
      </c>
      <c r="W272" s="2">
        <v>6190.5221851571441</v>
      </c>
      <c r="X272" s="2">
        <v>7231.6940752659011</v>
      </c>
      <c r="Y272" s="2">
        <v>24495.174236399504</v>
      </c>
      <c r="Z272" s="21">
        <v>10902.935552354596</v>
      </c>
      <c r="AA272" s="21">
        <v>2871.224516322709</v>
      </c>
      <c r="AB272" s="21">
        <v>8745.4870158289632</v>
      </c>
      <c r="AC272" s="22">
        <v>34.700000000000003</v>
      </c>
      <c r="AD272" s="22">
        <v>1903.2</v>
      </c>
      <c r="AE272" s="25"/>
    </row>
    <row r="273" spans="1:31">
      <c r="A273" s="1">
        <v>2023</v>
      </c>
      <c r="B273" s="9" t="s">
        <v>93</v>
      </c>
      <c r="C273" s="1" t="s">
        <v>173</v>
      </c>
      <c r="D273" s="10">
        <v>55</v>
      </c>
      <c r="E273" s="1">
        <v>40</v>
      </c>
      <c r="F273" s="10">
        <v>34.1</v>
      </c>
      <c r="G273" s="1">
        <v>3</v>
      </c>
      <c r="H273" s="10">
        <v>33.5</v>
      </c>
      <c r="I273" s="1">
        <v>31</v>
      </c>
      <c r="J273" s="10">
        <v>32.5</v>
      </c>
      <c r="K273" s="1">
        <v>33</v>
      </c>
      <c r="L273" s="10">
        <v>80.599999999999994</v>
      </c>
      <c r="M273" s="1">
        <v>42</v>
      </c>
      <c r="N273" s="14">
        <f t="shared" si="15"/>
        <v>101.66358595194085</v>
      </c>
      <c r="O273" s="14">
        <f t="shared" si="16"/>
        <v>101.18694362017804</v>
      </c>
      <c r="P273" s="14">
        <f t="shared" si="17"/>
        <v>97.953216374269005</v>
      </c>
      <c r="Q273" s="14">
        <f t="shared" si="18"/>
        <v>91.549295774647888</v>
      </c>
      <c r="R273" s="14">
        <f t="shared" si="19"/>
        <v>102.93742017879947</v>
      </c>
      <c r="S273" s="2">
        <v>220844.93950604455</v>
      </c>
      <c r="T273" s="2">
        <v>56911.388223588947</v>
      </c>
      <c r="U273" s="2">
        <v>134852.88302121058</v>
      </c>
      <c r="V273" s="2">
        <v>24240.9231676167</v>
      </c>
      <c r="W273" s="2">
        <v>4839.7450936283149</v>
      </c>
      <c r="X273" s="2">
        <v>6527.9657284307641</v>
      </c>
      <c r="Y273" s="2">
        <v>22082.238418055444</v>
      </c>
      <c r="Z273" s="21">
        <v>9135.2536840257235</v>
      </c>
      <c r="AA273" s="21">
        <v>2962.7805644417731</v>
      </c>
      <c r="AB273" s="21">
        <v>7993.9224870357648</v>
      </c>
      <c r="AC273" s="22">
        <v>27.8</v>
      </c>
      <c r="AD273" s="22">
        <v>1508</v>
      </c>
      <c r="AE273" s="25"/>
    </row>
    <row r="274" spans="1:31">
      <c r="A274" s="1">
        <v>2023</v>
      </c>
      <c r="B274" s="9" t="s">
        <v>95</v>
      </c>
      <c r="C274" s="1" t="s">
        <v>174</v>
      </c>
      <c r="D274" s="10">
        <v>63</v>
      </c>
      <c r="E274" s="1">
        <v>17</v>
      </c>
      <c r="F274" s="10">
        <v>19.2</v>
      </c>
      <c r="G274" s="1">
        <v>32</v>
      </c>
      <c r="H274" s="10">
        <v>33.200000000000003</v>
      </c>
      <c r="I274" s="1">
        <v>37</v>
      </c>
      <c r="J274" s="10">
        <v>33.700000000000003</v>
      </c>
      <c r="K274" s="1">
        <v>22</v>
      </c>
      <c r="L274" s="10">
        <v>81</v>
      </c>
      <c r="M274" s="1">
        <v>40</v>
      </c>
      <c r="N274" s="14">
        <f t="shared" si="15"/>
        <v>102.60586319218241</v>
      </c>
      <c r="O274" s="14">
        <f t="shared" si="16"/>
        <v>104.91803278688523</v>
      </c>
      <c r="P274" s="14">
        <f t="shared" si="17"/>
        <v>99.699699699699721</v>
      </c>
      <c r="Q274" s="14">
        <f t="shared" si="18"/>
        <v>95.467422096317307</v>
      </c>
      <c r="R274" s="14">
        <f t="shared" si="19"/>
        <v>102.53164556962024</v>
      </c>
      <c r="S274" s="2">
        <v>213612.38187672407</v>
      </c>
      <c r="T274" s="2">
        <v>56948.765794338287</v>
      </c>
      <c r="U274" s="2">
        <v>130792.5592763266</v>
      </c>
      <c r="V274" s="2">
        <v>20736.507886262501</v>
      </c>
      <c r="W274" s="2">
        <v>5134.5489197967008</v>
      </c>
      <c r="X274" s="2">
        <v>6523.6220397346688</v>
      </c>
      <c r="Y274" s="2">
        <v>22007.257177381558</v>
      </c>
      <c r="Z274" s="21">
        <v>8881.5069392616806</v>
      </c>
      <c r="AA274" s="21">
        <v>3292.2850937159478</v>
      </c>
      <c r="AB274" s="21">
        <v>7442.0506599786131</v>
      </c>
      <c r="AC274" s="22">
        <v>27.8</v>
      </c>
      <c r="AD274" s="22">
        <v>1562.7</v>
      </c>
      <c r="AE274" s="25"/>
    </row>
    <row r="275" spans="1:31">
      <c r="A275" s="1">
        <v>2023</v>
      </c>
      <c r="B275" s="9" t="s">
        <v>97</v>
      </c>
      <c r="C275" s="1" t="s">
        <v>175</v>
      </c>
      <c r="D275" s="10">
        <v>68</v>
      </c>
      <c r="E275" s="1">
        <v>6</v>
      </c>
      <c r="F275" s="10">
        <v>17.100000000000001</v>
      </c>
      <c r="G275" s="1">
        <v>38</v>
      </c>
      <c r="H275" s="10">
        <v>31</v>
      </c>
      <c r="I275" s="1">
        <v>47</v>
      </c>
      <c r="J275" s="10">
        <v>29.9</v>
      </c>
      <c r="K275" s="1">
        <v>47</v>
      </c>
      <c r="L275" s="10">
        <v>79.099999999999994</v>
      </c>
      <c r="M275" s="1">
        <v>45</v>
      </c>
      <c r="N275" s="14">
        <f t="shared" si="15"/>
        <v>102.87443267776098</v>
      </c>
      <c r="O275" s="14">
        <f t="shared" si="16"/>
        <v>110.3225806451613</v>
      </c>
      <c r="P275" s="14">
        <f t="shared" si="17"/>
        <v>102.64900662251655</v>
      </c>
      <c r="Q275" s="14">
        <f t="shared" si="18"/>
        <v>94.620253164556956</v>
      </c>
      <c r="R275" s="14">
        <f t="shared" si="19"/>
        <v>102.86085825747723</v>
      </c>
      <c r="S275" s="2">
        <v>218577.43568004912</v>
      </c>
      <c r="T275" s="2">
        <v>64461.896296477418</v>
      </c>
      <c r="U275" s="2">
        <v>128761.06414110013</v>
      </c>
      <c r="V275" s="2">
        <v>20386.628698784982</v>
      </c>
      <c r="W275" s="2">
        <v>4967.8465436865854</v>
      </c>
      <c r="X275" s="2">
        <v>7632.2208801534143</v>
      </c>
      <c r="Y275" s="2">
        <v>23109.862662179472</v>
      </c>
      <c r="Z275" s="21">
        <v>10988.648025438817</v>
      </c>
      <c r="AA275" s="21">
        <v>2677.9880922577809</v>
      </c>
      <c r="AB275" s="21">
        <v>6956.6354577775128</v>
      </c>
      <c r="AC275" s="22">
        <v>38.9</v>
      </c>
      <c r="AD275" s="22">
        <v>2349.6999999999998</v>
      </c>
      <c r="AE275" s="25"/>
    </row>
    <row r="276" spans="1:31">
      <c r="A276" s="1">
        <v>2023</v>
      </c>
      <c r="B276" s="9" t="s">
        <v>99</v>
      </c>
      <c r="C276" s="1" t="s">
        <v>176</v>
      </c>
      <c r="D276" s="10">
        <v>57.9</v>
      </c>
      <c r="E276" s="1">
        <v>31</v>
      </c>
      <c r="F276" s="10">
        <v>21.5</v>
      </c>
      <c r="G276" s="1">
        <v>26</v>
      </c>
      <c r="H276" s="10">
        <v>34.1</v>
      </c>
      <c r="I276" s="1">
        <v>14</v>
      </c>
      <c r="J276" s="10">
        <v>33.299999999999997</v>
      </c>
      <c r="K276" s="1">
        <v>27</v>
      </c>
      <c r="L276" s="10">
        <v>83.9</v>
      </c>
      <c r="M276" s="1">
        <v>19</v>
      </c>
      <c r="N276" s="14">
        <f t="shared" si="15"/>
        <v>104.51263537906136</v>
      </c>
      <c r="O276" s="14">
        <f t="shared" si="16"/>
        <v>111.39896373056995</v>
      </c>
      <c r="P276" s="14">
        <f t="shared" si="17"/>
        <v>99.416909620991262</v>
      </c>
      <c r="Q276" s="14">
        <f t="shared" si="18"/>
        <v>91.232876712328761</v>
      </c>
      <c r="R276" s="14">
        <f t="shared" si="19"/>
        <v>101.94410692588094</v>
      </c>
      <c r="S276" s="2">
        <v>219292.18924331604</v>
      </c>
      <c r="T276" s="2">
        <v>59495.877500457384</v>
      </c>
      <c r="U276" s="2">
        <v>129137.53986597741</v>
      </c>
      <c r="V276" s="2">
        <v>23824.748488949783</v>
      </c>
      <c r="W276" s="2">
        <v>6834.0233879314474</v>
      </c>
      <c r="X276" s="2">
        <v>6779.234375196861</v>
      </c>
      <c r="Y276" s="2">
        <v>22116.688941105203</v>
      </c>
      <c r="Z276" s="21">
        <v>9942.8140555308455</v>
      </c>
      <c r="AA276" s="21">
        <v>3087.5719607177534</v>
      </c>
      <c r="AB276" s="21">
        <v>7224.5715931786617</v>
      </c>
      <c r="AC276" s="22">
        <v>31.7</v>
      </c>
      <c r="AD276" s="22">
        <v>1593.1</v>
      </c>
      <c r="AE276" s="25"/>
    </row>
    <row r="277" spans="1:31">
      <c r="A277" s="1">
        <v>2023</v>
      </c>
      <c r="B277" s="9" t="s">
        <v>101</v>
      </c>
      <c r="C277" s="1" t="s">
        <v>177</v>
      </c>
      <c r="D277" s="10">
        <v>58.9</v>
      </c>
      <c r="E277" s="1">
        <v>29</v>
      </c>
      <c r="F277" s="10">
        <v>24.8</v>
      </c>
      <c r="G277" s="1">
        <v>17</v>
      </c>
      <c r="H277" s="10">
        <v>34.5</v>
      </c>
      <c r="I277" s="1">
        <v>6</v>
      </c>
      <c r="J277" s="10">
        <v>34.799999999999997</v>
      </c>
      <c r="K277" s="1">
        <v>14</v>
      </c>
      <c r="L277" s="10">
        <v>85.1</v>
      </c>
      <c r="M277" s="1">
        <v>9</v>
      </c>
      <c r="N277" s="14">
        <f t="shared" si="15"/>
        <v>100</v>
      </c>
      <c r="O277" s="14">
        <f t="shared" si="16"/>
        <v>94.656488549618317</v>
      </c>
      <c r="P277" s="14">
        <f t="shared" si="17"/>
        <v>94.780219780219781</v>
      </c>
      <c r="Q277" s="14">
        <f t="shared" si="18"/>
        <v>89.002557544757025</v>
      </c>
      <c r="R277" s="14">
        <f t="shared" si="19"/>
        <v>102.1608643457383</v>
      </c>
      <c r="S277" s="2">
        <v>238790.8479635402</v>
      </c>
      <c r="T277" s="2">
        <v>68563.872173188196</v>
      </c>
      <c r="U277" s="2">
        <v>141701.20744225668</v>
      </c>
      <c r="V277" s="2">
        <v>21892.434931772525</v>
      </c>
      <c r="W277" s="2">
        <v>6633.3334163227901</v>
      </c>
      <c r="X277" s="2">
        <v>7977.7144686817373</v>
      </c>
      <c r="Y277" s="2">
        <v>27450.295550694595</v>
      </c>
      <c r="Z277" s="21">
        <v>12582.010236951844</v>
      </c>
      <c r="AA277" s="21">
        <v>4402.8179754993907</v>
      </c>
      <c r="AB277" s="21">
        <v>8636.2839397581811</v>
      </c>
      <c r="AC277" s="22">
        <v>37.5</v>
      </c>
      <c r="AD277" s="22">
        <v>1765.4</v>
      </c>
      <c r="AE277" s="25"/>
    </row>
    <row r="278" spans="1:31">
      <c r="A278" s="1">
        <v>2023</v>
      </c>
      <c r="B278" s="9" t="s">
        <v>103</v>
      </c>
      <c r="C278" s="1" t="s">
        <v>178</v>
      </c>
      <c r="D278" s="10">
        <v>59.3</v>
      </c>
      <c r="E278" s="1">
        <v>28</v>
      </c>
      <c r="F278" s="10">
        <v>25.6</v>
      </c>
      <c r="G278" s="1">
        <v>16</v>
      </c>
      <c r="H278" s="10">
        <v>34.5</v>
      </c>
      <c r="I278" s="1">
        <v>7</v>
      </c>
      <c r="J278" s="10">
        <v>33.799999999999997</v>
      </c>
      <c r="K278" s="1">
        <v>21</v>
      </c>
      <c r="L278" s="10">
        <v>84.7</v>
      </c>
      <c r="M278" s="1">
        <v>14</v>
      </c>
      <c r="N278" s="14">
        <f t="shared" si="15"/>
        <v>102.77296360485269</v>
      </c>
      <c r="O278" s="14">
        <f t="shared" si="16"/>
        <v>95.522388059701484</v>
      </c>
      <c r="P278" s="14">
        <f t="shared" si="17"/>
        <v>97.457627118644069</v>
      </c>
      <c r="Q278" s="14">
        <f t="shared" si="18"/>
        <v>97.687861271676297</v>
      </c>
      <c r="R278" s="14">
        <f t="shared" si="19"/>
        <v>101.9253910950662</v>
      </c>
      <c r="S278" s="2">
        <v>228076.20771980908</v>
      </c>
      <c r="T278" s="2">
        <v>67345.451336875965</v>
      </c>
      <c r="U278" s="2">
        <v>132166.12309462851</v>
      </c>
      <c r="V278" s="2">
        <v>22316.626115034</v>
      </c>
      <c r="W278" s="2">
        <v>6248.0071732706201</v>
      </c>
      <c r="X278" s="2">
        <v>7108.5668857324572</v>
      </c>
      <c r="Y278" s="2">
        <v>24342.890839306972</v>
      </c>
      <c r="Z278" s="21">
        <v>11755.207434414222</v>
      </c>
      <c r="AA278" s="21">
        <v>2854.6301187894146</v>
      </c>
      <c r="AB278" s="21">
        <v>7483.0501308104667</v>
      </c>
      <c r="AC278" s="22">
        <v>35.1</v>
      </c>
      <c r="AD278" s="22">
        <v>1984.5</v>
      </c>
      <c r="AE278" s="25"/>
    </row>
    <row r="279" spans="1:31">
      <c r="A279" s="1">
        <v>2023</v>
      </c>
      <c r="B279" s="9" t="s">
        <v>105</v>
      </c>
      <c r="C279" s="1" t="s">
        <v>179</v>
      </c>
      <c r="D279" s="10">
        <v>64.099999999999994</v>
      </c>
      <c r="E279" s="1">
        <v>15</v>
      </c>
      <c r="F279" s="10">
        <v>38.299999999999997</v>
      </c>
      <c r="G279" s="1">
        <v>1</v>
      </c>
      <c r="H279" s="10">
        <v>34</v>
      </c>
      <c r="I279" s="1">
        <v>17</v>
      </c>
      <c r="J279" s="10">
        <v>38.9</v>
      </c>
      <c r="K279" s="1">
        <v>2</v>
      </c>
      <c r="L279" s="10">
        <v>85.1</v>
      </c>
      <c r="M279" s="1">
        <v>8</v>
      </c>
      <c r="N279" s="14">
        <f t="shared" si="15"/>
        <v>103.22061191626408</v>
      </c>
      <c r="O279" s="14">
        <f t="shared" si="16"/>
        <v>105.80110497237567</v>
      </c>
      <c r="P279" s="14">
        <f t="shared" si="17"/>
        <v>102.40963855421685</v>
      </c>
      <c r="Q279" s="14">
        <f t="shared" si="18"/>
        <v>100.25773195876289</v>
      </c>
      <c r="R279" s="14">
        <f t="shared" si="19"/>
        <v>102.03836930455634</v>
      </c>
      <c r="S279" s="2">
        <v>221926.06824668543</v>
      </c>
      <c r="T279" s="2">
        <v>62153.455287983365</v>
      </c>
      <c r="U279" s="2">
        <v>132621.81872877022</v>
      </c>
      <c r="V279" s="2">
        <v>21468.274392575924</v>
      </c>
      <c r="W279" s="2">
        <v>5682.5198373559306</v>
      </c>
      <c r="X279" s="2">
        <v>6586.7947050070825</v>
      </c>
      <c r="Y279" s="2">
        <v>25060.59013102403</v>
      </c>
      <c r="Z279" s="21">
        <v>11737.624324890618</v>
      </c>
      <c r="AA279" s="21">
        <v>3253.2061253655497</v>
      </c>
      <c r="AB279" s="21">
        <v>8422.2031515210474</v>
      </c>
      <c r="AC279" s="22">
        <v>35.799999999999997</v>
      </c>
      <c r="AD279" s="22">
        <v>1875</v>
      </c>
      <c r="AE279" s="25"/>
    </row>
    <row r="280" spans="1:31">
      <c r="A280" s="1">
        <v>2023</v>
      </c>
      <c r="B280" s="9" t="s">
        <v>107</v>
      </c>
      <c r="C280" s="1" t="s">
        <v>180</v>
      </c>
      <c r="D280" s="10">
        <v>66.599999999999994</v>
      </c>
      <c r="E280" s="1">
        <v>9</v>
      </c>
      <c r="F280" s="10">
        <v>30.8</v>
      </c>
      <c r="G280" s="1">
        <v>7</v>
      </c>
      <c r="H280" s="10">
        <v>34.299999999999997</v>
      </c>
      <c r="I280" s="1">
        <v>12</v>
      </c>
      <c r="J280" s="10">
        <v>37.5</v>
      </c>
      <c r="K280" s="1">
        <v>6</v>
      </c>
      <c r="L280" s="10">
        <v>82.8</v>
      </c>
      <c r="M280" s="1">
        <v>28</v>
      </c>
      <c r="N280" s="14">
        <f t="shared" si="15"/>
        <v>101.67938931297709</v>
      </c>
      <c r="O280" s="14">
        <f t="shared" si="16"/>
        <v>104.76190476190477</v>
      </c>
      <c r="P280" s="14">
        <f t="shared" si="17"/>
        <v>100.5865102639296</v>
      </c>
      <c r="Q280" s="14">
        <f t="shared" si="18"/>
        <v>98.167539267015698</v>
      </c>
      <c r="R280" s="14">
        <f t="shared" si="19"/>
        <v>102.22222222222221</v>
      </c>
      <c r="S280" s="2">
        <v>225649.45036350674</v>
      </c>
      <c r="T280" s="2">
        <v>64192.96900319132</v>
      </c>
      <c r="U280" s="2">
        <v>136508.04272580773</v>
      </c>
      <c r="V280" s="2">
        <v>19332.540388914622</v>
      </c>
      <c r="W280" s="2">
        <v>5615.8982455930691</v>
      </c>
      <c r="X280" s="2">
        <v>7108.7188698565124</v>
      </c>
      <c r="Y280" s="2">
        <v>25671.979646635657</v>
      </c>
      <c r="Z280" s="21">
        <v>11104.485794279008</v>
      </c>
      <c r="AA280" s="21">
        <v>3513.832286345983</v>
      </c>
      <c r="AB280" s="21">
        <v>8950.5795329955035</v>
      </c>
      <c r="AC280" s="22">
        <v>29.8</v>
      </c>
      <c r="AD280" s="22">
        <v>1772.8</v>
      </c>
      <c r="AE280" s="25"/>
    </row>
    <row r="281" spans="1:31">
      <c r="A281" s="1">
        <v>2023</v>
      </c>
      <c r="B281" s="9" t="s">
        <v>109</v>
      </c>
      <c r="C281" s="1" t="s">
        <v>181</v>
      </c>
      <c r="D281" s="10">
        <v>60.1</v>
      </c>
      <c r="E281" s="1">
        <v>24</v>
      </c>
      <c r="F281" s="10">
        <v>20.7</v>
      </c>
      <c r="G281" s="1">
        <v>29</v>
      </c>
      <c r="H281" s="10">
        <v>34.5</v>
      </c>
      <c r="I281" s="1">
        <v>8</v>
      </c>
      <c r="J281" s="10">
        <v>34.1</v>
      </c>
      <c r="K281" s="1">
        <v>19</v>
      </c>
      <c r="L281" s="10">
        <v>85.9</v>
      </c>
      <c r="M281" s="1">
        <v>7</v>
      </c>
      <c r="N281" s="14">
        <f t="shared" si="15"/>
        <v>106.18374558303887</v>
      </c>
      <c r="O281" s="14">
        <f t="shared" si="16"/>
        <v>107.25388601036268</v>
      </c>
      <c r="P281" s="14">
        <f t="shared" si="17"/>
        <v>99.423631123919293</v>
      </c>
      <c r="Q281" s="14">
        <f t="shared" si="18"/>
        <v>92.663043478260875</v>
      </c>
      <c r="R281" s="14">
        <f t="shared" si="19"/>
        <v>102.01900237529691</v>
      </c>
      <c r="S281" s="2">
        <v>213632.69809678179</v>
      </c>
      <c r="T281" s="2">
        <v>58409.486075670749</v>
      </c>
      <c r="U281" s="2">
        <v>129818.62904030774</v>
      </c>
      <c r="V281" s="2">
        <v>20281.923965816866</v>
      </c>
      <c r="W281" s="2">
        <v>5122.6590149864169</v>
      </c>
      <c r="X281" s="2">
        <v>6674.353102869326</v>
      </c>
      <c r="Y281" s="2">
        <v>23252.535350725208</v>
      </c>
      <c r="Z281" s="21">
        <v>11628.071959131759</v>
      </c>
      <c r="AA281" s="21">
        <v>2418.2092465429109</v>
      </c>
      <c r="AB281" s="21">
        <v>7179.2830735131902</v>
      </c>
      <c r="AC281" s="22">
        <v>33.9</v>
      </c>
      <c r="AD281" s="22">
        <v>1709.7</v>
      </c>
      <c r="AE281" s="25"/>
    </row>
    <row r="282" spans="1:31">
      <c r="A282" s="1">
        <v>2023</v>
      </c>
      <c r="B282" s="9" t="s">
        <v>111</v>
      </c>
      <c r="C282" s="1" t="s">
        <v>182</v>
      </c>
      <c r="D282" s="10">
        <v>51.6</v>
      </c>
      <c r="E282" s="1">
        <v>43</v>
      </c>
      <c r="F282" s="10">
        <v>21.5</v>
      </c>
      <c r="G282" s="1">
        <v>25</v>
      </c>
      <c r="H282" s="10">
        <v>34.1</v>
      </c>
      <c r="I282" s="1">
        <v>16</v>
      </c>
      <c r="J282" s="10">
        <v>39</v>
      </c>
      <c r="K282" s="1">
        <v>1</v>
      </c>
      <c r="L282" s="10">
        <v>87.5</v>
      </c>
      <c r="M282" s="1">
        <v>2</v>
      </c>
      <c r="N282" s="14">
        <f t="shared" si="15"/>
        <v>93.647912885662436</v>
      </c>
      <c r="O282" s="14">
        <f t="shared" si="16"/>
        <v>109.69387755102041</v>
      </c>
      <c r="P282" s="14">
        <f t="shared" si="17"/>
        <v>98.270893371757921</v>
      </c>
      <c r="Q282" s="14">
        <f t="shared" si="18"/>
        <v>100.77519379844961</v>
      </c>
      <c r="R282" s="14">
        <f t="shared" si="19"/>
        <v>101.62601626016261</v>
      </c>
      <c r="S282" s="2">
        <v>221192.2848456855</v>
      </c>
      <c r="T282" s="2">
        <v>64202.202318248841</v>
      </c>
      <c r="U282" s="2">
        <v>131222.10246196802</v>
      </c>
      <c r="V282" s="2">
        <v>20079.469265445623</v>
      </c>
      <c r="W282" s="2">
        <v>5688.5108000230102</v>
      </c>
      <c r="X282" s="2">
        <v>7632.0595836235243</v>
      </c>
      <c r="Y282" s="2">
        <v>24809.295936046856</v>
      </c>
      <c r="Z282" s="21">
        <v>11666.849492527819</v>
      </c>
      <c r="AA282" s="21">
        <v>2535.7341759384922</v>
      </c>
      <c r="AB282" s="21">
        <v>8195.7083427379548</v>
      </c>
      <c r="AC282" s="22">
        <v>37.5</v>
      </c>
      <c r="AD282" s="22">
        <v>2019.8</v>
      </c>
      <c r="AE282" s="25"/>
    </row>
    <row r="283" spans="1:31">
      <c r="A283" s="1">
        <v>2023</v>
      </c>
      <c r="B283" s="9" t="s">
        <v>113</v>
      </c>
      <c r="C283" s="1" t="s">
        <v>183</v>
      </c>
      <c r="D283" s="10">
        <v>60.2</v>
      </c>
      <c r="E283" s="1">
        <v>23</v>
      </c>
      <c r="F283" s="10">
        <v>28.8</v>
      </c>
      <c r="G283" s="1">
        <v>9</v>
      </c>
      <c r="H283" s="10">
        <v>33.9</v>
      </c>
      <c r="I283" s="1">
        <v>20</v>
      </c>
      <c r="J283" s="10">
        <v>33.9</v>
      </c>
      <c r="K283" s="1">
        <v>20</v>
      </c>
      <c r="L283" s="10">
        <v>90.1</v>
      </c>
      <c r="M283" s="1">
        <v>1</v>
      </c>
      <c r="N283" s="14">
        <f t="shared" si="15"/>
        <v>100.16638935108153</v>
      </c>
      <c r="O283" s="14">
        <f t="shared" si="16"/>
        <v>117.55102040816328</v>
      </c>
      <c r="P283" s="14">
        <f t="shared" si="17"/>
        <v>99.122807017543849</v>
      </c>
      <c r="Q283" s="14">
        <f t="shared" si="18"/>
        <v>94.692737430167611</v>
      </c>
      <c r="R283" s="14">
        <f t="shared" si="19"/>
        <v>100.89585666293392</v>
      </c>
      <c r="S283" s="2">
        <v>194294.42052924327</v>
      </c>
      <c r="T283" s="2">
        <v>57866.488064573517</v>
      </c>
      <c r="U283" s="2">
        <v>112740.99734975038</v>
      </c>
      <c r="V283" s="2">
        <v>18782.264969142441</v>
      </c>
      <c r="W283" s="2">
        <v>4904.6701457769332</v>
      </c>
      <c r="X283" s="2">
        <v>7413.4222932625034</v>
      </c>
      <c r="Y283" s="2">
        <v>19465.610430459154</v>
      </c>
      <c r="Z283" s="21">
        <v>9724.5998499277302</v>
      </c>
      <c r="AA283" s="21">
        <v>2119.9969833786663</v>
      </c>
      <c r="AB283" s="21">
        <v>5850.0197535465559</v>
      </c>
      <c r="AC283" s="22">
        <v>28.4</v>
      </c>
      <c r="AD283" s="22">
        <v>1271.0999999999999</v>
      </c>
      <c r="AE283" s="25"/>
    </row>
    <row r="284" spans="1:31">
      <c r="A284" s="1">
        <v>2024</v>
      </c>
      <c r="B284" s="9" t="s">
        <v>21</v>
      </c>
      <c r="C284" s="1" t="s">
        <v>22</v>
      </c>
      <c r="D284" s="10">
        <v>56.1</v>
      </c>
      <c r="E284" s="1">
        <v>41</v>
      </c>
      <c r="F284" s="10">
        <v>16</v>
      </c>
      <c r="G284" s="1">
        <v>41</v>
      </c>
      <c r="H284" s="10">
        <v>32.200000000000003</v>
      </c>
      <c r="I284" s="1">
        <v>45</v>
      </c>
      <c r="J284" s="10">
        <v>33.299999999999997</v>
      </c>
      <c r="K284" s="1">
        <v>32</v>
      </c>
      <c r="L284" s="10">
        <v>87.9</v>
      </c>
      <c r="M284" s="1">
        <v>16</v>
      </c>
      <c r="N284" s="14">
        <f t="shared" si="15"/>
        <v>104.85981308411215</v>
      </c>
      <c r="O284" s="14">
        <f t="shared" si="16"/>
        <v>118.5185185185185</v>
      </c>
      <c r="P284" s="14">
        <f t="shared" si="17"/>
        <v>99.382716049382722</v>
      </c>
      <c r="Q284" s="14">
        <f t="shared" si="18"/>
        <v>102.14723926380367</v>
      </c>
      <c r="R284" s="14">
        <f t="shared" si="19"/>
        <v>104.14691943127963</v>
      </c>
      <c r="S284" s="1" t="s">
        <v>202</v>
      </c>
      <c r="T284" s="1" t="s">
        <v>202</v>
      </c>
      <c r="U284" s="1" t="s">
        <v>202</v>
      </c>
      <c r="V284" s="1" t="s">
        <v>202</v>
      </c>
      <c r="W284" s="1" t="s">
        <v>202</v>
      </c>
      <c r="X284" s="1" t="s">
        <v>202</v>
      </c>
      <c r="Y284" s="1" t="s">
        <v>202</v>
      </c>
      <c r="Z284" s="1" t="s">
        <v>202</v>
      </c>
      <c r="AA284" s="1" t="s">
        <v>202</v>
      </c>
      <c r="AB284" s="1" t="s">
        <v>202</v>
      </c>
      <c r="AC284" s="1" t="s">
        <v>202</v>
      </c>
      <c r="AD284" s="1" t="s">
        <v>202</v>
      </c>
    </row>
    <row r="285" spans="1:31">
      <c r="A285" s="1">
        <v>2024</v>
      </c>
      <c r="B285" s="9" t="s">
        <v>23</v>
      </c>
      <c r="C285" s="1" t="s">
        <v>138</v>
      </c>
      <c r="D285" s="10">
        <v>63.2</v>
      </c>
      <c r="E285" s="1">
        <v>21</v>
      </c>
      <c r="F285" s="10">
        <v>29.2</v>
      </c>
      <c r="G285" s="1">
        <v>9</v>
      </c>
      <c r="H285" s="10">
        <v>31.6</v>
      </c>
      <c r="I285" s="1">
        <v>46</v>
      </c>
      <c r="J285" s="10">
        <v>32.9</v>
      </c>
      <c r="K285" s="1">
        <v>33</v>
      </c>
      <c r="L285" s="10">
        <v>88.4</v>
      </c>
      <c r="M285" s="1">
        <v>13</v>
      </c>
      <c r="N285" s="14">
        <f t="shared" si="15"/>
        <v>102.93159609120521</v>
      </c>
      <c r="O285" s="14">
        <f t="shared" si="16"/>
        <v>102.8169014084507</v>
      </c>
      <c r="P285" s="14">
        <f t="shared" si="17"/>
        <v>94.328358208955237</v>
      </c>
      <c r="Q285" s="14">
        <f t="shared" si="18"/>
        <v>96.198830409356717</v>
      </c>
      <c r="R285" s="14">
        <f t="shared" si="19"/>
        <v>104.24528301886792</v>
      </c>
      <c r="S285" s="1" t="s">
        <v>202</v>
      </c>
      <c r="T285" s="1" t="s">
        <v>202</v>
      </c>
      <c r="U285" s="1" t="s">
        <v>202</v>
      </c>
      <c r="V285" s="1" t="s">
        <v>202</v>
      </c>
      <c r="W285" s="1" t="s">
        <v>202</v>
      </c>
      <c r="X285" s="1" t="s">
        <v>202</v>
      </c>
      <c r="Y285" s="1" t="s">
        <v>202</v>
      </c>
      <c r="Z285" s="1" t="s">
        <v>202</v>
      </c>
      <c r="AA285" s="1" t="s">
        <v>202</v>
      </c>
      <c r="AB285" s="1" t="s">
        <v>202</v>
      </c>
      <c r="AC285" s="1" t="s">
        <v>202</v>
      </c>
      <c r="AD285" s="1" t="s">
        <v>202</v>
      </c>
    </row>
    <row r="286" spans="1:31">
      <c r="A286" s="1">
        <v>2024</v>
      </c>
      <c r="B286" s="9" t="s">
        <v>25</v>
      </c>
      <c r="C286" s="1" t="s">
        <v>139</v>
      </c>
      <c r="D286" s="10">
        <v>65.7</v>
      </c>
      <c r="E286" s="1">
        <v>14</v>
      </c>
      <c r="F286" s="10">
        <v>21.8</v>
      </c>
      <c r="G286" s="1">
        <v>26</v>
      </c>
      <c r="H286" s="10">
        <v>33.200000000000003</v>
      </c>
      <c r="I286" s="1">
        <v>24</v>
      </c>
      <c r="J286" s="10">
        <v>32.799999999999997</v>
      </c>
      <c r="K286" s="1">
        <v>36</v>
      </c>
      <c r="L286" s="10">
        <v>90.2</v>
      </c>
      <c r="M286" s="1">
        <v>4</v>
      </c>
      <c r="N286" s="14">
        <f t="shared" si="15"/>
        <v>103.13971742543171</v>
      </c>
      <c r="O286" s="14">
        <f t="shared" si="16"/>
        <v>98.198198198198199</v>
      </c>
      <c r="P286" s="14">
        <f t="shared" si="17"/>
        <v>97.64705882352942</v>
      </c>
      <c r="Q286" s="14">
        <f t="shared" si="18"/>
        <v>104.45859872611464</v>
      </c>
      <c r="R286" s="14">
        <f t="shared" si="19"/>
        <v>103.55912743972446</v>
      </c>
      <c r="S286" s="1" t="s">
        <v>202</v>
      </c>
      <c r="T286" s="1" t="s">
        <v>202</v>
      </c>
      <c r="U286" s="1" t="s">
        <v>202</v>
      </c>
      <c r="V286" s="1" t="s">
        <v>202</v>
      </c>
      <c r="W286" s="1" t="s">
        <v>202</v>
      </c>
      <c r="X286" s="1" t="s">
        <v>202</v>
      </c>
      <c r="Y286" s="1" t="s">
        <v>202</v>
      </c>
      <c r="Z286" s="1" t="s">
        <v>202</v>
      </c>
      <c r="AA286" s="1" t="s">
        <v>202</v>
      </c>
      <c r="AB286" s="1" t="s">
        <v>202</v>
      </c>
      <c r="AC286" s="1" t="s">
        <v>202</v>
      </c>
      <c r="AD286" s="1" t="s">
        <v>202</v>
      </c>
    </row>
    <row r="287" spans="1:31">
      <c r="A287" s="1">
        <v>2024</v>
      </c>
      <c r="B287" s="9" t="s">
        <v>27</v>
      </c>
      <c r="C287" s="1" t="s">
        <v>140</v>
      </c>
      <c r="D287" s="10">
        <v>65.8</v>
      </c>
      <c r="E287" s="1">
        <v>12</v>
      </c>
      <c r="F287" s="10">
        <v>26.6</v>
      </c>
      <c r="G287" s="1">
        <v>15</v>
      </c>
      <c r="H287" s="10">
        <v>32.200000000000003</v>
      </c>
      <c r="I287" s="1">
        <v>43</v>
      </c>
      <c r="J287" s="10">
        <v>33.9</v>
      </c>
      <c r="K287" s="1">
        <v>26</v>
      </c>
      <c r="L287" s="10">
        <v>89.4</v>
      </c>
      <c r="M287" s="1">
        <v>6</v>
      </c>
      <c r="N287" s="14">
        <f t="shared" si="15"/>
        <v>102.65210608424337</v>
      </c>
      <c r="O287" s="14">
        <f t="shared" si="16"/>
        <v>109.01639344262297</v>
      </c>
      <c r="P287" s="14">
        <f t="shared" si="17"/>
        <v>99.07692307692308</v>
      </c>
      <c r="Q287" s="14">
        <f t="shared" si="18"/>
        <v>101.49700598802396</v>
      </c>
      <c r="R287" s="14">
        <f t="shared" si="19"/>
        <v>103.95348837209303</v>
      </c>
      <c r="S287" s="1" t="s">
        <v>202</v>
      </c>
      <c r="T287" s="1" t="s">
        <v>202</v>
      </c>
      <c r="U287" s="1" t="s">
        <v>202</v>
      </c>
      <c r="V287" s="1" t="s">
        <v>202</v>
      </c>
      <c r="W287" s="1" t="s">
        <v>202</v>
      </c>
      <c r="X287" s="1" t="s">
        <v>202</v>
      </c>
      <c r="Y287" s="1" t="s">
        <v>202</v>
      </c>
      <c r="Z287" s="1" t="s">
        <v>202</v>
      </c>
      <c r="AA287" s="1" t="s">
        <v>202</v>
      </c>
      <c r="AB287" s="1" t="s">
        <v>202</v>
      </c>
      <c r="AC287" s="1" t="s">
        <v>202</v>
      </c>
      <c r="AD287" s="1" t="s">
        <v>202</v>
      </c>
    </row>
    <row r="288" spans="1:31">
      <c r="A288" s="1">
        <v>2024</v>
      </c>
      <c r="B288" s="9" t="s">
        <v>29</v>
      </c>
      <c r="C288" s="1" t="s">
        <v>141</v>
      </c>
      <c r="D288" s="10">
        <v>64.3</v>
      </c>
      <c r="E288" s="1">
        <v>17</v>
      </c>
      <c r="F288" s="10">
        <v>32.799999999999997</v>
      </c>
      <c r="G288" s="1">
        <v>6</v>
      </c>
      <c r="H288" s="10">
        <v>34</v>
      </c>
      <c r="I288" s="1">
        <v>9</v>
      </c>
      <c r="J288" s="10">
        <v>36</v>
      </c>
      <c r="K288" s="1">
        <v>12</v>
      </c>
      <c r="L288" s="10">
        <v>88.6</v>
      </c>
      <c r="M288" s="1">
        <v>11</v>
      </c>
      <c r="N288" s="14">
        <f t="shared" si="15"/>
        <v>102.22575516693165</v>
      </c>
      <c r="O288" s="14">
        <f t="shared" si="16"/>
        <v>101.54798761609906</v>
      </c>
      <c r="P288" s="14">
        <f t="shared" si="17"/>
        <v>103.03030303030303</v>
      </c>
      <c r="Q288" s="14">
        <f t="shared" si="18"/>
        <v>94.986807387862797</v>
      </c>
      <c r="R288" s="14">
        <f t="shared" si="19"/>
        <v>104.11280846063455</v>
      </c>
      <c r="S288" s="1" t="s">
        <v>202</v>
      </c>
      <c r="T288" s="1" t="s">
        <v>202</v>
      </c>
      <c r="U288" s="1" t="s">
        <v>202</v>
      </c>
      <c r="V288" s="1" t="s">
        <v>202</v>
      </c>
      <c r="W288" s="1" t="s">
        <v>202</v>
      </c>
      <c r="X288" s="1" t="s">
        <v>202</v>
      </c>
      <c r="Y288" s="1" t="s">
        <v>202</v>
      </c>
      <c r="Z288" s="1" t="s">
        <v>202</v>
      </c>
      <c r="AA288" s="1" t="s">
        <v>202</v>
      </c>
      <c r="AB288" s="1" t="s">
        <v>202</v>
      </c>
      <c r="AC288" s="1" t="s">
        <v>202</v>
      </c>
      <c r="AD288" s="1" t="s">
        <v>202</v>
      </c>
    </row>
    <row r="289" spans="1:30">
      <c r="A289" s="1">
        <v>2024</v>
      </c>
      <c r="B289" s="9" t="s">
        <v>31</v>
      </c>
      <c r="C289" s="1" t="s">
        <v>142</v>
      </c>
      <c r="D289" s="10">
        <v>79.2</v>
      </c>
      <c r="E289" s="1">
        <v>1</v>
      </c>
      <c r="F289" s="10">
        <v>30.6</v>
      </c>
      <c r="G289" s="1">
        <v>8</v>
      </c>
      <c r="H289" s="10">
        <v>33</v>
      </c>
      <c r="I289" s="1">
        <v>30</v>
      </c>
      <c r="J289" s="10">
        <v>35.799999999999997</v>
      </c>
      <c r="K289" s="1">
        <v>13</v>
      </c>
      <c r="L289" s="10">
        <v>90.2</v>
      </c>
      <c r="M289" s="1">
        <v>3</v>
      </c>
      <c r="N289" s="14">
        <f t="shared" si="15"/>
        <v>101.66880616174583</v>
      </c>
      <c r="O289" s="14">
        <f t="shared" si="16"/>
        <v>105.15463917525774</v>
      </c>
      <c r="P289" s="14">
        <f t="shared" si="17"/>
        <v>97.922848664688416</v>
      </c>
      <c r="Q289" s="14">
        <f t="shared" si="18"/>
        <v>95.721925133689837</v>
      </c>
      <c r="R289" s="14">
        <f t="shared" si="19"/>
        <v>103.55912743972446</v>
      </c>
      <c r="S289" s="1" t="s">
        <v>202</v>
      </c>
      <c r="T289" s="1" t="s">
        <v>202</v>
      </c>
      <c r="U289" s="1" t="s">
        <v>202</v>
      </c>
      <c r="V289" s="1" t="s">
        <v>202</v>
      </c>
      <c r="W289" s="1" t="s">
        <v>202</v>
      </c>
      <c r="X289" s="1" t="s">
        <v>202</v>
      </c>
      <c r="Y289" s="1" t="s">
        <v>202</v>
      </c>
      <c r="Z289" s="1" t="s">
        <v>202</v>
      </c>
      <c r="AA289" s="1" t="s">
        <v>202</v>
      </c>
      <c r="AB289" s="1" t="s">
        <v>202</v>
      </c>
      <c r="AC289" s="1" t="s">
        <v>202</v>
      </c>
      <c r="AD289" s="1" t="s">
        <v>202</v>
      </c>
    </row>
    <row r="290" spans="1:30">
      <c r="A290" s="1">
        <v>2024</v>
      </c>
      <c r="B290" s="9" t="s">
        <v>33</v>
      </c>
      <c r="C290" s="1" t="s">
        <v>143</v>
      </c>
      <c r="D290" s="10">
        <v>62.8</v>
      </c>
      <c r="E290" s="1">
        <v>24</v>
      </c>
      <c r="F290" s="10">
        <v>25.8</v>
      </c>
      <c r="G290" s="1">
        <v>18</v>
      </c>
      <c r="H290" s="10">
        <v>33.5</v>
      </c>
      <c r="I290" s="1">
        <v>17</v>
      </c>
      <c r="J290" s="10">
        <v>32.200000000000003</v>
      </c>
      <c r="K290" s="1">
        <v>39</v>
      </c>
      <c r="L290" s="10">
        <v>88.7</v>
      </c>
      <c r="M290" s="1">
        <v>9</v>
      </c>
      <c r="N290" s="14">
        <f t="shared" si="15"/>
        <v>105.01672240802675</v>
      </c>
      <c r="O290" s="14">
        <f t="shared" si="16"/>
        <v>92.473118279569903</v>
      </c>
      <c r="P290" s="14">
        <f t="shared" si="17"/>
        <v>99.112426035502963</v>
      </c>
      <c r="Q290" s="14">
        <f t="shared" si="18"/>
        <v>102.87539936102237</v>
      </c>
      <c r="R290" s="14">
        <f t="shared" si="19"/>
        <v>104.5990566037736</v>
      </c>
      <c r="S290" s="1" t="s">
        <v>202</v>
      </c>
      <c r="T290" s="1" t="s">
        <v>202</v>
      </c>
      <c r="U290" s="1" t="s">
        <v>202</v>
      </c>
      <c r="V290" s="1" t="s">
        <v>202</v>
      </c>
      <c r="W290" s="1" t="s">
        <v>202</v>
      </c>
      <c r="X290" s="1" t="s">
        <v>202</v>
      </c>
      <c r="Y290" s="1" t="s">
        <v>202</v>
      </c>
      <c r="Z290" s="1" t="s">
        <v>202</v>
      </c>
      <c r="AA290" s="1" t="s">
        <v>202</v>
      </c>
      <c r="AB290" s="1" t="s">
        <v>202</v>
      </c>
      <c r="AC290" s="1" t="s">
        <v>202</v>
      </c>
      <c r="AD290" s="1" t="s">
        <v>202</v>
      </c>
    </row>
    <row r="291" spans="1:30">
      <c r="A291" s="1">
        <v>2024</v>
      </c>
      <c r="B291" s="9" t="s">
        <v>35</v>
      </c>
      <c r="C291" s="1" t="s">
        <v>144</v>
      </c>
      <c r="D291" s="10">
        <v>58.4</v>
      </c>
      <c r="E291" s="1">
        <v>35</v>
      </c>
      <c r="F291" s="10">
        <v>16.7</v>
      </c>
      <c r="G291" s="1">
        <v>38</v>
      </c>
      <c r="H291" s="10">
        <v>32.4</v>
      </c>
      <c r="I291" s="1">
        <v>42</v>
      </c>
      <c r="J291" s="10">
        <v>32.200000000000003</v>
      </c>
      <c r="K291" s="1">
        <v>40</v>
      </c>
      <c r="L291" s="10">
        <v>86.8</v>
      </c>
      <c r="M291" s="1">
        <v>28</v>
      </c>
      <c r="N291" s="14">
        <f t="shared" si="15"/>
        <v>104.84739676840216</v>
      </c>
      <c r="O291" s="14">
        <f t="shared" si="16"/>
        <v>97.093023255813947</v>
      </c>
      <c r="P291" s="14">
        <f t="shared" si="17"/>
        <v>100.93457943925233</v>
      </c>
      <c r="Q291" s="14">
        <f t="shared" si="18"/>
        <v>100</v>
      </c>
      <c r="R291" s="14">
        <f t="shared" si="19"/>
        <v>104.9576783555018</v>
      </c>
      <c r="S291" s="1" t="s">
        <v>202</v>
      </c>
      <c r="T291" s="1" t="s">
        <v>202</v>
      </c>
      <c r="U291" s="1" t="s">
        <v>202</v>
      </c>
      <c r="V291" s="1" t="s">
        <v>202</v>
      </c>
      <c r="W291" s="1" t="s">
        <v>202</v>
      </c>
      <c r="X291" s="1" t="s">
        <v>202</v>
      </c>
      <c r="Y291" s="1" t="s">
        <v>202</v>
      </c>
      <c r="Z291" s="1" t="s">
        <v>202</v>
      </c>
      <c r="AA291" s="1" t="s">
        <v>202</v>
      </c>
      <c r="AB291" s="1" t="s">
        <v>202</v>
      </c>
      <c r="AC291" s="1" t="s">
        <v>202</v>
      </c>
      <c r="AD291" s="1" t="s">
        <v>202</v>
      </c>
    </row>
    <row r="292" spans="1:30">
      <c r="A292" s="1">
        <v>2024</v>
      </c>
      <c r="B292" s="9" t="s">
        <v>37</v>
      </c>
      <c r="C292" s="1" t="s">
        <v>145</v>
      </c>
      <c r="D292" s="10">
        <v>63.8</v>
      </c>
      <c r="E292" s="1">
        <v>20</v>
      </c>
      <c r="F292" s="10">
        <v>25.9</v>
      </c>
      <c r="G292" s="1">
        <v>17</v>
      </c>
      <c r="H292" s="10">
        <v>33.6</v>
      </c>
      <c r="I292" s="1">
        <v>13</v>
      </c>
      <c r="J292" s="10">
        <v>36</v>
      </c>
      <c r="K292" s="1">
        <v>11</v>
      </c>
      <c r="L292" s="10">
        <v>86.4</v>
      </c>
      <c r="M292" s="1">
        <v>34</v>
      </c>
      <c r="N292" s="14">
        <f t="shared" si="15"/>
        <v>103.40356564019449</v>
      </c>
      <c r="O292" s="14">
        <f t="shared" si="16"/>
        <v>93.840579710144922</v>
      </c>
      <c r="P292" s="14">
        <f t="shared" si="17"/>
        <v>100</v>
      </c>
      <c r="Q292" s="14">
        <f t="shared" si="18"/>
        <v>104.04624277456647</v>
      </c>
      <c r="R292" s="14">
        <f t="shared" si="19"/>
        <v>103.97111913357402</v>
      </c>
      <c r="S292" s="1" t="s">
        <v>202</v>
      </c>
      <c r="T292" s="1" t="s">
        <v>202</v>
      </c>
      <c r="U292" s="1" t="s">
        <v>202</v>
      </c>
      <c r="V292" s="1" t="s">
        <v>202</v>
      </c>
      <c r="W292" s="1" t="s">
        <v>202</v>
      </c>
      <c r="X292" s="1" t="s">
        <v>202</v>
      </c>
      <c r="Y292" s="1" t="s">
        <v>202</v>
      </c>
      <c r="Z292" s="1" t="s">
        <v>202</v>
      </c>
      <c r="AA292" s="1" t="s">
        <v>202</v>
      </c>
      <c r="AB292" s="1" t="s">
        <v>202</v>
      </c>
      <c r="AC292" s="1" t="s">
        <v>202</v>
      </c>
      <c r="AD292" s="1" t="s">
        <v>202</v>
      </c>
    </row>
    <row r="293" spans="1:30">
      <c r="A293" s="1">
        <v>2024</v>
      </c>
      <c r="B293" s="9" t="s">
        <v>39</v>
      </c>
      <c r="C293" s="1" t="s">
        <v>146</v>
      </c>
      <c r="D293" s="10">
        <v>57.4</v>
      </c>
      <c r="E293" s="1">
        <v>39</v>
      </c>
      <c r="F293" s="10">
        <v>14.5</v>
      </c>
      <c r="G293" s="1">
        <v>43</v>
      </c>
      <c r="H293" s="10">
        <v>32.9</v>
      </c>
      <c r="I293" s="1">
        <v>34</v>
      </c>
      <c r="J293" s="10">
        <v>31.8</v>
      </c>
      <c r="K293" s="1">
        <v>43</v>
      </c>
      <c r="L293" s="10">
        <v>87.3</v>
      </c>
      <c r="M293" s="1">
        <v>23</v>
      </c>
      <c r="N293" s="14">
        <f t="shared" si="15"/>
        <v>103.42342342342342</v>
      </c>
      <c r="O293" s="14">
        <f t="shared" si="16"/>
        <v>100</v>
      </c>
      <c r="P293" s="14">
        <f t="shared" si="17"/>
        <v>101.85758513931889</v>
      </c>
      <c r="Q293" s="14">
        <f t="shared" si="18"/>
        <v>97.546012269938657</v>
      </c>
      <c r="R293" s="14">
        <f t="shared" si="19"/>
        <v>104.17661097852029</v>
      </c>
      <c r="S293" s="1" t="s">
        <v>202</v>
      </c>
      <c r="T293" s="1" t="s">
        <v>202</v>
      </c>
      <c r="U293" s="1" t="s">
        <v>202</v>
      </c>
      <c r="V293" s="1" t="s">
        <v>202</v>
      </c>
      <c r="W293" s="1" t="s">
        <v>202</v>
      </c>
      <c r="X293" s="1" t="s">
        <v>202</v>
      </c>
      <c r="Y293" s="1" t="s">
        <v>202</v>
      </c>
      <c r="Z293" s="1" t="s">
        <v>202</v>
      </c>
      <c r="AA293" s="1" t="s">
        <v>202</v>
      </c>
      <c r="AB293" s="1" t="s">
        <v>202</v>
      </c>
      <c r="AC293" s="1" t="s">
        <v>202</v>
      </c>
      <c r="AD293" s="1" t="s">
        <v>202</v>
      </c>
    </row>
    <row r="294" spans="1:30">
      <c r="A294" s="1">
        <v>2024</v>
      </c>
      <c r="B294" s="9" t="s">
        <v>41</v>
      </c>
      <c r="C294" s="1" t="s">
        <v>147</v>
      </c>
      <c r="D294" s="10">
        <v>51</v>
      </c>
      <c r="E294" s="1">
        <v>47</v>
      </c>
      <c r="F294" s="10">
        <v>10.5</v>
      </c>
      <c r="G294" s="1">
        <v>47</v>
      </c>
      <c r="H294" s="10">
        <v>33.1</v>
      </c>
      <c r="I294" s="1">
        <v>28</v>
      </c>
      <c r="J294" s="10">
        <v>31.9</v>
      </c>
      <c r="K294" s="1">
        <v>42</v>
      </c>
      <c r="L294" s="10">
        <v>87.2</v>
      </c>
      <c r="M294" s="1">
        <v>25</v>
      </c>
      <c r="N294" s="14">
        <f t="shared" si="15"/>
        <v>106.02910602910602</v>
      </c>
      <c r="O294" s="14">
        <f t="shared" si="16"/>
        <v>108.24742268041238</v>
      </c>
      <c r="P294" s="14">
        <f t="shared" si="17"/>
        <v>99.698795180722882</v>
      </c>
      <c r="Q294" s="14">
        <f t="shared" si="18"/>
        <v>104.59016393442622</v>
      </c>
      <c r="R294" s="14">
        <f t="shared" si="19"/>
        <v>104.43113772455091</v>
      </c>
      <c r="S294" s="1" t="s">
        <v>202</v>
      </c>
      <c r="T294" s="1" t="s">
        <v>202</v>
      </c>
      <c r="U294" s="1" t="s">
        <v>202</v>
      </c>
      <c r="V294" s="1" t="s">
        <v>202</v>
      </c>
      <c r="W294" s="1" t="s">
        <v>202</v>
      </c>
      <c r="X294" s="1" t="s">
        <v>202</v>
      </c>
      <c r="Y294" s="1" t="s">
        <v>202</v>
      </c>
      <c r="Z294" s="1" t="s">
        <v>202</v>
      </c>
      <c r="AA294" s="1" t="s">
        <v>202</v>
      </c>
      <c r="AB294" s="1" t="s">
        <v>202</v>
      </c>
      <c r="AC294" s="1" t="s">
        <v>202</v>
      </c>
      <c r="AD294" s="1" t="s">
        <v>202</v>
      </c>
    </row>
    <row r="295" spans="1:30">
      <c r="A295" s="1">
        <v>2024</v>
      </c>
      <c r="B295" s="9" t="s">
        <v>43</v>
      </c>
      <c r="C295" s="1" t="s">
        <v>148</v>
      </c>
      <c r="D295" s="10">
        <v>51.6</v>
      </c>
      <c r="E295" s="1">
        <v>45</v>
      </c>
      <c r="F295" s="10">
        <v>17.2</v>
      </c>
      <c r="G295" s="1">
        <v>37</v>
      </c>
      <c r="H295" s="10">
        <v>32.9</v>
      </c>
      <c r="I295" s="1">
        <v>33</v>
      </c>
      <c r="J295" s="10">
        <v>32.4</v>
      </c>
      <c r="K295" s="1">
        <v>38</v>
      </c>
      <c r="L295" s="10">
        <v>87</v>
      </c>
      <c r="M295" s="1">
        <v>27</v>
      </c>
      <c r="N295" s="14">
        <f t="shared" si="15"/>
        <v>108.17610062893081</v>
      </c>
      <c r="O295" s="14">
        <f t="shared" si="16"/>
        <v>107.5</v>
      </c>
      <c r="P295" s="14">
        <f t="shared" si="17"/>
        <v>98.208955223880594</v>
      </c>
      <c r="Q295" s="14">
        <f t="shared" si="18"/>
        <v>100.62111801242236</v>
      </c>
      <c r="R295" s="14">
        <f t="shared" si="19"/>
        <v>104.31654676258992</v>
      </c>
      <c r="S295" s="1" t="s">
        <v>202</v>
      </c>
      <c r="T295" s="1" t="s">
        <v>202</v>
      </c>
      <c r="U295" s="1" t="s">
        <v>202</v>
      </c>
      <c r="V295" s="1" t="s">
        <v>202</v>
      </c>
      <c r="W295" s="1" t="s">
        <v>202</v>
      </c>
      <c r="X295" s="1" t="s">
        <v>202</v>
      </c>
      <c r="Y295" s="1" t="s">
        <v>202</v>
      </c>
      <c r="Z295" s="1" t="s">
        <v>202</v>
      </c>
      <c r="AA295" s="1" t="s">
        <v>202</v>
      </c>
      <c r="AB295" s="1" t="s">
        <v>202</v>
      </c>
      <c r="AC295" s="1" t="s">
        <v>202</v>
      </c>
      <c r="AD295" s="1" t="s">
        <v>202</v>
      </c>
    </row>
    <row r="296" spans="1:30">
      <c r="A296" s="1">
        <v>2024</v>
      </c>
      <c r="B296" s="9" t="s">
        <v>45</v>
      </c>
      <c r="C296" s="1" t="s">
        <v>149</v>
      </c>
      <c r="D296" s="10">
        <v>54.6</v>
      </c>
      <c r="E296" s="1">
        <v>42</v>
      </c>
      <c r="F296" s="10">
        <v>14.2</v>
      </c>
      <c r="G296" s="1">
        <v>44</v>
      </c>
      <c r="H296" s="10">
        <v>34</v>
      </c>
      <c r="I296" s="1">
        <v>8</v>
      </c>
      <c r="J296" s="10">
        <v>33.299999999999997</v>
      </c>
      <c r="K296" s="1">
        <v>31</v>
      </c>
      <c r="L296" s="10">
        <v>86.1</v>
      </c>
      <c r="M296" s="1">
        <v>37</v>
      </c>
      <c r="N296" s="14">
        <f t="shared" si="15"/>
        <v>101.48698884758365</v>
      </c>
      <c r="O296" s="14">
        <f t="shared" si="16"/>
        <v>122.41379310344827</v>
      </c>
      <c r="P296" s="14">
        <f t="shared" si="17"/>
        <v>98.83720930232559</v>
      </c>
      <c r="Q296" s="14">
        <f t="shared" si="18"/>
        <v>104.06249999999999</v>
      </c>
      <c r="R296" s="14">
        <f t="shared" si="19"/>
        <v>104.61725394896719</v>
      </c>
      <c r="S296" s="1" t="s">
        <v>202</v>
      </c>
      <c r="T296" s="1" t="s">
        <v>202</v>
      </c>
      <c r="U296" s="1" t="s">
        <v>202</v>
      </c>
      <c r="V296" s="1" t="s">
        <v>202</v>
      </c>
      <c r="W296" s="1" t="s">
        <v>202</v>
      </c>
      <c r="X296" s="1" t="s">
        <v>202</v>
      </c>
      <c r="Y296" s="1" t="s">
        <v>202</v>
      </c>
      <c r="Z296" s="1" t="s">
        <v>202</v>
      </c>
      <c r="AA296" s="1" t="s">
        <v>202</v>
      </c>
      <c r="AB296" s="1" t="s">
        <v>202</v>
      </c>
      <c r="AC296" s="1" t="s">
        <v>202</v>
      </c>
      <c r="AD296" s="1" t="s">
        <v>202</v>
      </c>
    </row>
    <row r="297" spans="1:30">
      <c r="A297" s="1">
        <v>2024</v>
      </c>
      <c r="B297" s="9" t="s">
        <v>47</v>
      </c>
      <c r="C297" s="1" t="s">
        <v>150</v>
      </c>
      <c r="D297" s="10">
        <v>51.8</v>
      </c>
      <c r="E297" s="1">
        <v>44</v>
      </c>
      <c r="F297" s="10">
        <v>13.8</v>
      </c>
      <c r="G297" s="1">
        <v>45</v>
      </c>
      <c r="H297" s="10">
        <v>32.799999999999997</v>
      </c>
      <c r="I297" s="1">
        <v>35</v>
      </c>
      <c r="J297" s="10">
        <v>32.9</v>
      </c>
      <c r="K297" s="1">
        <v>34</v>
      </c>
      <c r="L297" s="10">
        <v>86.5</v>
      </c>
      <c r="M297" s="1">
        <v>33</v>
      </c>
      <c r="N297" s="14">
        <f t="shared" si="15"/>
        <v>107.46887966804979</v>
      </c>
      <c r="O297" s="14">
        <f t="shared" si="16"/>
        <v>102.22222222222224</v>
      </c>
      <c r="P297" s="14">
        <f t="shared" si="17"/>
        <v>98.203592814371248</v>
      </c>
      <c r="Q297" s="14">
        <f t="shared" si="18"/>
        <v>103.1347962382445</v>
      </c>
      <c r="R297" s="14">
        <f t="shared" si="19"/>
        <v>104.72154963680389</v>
      </c>
      <c r="S297" s="1" t="s">
        <v>202</v>
      </c>
      <c r="T297" s="1" t="s">
        <v>202</v>
      </c>
      <c r="U297" s="1" t="s">
        <v>202</v>
      </c>
      <c r="V297" s="1" t="s">
        <v>202</v>
      </c>
      <c r="W297" s="1" t="s">
        <v>202</v>
      </c>
      <c r="X297" s="1" t="s">
        <v>202</v>
      </c>
      <c r="Y297" s="1" t="s">
        <v>202</v>
      </c>
      <c r="Z297" s="1" t="s">
        <v>202</v>
      </c>
      <c r="AA297" s="1" t="s">
        <v>202</v>
      </c>
      <c r="AB297" s="1" t="s">
        <v>202</v>
      </c>
      <c r="AC297" s="1" t="s">
        <v>202</v>
      </c>
      <c r="AD297" s="1" t="s">
        <v>202</v>
      </c>
    </row>
    <row r="298" spans="1:30">
      <c r="A298" s="1">
        <v>2024</v>
      </c>
      <c r="B298" s="9" t="s">
        <v>49</v>
      </c>
      <c r="C298" s="1" t="s">
        <v>151</v>
      </c>
      <c r="D298" s="10">
        <v>72.099999999999994</v>
      </c>
      <c r="E298" s="1">
        <v>4</v>
      </c>
      <c r="F298" s="10">
        <v>28.4</v>
      </c>
      <c r="G298" s="1">
        <v>12</v>
      </c>
      <c r="H298" s="10">
        <v>35.5</v>
      </c>
      <c r="I298" s="1">
        <v>1</v>
      </c>
      <c r="J298" s="10">
        <v>38.700000000000003</v>
      </c>
      <c r="K298" s="1">
        <v>2</v>
      </c>
      <c r="L298" s="10">
        <v>88.6</v>
      </c>
      <c r="M298" s="1">
        <v>10</v>
      </c>
      <c r="N298" s="14">
        <f t="shared" si="15"/>
        <v>102.41477272727271</v>
      </c>
      <c r="O298" s="14">
        <f t="shared" si="16"/>
        <v>117.35537190082643</v>
      </c>
      <c r="P298" s="14">
        <f t="shared" si="17"/>
        <v>103.80116959064327</v>
      </c>
      <c r="Q298" s="14">
        <f t="shared" si="18"/>
        <v>107.20221606648199</v>
      </c>
      <c r="R298" s="14">
        <f t="shared" si="19"/>
        <v>104.48113207547169</v>
      </c>
      <c r="S298" s="1" t="s">
        <v>202</v>
      </c>
      <c r="T298" s="1" t="s">
        <v>202</v>
      </c>
      <c r="U298" s="1" t="s">
        <v>202</v>
      </c>
      <c r="V298" s="1" t="s">
        <v>202</v>
      </c>
      <c r="W298" s="1" t="s">
        <v>202</v>
      </c>
      <c r="X298" s="1" t="s">
        <v>202</v>
      </c>
      <c r="Y298" s="1" t="s">
        <v>202</v>
      </c>
      <c r="Z298" s="1" t="s">
        <v>202</v>
      </c>
      <c r="AA298" s="1" t="s">
        <v>202</v>
      </c>
      <c r="AB298" s="1" t="s">
        <v>202</v>
      </c>
      <c r="AC298" s="1" t="s">
        <v>202</v>
      </c>
      <c r="AD298" s="1" t="s">
        <v>202</v>
      </c>
    </row>
    <row r="299" spans="1:30">
      <c r="A299" s="1">
        <v>2024</v>
      </c>
      <c r="B299" s="9" t="s">
        <v>51</v>
      </c>
      <c r="C299" s="1" t="s">
        <v>152</v>
      </c>
      <c r="D299" s="10">
        <v>73.7</v>
      </c>
      <c r="E299" s="1">
        <v>2</v>
      </c>
      <c r="F299" s="10">
        <v>28.4</v>
      </c>
      <c r="G299" s="1">
        <v>11</v>
      </c>
      <c r="H299" s="10">
        <v>33</v>
      </c>
      <c r="I299" s="1">
        <v>31</v>
      </c>
      <c r="J299" s="10">
        <v>38.4</v>
      </c>
      <c r="K299" s="1">
        <v>3</v>
      </c>
      <c r="L299" s="10">
        <v>87.5</v>
      </c>
      <c r="M299" s="1">
        <v>20</v>
      </c>
      <c r="N299" s="14">
        <f t="shared" si="15"/>
        <v>101.93637621023515</v>
      </c>
      <c r="O299" s="14">
        <f t="shared" si="16"/>
        <v>85.542168674698786</v>
      </c>
      <c r="P299" s="14">
        <f t="shared" si="17"/>
        <v>99.697885196374614</v>
      </c>
      <c r="Q299" s="14">
        <f t="shared" si="18"/>
        <v>99.740259740259745</v>
      </c>
      <c r="R299" s="14">
        <f t="shared" si="19"/>
        <v>104.41527446300715</v>
      </c>
      <c r="S299" s="1" t="s">
        <v>202</v>
      </c>
      <c r="T299" s="1" t="s">
        <v>202</v>
      </c>
      <c r="U299" s="1" t="s">
        <v>202</v>
      </c>
      <c r="V299" s="1" t="s">
        <v>202</v>
      </c>
      <c r="W299" s="1" t="s">
        <v>202</v>
      </c>
      <c r="X299" s="1" t="s">
        <v>202</v>
      </c>
      <c r="Y299" s="1" t="s">
        <v>202</v>
      </c>
      <c r="Z299" s="1" t="s">
        <v>202</v>
      </c>
      <c r="AA299" s="1" t="s">
        <v>202</v>
      </c>
      <c r="AB299" s="1" t="s">
        <v>202</v>
      </c>
      <c r="AC299" s="1" t="s">
        <v>202</v>
      </c>
      <c r="AD299" s="1" t="s">
        <v>202</v>
      </c>
    </row>
    <row r="300" spans="1:30">
      <c r="A300" s="1">
        <v>2024</v>
      </c>
      <c r="B300" s="9" t="s">
        <v>53</v>
      </c>
      <c r="C300" s="1" t="s">
        <v>153</v>
      </c>
      <c r="D300" s="10">
        <v>69.099999999999994</v>
      </c>
      <c r="E300" s="1">
        <v>8</v>
      </c>
      <c r="F300" s="10">
        <v>27.4</v>
      </c>
      <c r="G300" s="1">
        <v>13</v>
      </c>
      <c r="H300" s="10">
        <v>33.6</v>
      </c>
      <c r="I300" s="1">
        <v>16</v>
      </c>
      <c r="J300" s="10">
        <v>33.799999999999997</v>
      </c>
      <c r="K300" s="1">
        <v>27</v>
      </c>
      <c r="L300" s="10">
        <v>87.1</v>
      </c>
      <c r="M300" s="1">
        <v>26</v>
      </c>
      <c r="N300" s="14">
        <f t="shared" si="15"/>
        <v>103.13432835820895</v>
      </c>
      <c r="O300" s="14">
        <f t="shared" si="16"/>
        <v>99.63636363636364</v>
      </c>
      <c r="P300" s="14">
        <f t="shared" si="17"/>
        <v>100</v>
      </c>
      <c r="Q300" s="14">
        <f t="shared" si="18"/>
        <v>103.04878048780488</v>
      </c>
      <c r="R300" s="14">
        <f t="shared" si="19"/>
        <v>105.06634499396863</v>
      </c>
      <c r="S300" s="1" t="s">
        <v>202</v>
      </c>
      <c r="T300" s="1" t="s">
        <v>202</v>
      </c>
      <c r="U300" s="1" t="s">
        <v>202</v>
      </c>
      <c r="V300" s="1" t="s">
        <v>202</v>
      </c>
      <c r="W300" s="1" t="s">
        <v>202</v>
      </c>
      <c r="X300" s="1" t="s">
        <v>202</v>
      </c>
      <c r="Y300" s="1" t="s">
        <v>202</v>
      </c>
      <c r="Z300" s="1" t="s">
        <v>202</v>
      </c>
      <c r="AA300" s="1" t="s">
        <v>202</v>
      </c>
      <c r="AB300" s="1" t="s">
        <v>202</v>
      </c>
      <c r="AC300" s="1" t="s">
        <v>202</v>
      </c>
      <c r="AD300" s="1" t="s">
        <v>202</v>
      </c>
    </row>
    <row r="301" spans="1:30">
      <c r="A301" s="1">
        <v>2024</v>
      </c>
      <c r="B301" s="9" t="s">
        <v>55</v>
      </c>
      <c r="C301" s="1" t="s">
        <v>154</v>
      </c>
      <c r="D301" s="10">
        <v>69.900000000000006</v>
      </c>
      <c r="E301" s="1">
        <v>6</v>
      </c>
      <c r="F301" s="10">
        <v>22.7</v>
      </c>
      <c r="G301" s="1">
        <v>24</v>
      </c>
      <c r="H301" s="10">
        <v>32.799999999999997</v>
      </c>
      <c r="I301" s="1">
        <v>36</v>
      </c>
      <c r="J301" s="10">
        <v>32.799999999999997</v>
      </c>
      <c r="K301" s="1">
        <v>35</v>
      </c>
      <c r="L301" s="10">
        <v>86.2</v>
      </c>
      <c r="M301" s="1">
        <v>35</v>
      </c>
      <c r="N301" s="14">
        <f t="shared" si="15"/>
        <v>103.40236686390534</v>
      </c>
      <c r="O301" s="14">
        <f t="shared" si="16"/>
        <v>93.415637860082299</v>
      </c>
      <c r="P301" s="14">
        <f t="shared" si="17"/>
        <v>99.696048632218833</v>
      </c>
      <c r="Q301" s="14">
        <f t="shared" si="18"/>
        <v>97.619047619047606</v>
      </c>
      <c r="R301" s="14">
        <f t="shared" si="19"/>
        <v>105.37897310513449</v>
      </c>
      <c r="S301" s="1" t="s">
        <v>202</v>
      </c>
      <c r="T301" s="1" t="s">
        <v>202</v>
      </c>
      <c r="U301" s="1" t="s">
        <v>202</v>
      </c>
      <c r="V301" s="1" t="s">
        <v>202</v>
      </c>
      <c r="W301" s="1" t="s">
        <v>202</v>
      </c>
      <c r="X301" s="1" t="s">
        <v>202</v>
      </c>
      <c r="Y301" s="1" t="s">
        <v>202</v>
      </c>
      <c r="Z301" s="1" t="s">
        <v>202</v>
      </c>
      <c r="AA301" s="1" t="s">
        <v>202</v>
      </c>
      <c r="AB301" s="1" t="s">
        <v>202</v>
      </c>
      <c r="AC301" s="1" t="s">
        <v>202</v>
      </c>
      <c r="AD301" s="1" t="s">
        <v>202</v>
      </c>
    </row>
    <row r="302" spans="1:30">
      <c r="A302" s="1">
        <v>2024</v>
      </c>
      <c r="B302" s="9" t="s">
        <v>57</v>
      </c>
      <c r="C302" s="1" t="s">
        <v>155</v>
      </c>
      <c r="D302" s="10">
        <v>70.2</v>
      </c>
      <c r="E302" s="1">
        <v>5</v>
      </c>
      <c r="F302" s="10">
        <v>27.2</v>
      </c>
      <c r="G302" s="1">
        <v>14</v>
      </c>
      <c r="H302" s="10">
        <v>32.700000000000003</v>
      </c>
      <c r="I302" s="1">
        <v>37</v>
      </c>
      <c r="J302" s="10">
        <v>34.700000000000003</v>
      </c>
      <c r="K302" s="1">
        <v>20</v>
      </c>
      <c r="L302" s="10">
        <v>86.7</v>
      </c>
      <c r="M302" s="1">
        <v>31</v>
      </c>
      <c r="N302" s="14">
        <f t="shared" si="15"/>
        <v>101.73913043478262</v>
      </c>
      <c r="O302" s="14">
        <f t="shared" si="16"/>
        <v>120.88888888888889</v>
      </c>
      <c r="P302" s="14">
        <f t="shared" si="17"/>
        <v>98.493975903614455</v>
      </c>
      <c r="Q302" s="14">
        <f t="shared" si="18"/>
        <v>103.89221556886228</v>
      </c>
      <c r="R302" s="14">
        <f t="shared" si="19"/>
        <v>104.96368038740923</v>
      </c>
      <c r="S302" s="1" t="s">
        <v>202</v>
      </c>
      <c r="T302" s="1" t="s">
        <v>202</v>
      </c>
      <c r="U302" s="1" t="s">
        <v>202</v>
      </c>
      <c r="V302" s="1" t="s">
        <v>202</v>
      </c>
      <c r="W302" s="1" t="s">
        <v>202</v>
      </c>
      <c r="X302" s="1" t="s">
        <v>202</v>
      </c>
      <c r="Y302" s="1" t="s">
        <v>202</v>
      </c>
      <c r="Z302" s="1" t="s">
        <v>202</v>
      </c>
      <c r="AA302" s="1" t="s">
        <v>202</v>
      </c>
      <c r="AB302" s="1" t="s">
        <v>202</v>
      </c>
      <c r="AC302" s="1" t="s">
        <v>202</v>
      </c>
      <c r="AD302" s="1" t="s">
        <v>202</v>
      </c>
    </row>
    <row r="303" spans="1:30">
      <c r="A303" s="1">
        <v>2024</v>
      </c>
      <c r="B303" s="9" t="s">
        <v>59</v>
      </c>
      <c r="C303" s="1" t="s">
        <v>156</v>
      </c>
      <c r="D303" s="10">
        <v>65.900000000000006</v>
      </c>
      <c r="E303" s="1">
        <v>11</v>
      </c>
      <c r="F303" s="10">
        <v>25.3</v>
      </c>
      <c r="G303" s="1">
        <v>20</v>
      </c>
      <c r="H303" s="10">
        <v>33.4</v>
      </c>
      <c r="I303" s="1">
        <v>21</v>
      </c>
      <c r="J303" s="10">
        <v>35.299999999999997</v>
      </c>
      <c r="K303" s="1">
        <v>15</v>
      </c>
      <c r="L303" s="10">
        <v>87.9</v>
      </c>
      <c r="M303" s="1">
        <v>17</v>
      </c>
      <c r="N303" s="14">
        <f t="shared" si="15"/>
        <v>102.17054263565892</v>
      </c>
      <c r="O303" s="14">
        <f t="shared" si="16"/>
        <v>81.089743589743591</v>
      </c>
      <c r="P303" s="14">
        <f t="shared" si="17"/>
        <v>98.235294117647058</v>
      </c>
      <c r="Q303" s="14">
        <f t="shared" si="18"/>
        <v>97.513812154696126</v>
      </c>
      <c r="R303" s="14">
        <f t="shared" si="19"/>
        <v>103.90070921985817</v>
      </c>
      <c r="S303" s="1" t="s">
        <v>202</v>
      </c>
      <c r="T303" s="1" t="s">
        <v>202</v>
      </c>
      <c r="U303" s="1" t="s">
        <v>202</v>
      </c>
      <c r="V303" s="1" t="s">
        <v>202</v>
      </c>
      <c r="W303" s="1" t="s">
        <v>202</v>
      </c>
      <c r="X303" s="1" t="s">
        <v>202</v>
      </c>
      <c r="Y303" s="1" t="s">
        <v>202</v>
      </c>
      <c r="Z303" s="1" t="s">
        <v>202</v>
      </c>
      <c r="AA303" s="1" t="s">
        <v>202</v>
      </c>
      <c r="AB303" s="1" t="s">
        <v>202</v>
      </c>
      <c r="AC303" s="1" t="s">
        <v>202</v>
      </c>
      <c r="AD303" s="1" t="s">
        <v>202</v>
      </c>
    </row>
    <row r="304" spans="1:30">
      <c r="A304" s="1">
        <v>2024</v>
      </c>
      <c r="B304" s="9" t="s">
        <v>61</v>
      </c>
      <c r="C304" s="1" t="s">
        <v>157</v>
      </c>
      <c r="D304" s="10">
        <v>65.900000000000006</v>
      </c>
      <c r="E304" s="1">
        <v>10</v>
      </c>
      <c r="F304" s="10">
        <v>26.4</v>
      </c>
      <c r="G304" s="1">
        <v>16</v>
      </c>
      <c r="H304" s="10">
        <v>34.200000000000003</v>
      </c>
      <c r="I304" s="1">
        <v>6</v>
      </c>
      <c r="J304" s="10">
        <v>35.299999999999997</v>
      </c>
      <c r="K304" s="1">
        <v>14</v>
      </c>
      <c r="L304" s="10">
        <v>87.3</v>
      </c>
      <c r="M304" s="1">
        <v>24</v>
      </c>
      <c r="N304" s="14">
        <f t="shared" si="15"/>
        <v>100.61068702290076</v>
      </c>
      <c r="O304" s="14">
        <f t="shared" si="16"/>
        <v>107.31707317073169</v>
      </c>
      <c r="P304" s="14">
        <f t="shared" si="17"/>
        <v>98.275862068965537</v>
      </c>
      <c r="Q304" s="14">
        <f t="shared" si="18"/>
        <v>97.513812154696126</v>
      </c>
      <c r="R304" s="14">
        <f t="shared" si="19"/>
        <v>105.56227327690446</v>
      </c>
      <c r="S304" s="1" t="s">
        <v>202</v>
      </c>
      <c r="T304" s="1" t="s">
        <v>202</v>
      </c>
      <c r="U304" s="1" t="s">
        <v>202</v>
      </c>
      <c r="V304" s="1" t="s">
        <v>202</v>
      </c>
      <c r="W304" s="1" t="s">
        <v>202</v>
      </c>
      <c r="X304" s="1" t="s">
        <v>202</v>
      </c>
      <c r="Y304" s="1" t="s">
        <v>202</v>
      </c>
      <c r="Z304" s="1" t="s">
        <v>202</v>
      </c>
      <c r="AA304" s="1" t="s">
        <v>202</v>
      </c>
      <c r="AB304" s="1" t="s">
        <v>202</v>
      </c>
      <c r="AC304" s="1" t="s">
        <v>202</v>
      </c>
      <c r="AD304" s="1" t="s">
        <v>202</v>
      </c>
    </row>
    <row r="305" spans="1:30">
      <c r="A305" s="1">
        <v>2024</v>
      </c>
      <c r="B305" s="9" t="s">
        <v>63</v>
      </c>
      <c r="C305" s="1" t="s">
        <v>158</v>
      </c>
      <c r="D305" s="10">
        <v>62.8</v>
      </c>
      <c r="E305" s="1">
        <v>23</v>
      </c>
      <c r="F305" s="10">
        <v>18.8</v>
      </c>
      <c r="G305" s="1">
        <v>32</v>
      </c>
      <c r="H305" s="10">
        <v>34.299999999999997</v>
      </c>
      <c r="I305" s="1">
        <v>4</v>
      </c>
      <c r="J305" s="10">
        <v>35</v>
      </c>
      <c r="K305" s="1">
        <v>17</v>
      </c>
      <c r="L305" s="10">
        <v>87.5</v>
      </c>
      <c r="M305" s="1">
        <v>21</v>
      </c>
      <c r="N305" s="14">
        <f t="shared" si="15"/>
        <v>105.19262981574538</v>
      </c>
      <c r="O305" s="14">
        <f t="shared" si="16"/>
        <v>106.21468926553672</v>
      </c>
      <c r="P305" s="14">
        <f t="shared" si="17"/>
        <v>100</v>
      </c>
      <c r="Q305" s="14">
        <f t="shared" si="18"/>
        <v>101.15606936416184</v>
      </c>
      <c r="R305" s="14">
        <f t="shared" si="19"/>
        <v>104.41527446300715</v>
      </c>
      <c r="S305" s="1" t="s">
        <v>202</v>
      </c>
      <c r="T305" s="1" t="s">
        <v>202</v>
      </c>
      <c r="U305" s="1" t="s">
        <v>202</v>
      </c>
      <c r="V305" s="1" t="s">
        <v>202</v>
      </c>
      <c r="W305" s="1" t="s">
        <v>202</v>
      </c>
      <c r="X305" s="1" t="s">
        <v>202</v>
      </c>
      <c r="Y305" s="1" t="s">
        <v>202</v>
      </c>
      <c r="Z305" s="1" t="s">
        <v>202</v>
      </c>
      <c r="AA305" s="1" t="s">
        <v>202</v>
      </c>
      <c r="AB305" s="1" t="s">
        <v>202</v>
      </c>
      <c r="AC305" s="1" t="s">
        <v>202</v>
      </c>
      <c r="AD305" s="1" t="s">
        <v>202</v>
      </c>
    </row>
    <row r="306" spans="1:30">
      <c r="A306" s="1">
        <v>2024</v>
      </c>
      <c r="B306" s="9" t="s">
        <v>65</v>
      </c>
      <c r="C306" s="1" t="s">
        <v>159</v>
      </c>
      <c r="D306" s="10">
        <v>57.7</v>
      </c>
      <c r="E306" s="1">
        <v>38</v>
      </c>
      <c r="F306" s="10">
        <v>17.2</v>
      </c>
      <c r="G306" s="1">
        <v>36</v>
      </c>
      <c r="H306" s="10">
        <v>32.9</v>
      </c>
      <c r="I306" s="1">
        <v>32</v>
      </c>
      <c r="J306" s="10">
        <v>31.7</v>
      </c>
      <c r="K306" s="1">
        <v>44</v>
      </c>
      <c r="L306" s="10">
        <v>86.8</v>
      </c>
      <c r="M306" s="1">
        <v>29</v>
      </c>
      <c r="N306" s="14">
        <f t="shared" ref="N306:N330" si="20">D306/D259*100</f>
        <v>101.2280701754386</v>
      </c>
      <c r="O306" s="14">
        <f t="shared" ref="O306:O330" si="21">F306/F259*100</f>
        <v>102.38095238095238</v>
      </c>
      <c r="P306" s="14">
        <f t="shared" ref="P306:P330" si="22">H306/H259*100</f>
        <v>99.096385542168662</v>
      </c>
      <c r="Q306" s="14">
        <f t="shared" ref="Q306:Q330" si="23">J306/J259*100</f>
        <v>101.92926045016077</v>
      </c>
      <c r="R306" s="14">
        <f t="shared" ref="R306:R330" si="24">L306/L259*100</f>
        <v>105.08474576271188</v>
      </c>
      <c r="S306" s="1" t="s">
        <v>202</v>
      </c>
      <c r="T306" s="1" t="s">
        <v>202</v>
      </c>
      <c r="U306" s="1" t="s">
        <v>202</v>
      </c>
      <c r="V306" s="1" t="s">
        <v>202</v>
      </c>
      <c r="W306" s="1" t="s">
        <v>202</v>
      </c>
      <c r="X306" s="1" t="s">
        <v>202</v>
      </c>
      <c r="Y306" s="1" t="s">
        <v>202</v>
      </c>
      <c r="Z306" s="1" t="s">
        <v>202</v>
      </c>
      <c r="AA306" s="1" t="s">
        <v>202</v>
      </c>
      <c r="AB306" s="1" t="s">
        <v>202</v>
      </c>
      <c r="AC306" s="1" t="s">
        <v>202</v>
      </c>
      <c r="AD306" s="1" t="s">
        <v>202</v>
      </c>
    </row>
    <row r="307" spans="1:30">
      <c r="A307" s="1">
        <v>2024</v>
      </c>
      <c r="B307" s="9" t="s">
        <v>67</v>
      </c>
      <c r="C307" s="1" t="s">
        <v>160</v>
      </c>
      <c r="D307" s="10">
        <v>65.7</v>
      </c>
      <c r="E307" s="1">
        <v>13</v>
      </c>
      <c r="F307" s="10">
        <v>19.2</v>
      </c>
      <c r="G307" s="1">
        <v>30</v>
      </c>
      <c r="H307" s="10">
        <v>33.4</v>
      </c>
      <c r="I307" s="1">
        <v>19</v>
      </c>
      <c r="J307" s="10">
        <v>34.299999999999997</v>
      </c>
      <c r="K307" s="1">
        <v>23</v>
      </c>
      <c r="L307" s="10">
        <v>85.9</v>
      </c>
      <c r="M307" s="1">
        <v>39</v>
      </c>
      <c r="N307" s="14">
        <f t="shared" si="20"/>
        <v>101.702786377709</v>
      </c>
      <c r="O307" s="14">
        <f t="shared" si="21"/>
        <v>106.07734806629834</v>
      </c>
      <c r="P307" s="14">
        <f t="shared" si="22"/>
        <v>100</v>
      </c>
      <c r="Q307" s="14">
        <f t="shared" si="23"/>
        <v>98.563218390804593</v>
      </c>
      <c r="R307" s="14">
        <f t="shared" si="24"/>
        <v>104.6285018270402</v>
      </c>
      <c r="S307" s="1" t="s">
        <v>202</v>
      </c>
      <c r="T307" s="1" t="s">
        <v>202</v>
      </c>
      <c r="U307" s="1" t="s">
        <v>202</v>
      </c>
      <c r="V307" s="1" t="s">
        <v>202</v>
      </c>
      <c r="W307" s="1" t="s">
        <v>202</v>
      </c>
      <c r="X307" s="1" t="s">
        <v>202</v>
      </c>
      <c r="Y307" s="1" t="s">
        <v>202</v>
      </c>
      <c r="Z307" s="1" t="s">
        <v>202</v>
      </c>
      <c r="AA307" s="1" t="s">
        <v>202</v>
      </c>
      <c r="AB307" s="1" t="s">
        <v>202</v>
      </c>
      <c r="AC307" s="1" t="s">
        <v>202</v>
      </c>
      <c r="AD307" s="1" t="s">
        <v>202</v>
      </c>
    </row>
    <row r="308" spans="1:30">
      <c r="A308" s="1">
        <v>2024</v>
      </c>
      <c r="B308" s="9" t="s">
        <v>69</v>
      </c>
      <c r="C308" s="1" t="s">
        <v>161</v>
      </c>
      <c r="D308" s="10">
        <v>65</v>
      </c>
      <c r="E308" s="1">
        <v>15</v>
      </c>
      <c r="F308" s="10">
        <v>16.7</v>
      </c>
      <c r="G308" s="1">
        <v>39</v>
      </c>
      <c r="H308" s="10">
        <v>33.6</v>
      </c>
      <c r="I308" s="1">
        <v>14</v>
      </c>
      <c r="J308" s="10">
        <v>31.6</v>
      </c>
      <c r="K308" s="1">
        <v>46</v>
      </c>
      <c r="L308" s="10">
        <v>87.6</v>
      </c>
      <c r="M308" s="1">
        <v>19</v>
      </c>
      <c r="N308" s="14">
        <f t="shared" si="20"/>
        <v>103.83386581469649</v>
      </c>
      <c r="O308" s="14">
        <f t="shared" si="21"/>
        <v>85.641025641025635</v>
      </c>
      <c r="P308" s="14">
        <f t="shared" si="22"/>
        <v>99.408284023668642</v>
      </c>
      <c r="Q308" s="14">
        <f t="shared" si="23"/>
        <v>97.832817337461307</v>
      </c>
      <c r="R308" s="14">
        <f t="shared" si="24"/>
        <v>104.78468899521532</v>
      </c>
      <c r="S308" s="1" t="s">
        <v>202</v>
      </c>
      <c r="T308" s="1" t="s">
        <v>202</v>
      </c>
      <c r="U308" s="1" t="s">
        <v>202</v>
      </c>
      <c r="V308" s="1" t="s">
        <v>202</v>
      </c>
      <c r="W308" s="1" t="s">
        <v>202</v>
      </c>
      <c r="X308" s="1" t="s">
        <v>202</v>
      </c>
      <c r="Y308" s="1" t="s">
        <v>202</v>
      </c>
      <c r="Z308" s="1" t="s">
        <v>202</v>
      </c>
      <c r="AA308" s="1" t="s">
        <v>202</v>
      </c>
      <c r="AB308" s="1" t="s">
        <v>202</v>
      </c>
      <c r="AC308" s="1" t="s">
        <v>202</v>
      </c>
      <c r="AD308" s="1" t="s">
        <v>202</v>
      </c>
    </row>
    <row r="309" spans="1:30">
      <c r="A309" s="1">
        <v>2024</v>
      </c>
      <c r="B309" s="9" t="s">
        <v>71</v>
      </c>
      <c r="C309" s="1" t="s">
        <v>162</v>
      </c>
      <c r="D309" s="10">
        <v>64.099999999999994</v>
      </c>
      <c r="E309" s="1">
        <v>18</v>
      </c>
      <c r="F309" s="10">
        <v>17.899999999999999</v>
      </c>
      <c r="G309" s="1">
        <v>34</v>
      </c>
      <c r="H309" s="10">
        <v>33.6</v>
      </c>
      <c r="I309" s="1">
        <v>12</v>
      </c>
      <c r="J309" s="10">
        <v>31.3</v>
      </c>
      <c r="K309" s="1">
        <v>47</v>
      </c>
      <c r="L309" s="10">
        <v>84.9</v>
      </c>
      <c r="M309" s="1">
        <v>43</v>
      </c>
      <c r="N309" s="14">
        <f t="shared" si="20"/>
        <v>102.07006369426752</v>
      </c>
      <c r="O309" s="14">
        <f t="shared" si="21"/>
        <v>100.56179775280899</v>
      </c>
      <c r="P309" s="14">
        <f t="shared" si="22"/>
        <v>96.551724137931046</v>
      </c>
      <c r="Q309" s="14">
        <f t="shared" si="23"/>
        <v>102.62295081967214</v>
      </c>
      <c r="R309" s="14">
        <f t="shared" si="24"/>
        <v>105.72851805728519</v>
      </c>
      <c r="S309" s="1" t="s">
        <v>202</v>
      </c>
      <c r="T309" s="1" t="s">
        <v>202</v>
      </c>
      <c r="U309" s="1" t="s">
        <v>202</v>
      </c>
      <c r="V309" s="1" t="s">
        <v>202</v>
      </c>
      <c r="W309" s="1" t="s">
        <v>202</v>
      </c>
      <c r="X309" s="1" t="s">
        <v>202</v>
      </c>
      <c r="Y309" s="1" t="s">
        <v>202</v>
      </c>
      <c r="Z309" s="1" t="s">
        <v>202</v>
      </c>
      <c r="AA309" s="1" t="s">
        <v>202</v>
      </c>
      <c r="AB309" s="1" t="s">
        <v>202</v>
      </c>
      <c r="AC309" s="1" t="s">
        <v>202</v>
      </c>
      <c r="AD309" s="1" t="s">
        <v>202</v>
      </c>
    </row>
    <row r="310" spans="1:30">
      <c r="A310" s="1">
        <v>2024</v>
      </c>
      <c r="B310" s="9" t="s">
        <v>73</v>
      </c>
      <c r="C310" s="1" t="s">
        <v>163</v>
      </c>
      <c r="D310" s="10">
        <v>51.5</v>
      </c>
      <c r="E310" s="1">
        <v>46</v>
      </c>
      <c r="F310" s="10">
        <v>13.1</v>
      </c>
      <c r="G310" s="1">
        <v>46</v>
      </c>
      <c r="H310" s="10">
        <v>33.700000000000003</v>
      </c>
      <c r="I310" s="1">
        <v>10</v>
      </c>
      <c r="J310" s="10">
        <v>32.700000000000003</v>
      </c>
      <c r="K310" s="1">
        <v>37</v>
      </c>
      <c r="L310" s="10">
        <v>85</v>
      </c>
      <c r="M310" s="1">
        <v>40</v>
      </c>
      <c r="N310" s="14">
        <f t="shared" si="20"/>
        <v>102.58964143426294</v>
      </c>
      <c r="O310" s="14">
        <f t="shared" si="21"/>
        <v>94.927536231884048</v>
      </c>
      <c r="P310" s="14">
        <f t="shared" si="22"/>
        <v>98.826979472140764</v>
      </c>
      <c r="Q310" s="14">
        <f t="shared" si="23"/>
        <v>103.48101265822784</v>
      </c>
      <c r="R310" s="14">
        <f t="shared" si="24"/>
        <v>105.32837670384139</v>
      </c>
      <c r="S310" s="1" t="s">
        <v>202</v>
      </c>
      <c r="T310" s="1" t="s">
        <v>202</v>
      </c>
      <c r="U310" s="1" t="s">
        <v>202</v>
      </c>
      <c r="V310" s="1" t="s">
        <v>202</v>
      </c>
      <c r="W310" s="1" t="s">
        <v>202</v>
      </c>
      <c r="X310" s="1" t="s">
        <v>202</v>
      </c>
      <c r="Y310" s="1" t="s">
        <v>202</v>
      </c>
      <c r="Z310" s="1" t="s">
        <v>202</v>
      </c>
      <c r="AA310" s="1" t="s">
        <v>202</v>
      </c>
      <c r="AB310" s="1" t="s">
        <v>202</v>
      </c>
      <c r="AC310" s="1" t="s">
        <v>202</v>
      </c>
      <c r="AD310" s="1" t="s">
        <v>202</v>
      </c>
    </row>
    <row r="311" spans="1:30">
      <c r="A311" s="1">
        <v>2024</v>
      </c>
      <c r="B311" s="9" t="s">
        <v>75</v>
      </c>
      <c r="C311" s="1" t="s">
        <v>164</v>
      </c>
      <c r="D311" s="10">
        <v>57.9</v>
      </c>
      <c r="E311" s="1">
        <v>36</v>
      </c>
      <c r="F311" s="10">
        <v>15.4</v>
      </c>
      <c r="G311" s="1">
        <v>42</v>
      </c>
      <c r="H311" s="10">
        <v>33.6</v>
      </c>
      <c r="I311" s="1">
        <v>15</v>
      </c>
      <c r="J311" s="10">
        <v>33.299999999999997</v>
      </c>
      <c r="K311" s="1">
        <v>30</v>
      </c>
      <c r="L311" s="10">
        <v>86.5</v>
      </c>
      <c r="M311" s="1">
        <v>32</v>
      </c>
      <c r="N311" s="14">
        <f t="shared" si="20"/>
        <v>101.93661971830986</v>
      </c>
      <c r="O311" s="14">
        <f t="shared" si="21"/>
        <v>99.354838709677423</v>
      </c>
      <c r="P311" s="14">
        <f t="shared" si="22"/>
        <v>99.703264094955486</v>
      </c>
      <c r="Q311" s="14">
        <f t="shared" si="23"/>
        <v>101.52439024390243</v>
      </c>
      <c r="R311" s="14">
        <f t="shared" si="24"/>
        <v>104.97572815533979</v>
      </c>
      <c r="S311" s="1" t="s">
        <v>202</v>
      </c>
      <c r="T311" s="1" t="s">
        <v>202</v>
      </c>
      <c r="U311" s="1" t="s">
        <v>202</v>
      </c>
      <c r="V311" s="1" t="s">
        <v>202</v>
      </c>
      <c r="W311" s="1" t="s">
        <v>202</v>
      </c>
      <c r="X311" s="1" t="s">
        <v>202</v>
      </c>
      <c r="Y311" s="1" t="s">
        <v>202</v>
      </c>
      <c r="Z311" s="1" t="s">
        <v>202</v>
      </c>
      <c r="AA311" s="1" t="s">
        <v>202</v>
      </c>
      <c r="AB311" s="1" t="s">
        <v>202</v>
      </c>
      <c r="AC311" s="1" t="s">
        <v>202</v>
      </c>
      <c r="AD311" s="1" t="s">
        <v>202</v>
      </c>
    </row>
    <row r="312" spans="1:30">
      <c r="A312" s="1">
        <v>2024</v>
      </c>
      <c r="B312" s="9" t="s">
        <v>77</v>
      </c>
      <c r="C312" s="1" t="s">
        <v>165</v>
      </c>
      <c r="D312" s="10">
        <v>59</v>
      </c>
      <c r="E312" s="1">
        <v>32</v>
      </c>
      <c r="F312" s="10">
        <v>20.399999999999999</v>
      </c>
      <c r="G312" s="1">
        <v>27</v>
      </c>
      <c r="H312" s="10">
        <v>35.1</v>
      </c>
      <c r="I312" s="1">
        <v>3</v>
      </c>
      <c r="J312" s="10">
        <v>36.9</v>
      </c>
      <c r="K312" s="1">
        <v>8</v>
      </c>
      <c r="L312" s="10">
        <v>83.5</v>
      </c>
      <c r="M312" s="1">
        <v>46</v>
      </c>
      <c r="N312" s="14">
        <f t="shared" si="20"/>
        <v>104.79573712255774</v>
      </c>
      <c r="O312" s="14">
        <f t="shared" si="21"/>
        <v>98.076923076923066</v>
      </c>
      <c r="P312" s="14">
        <f t="shared" si="22"/>
        <v>98.873239436619713</v>
      </c>
      <c r="Q312" s="14">
        <f t="shared" si="23"/>
        <v>99.460916442048514</v>
      </c>
      <c r="R312" s="14">
        <f t="shared" si="24"/>
        <v>105.69620253164558</v>
      </c>
      <c r="S312" s="1" t="s">
        <v>202</v>
      </c>
      <c r="T312" s="1" t="s">
        <v>202</v>
      </c>
      <c r="U312" s="1" t="s">
        <v>202</v>
      </c>
      <c r="V312" s="1" t="s">
        <v>202</v>
      </c>
      <c r="W312" s="1" t="s">
        <v>202</v>
      </c>
      <c r="X312" s="1" t="s">
        <v>202</v>
      </c>
      <c r="Y312" s="1" t="s">
        <v>202</v>
      </c>
      <c r="Z312" s="1" t="s">
        <v>202</v>
      </c>
      <c r="AA312" s="1" t="s">
        <v>202</v>
      </c>
      <c r="AB312" s="1" t="s">
        <v>202</v>
      </c>
      <c r="AC312" s="1" t="s">
        <v>202</v>
      </c>
      <c r="AD312" s="1" t="s">
        <v>202</v>
      </c>
    </row>
    <row r="313" spans="1:30">
      <c r="A313" s="1">
        <v>2024</v>
      </c>
      <c r="B313" s="9" t="s">
        <v>79</v>
      </c>
      <c r="C313" s="1" t="s">
        <v>166</v>
      </c>
      <c r="D313" s="10">
        <v>61.5</v>
      </c>
      <c r="E313" s="1">
        <v>26</v>
      </c>
      <c r="F313" s="10">
        <v>16.7</v>
      </c>
      <c r="G313" s="1">
        <v>40</v>
      </c>
      <c r="H313" s="10">
        <v>34.299999999999997</v>
      </c>
      <c r="I313" s="1">
        <v>5</v>
      </c>
      <c r="J313" s="10">
        <v>34.700000000000003</v>
      </c>
      <c r="K313" s="1">
        <v>19</v>
      </c>
      <c r="L313" s="10">
        <v>84.3</v>
      </c>
      <c r="M313" s="1">
        <v>44</v>
      </c>
      <c r="N313" s="14">
        <f t="shared" si="20"/>
        <v>106.95652173913044</v>
      </c>
      <c r="O313" s="14">
        <f t="shared" si="21"/>
        <v>93.296089385474872</v>
      </c>
      <c r="P313" s="14">
        <f t="shared" si="22"/>
        <v>97.443181818181799</v>
      </c>
      <c r="Q313" s="14">
        <f t="shared" si="23"/>
        <v>106.11620795107032</v>
      </c>
      <c r="R313" s="14">
        <f t="shared" si="24"/>
        <v>105.63909774436091</v>
      </c>
      <c r="S313" s="1" t="s">
        <v>202</v>
      </c>
      <c r="T313" s="1" t="s">
        <v>202</v>
      </c>
      <c r="U313" s="1" t="s">
        <v>202</v>
      </c>
      <c r="V313" s="1" t="s">
        <v>202</v>
      </c>
      <c r="W313" s="1" t="s">
        <v>202</v>
      </c>
      <c r="X313" s="1" t="s">
        <v>202</v>
      </c>
      <c r="Y313" s="1" t="s">
        <v>202</v>
      </c>
      <c r="Z313" s="1" t="s">
        <v>202</v>
      </c>
      <c r="AA313" s="1" t="s">
        <v>202</v>
      </c>
      <c r="AB313" s="1" t="s">
        <v>202</v>
      </c>
      <c r="AC313" s="1" t="s">
        <v>202</v>
      </c>
      <c r="AD313" s="1" t="s">
        <v>202</v>
      </c>
    </row>
    <row r="314" spans="1:30">
      <c r="A314" s="1">
        <v>2024</v>
      </c>
      <c r="B314" s="9" t="s">
        <v>81</v>
      </c>
      <c r="C314" s="1" t="s">
        <v>167</v>
      </c>
      <c r="D314" s="10">
        <v>61.6</v>
      </c>
      <c r="E314" s="1">
        <v>25</v>
      </c>
      <c r="F314" s="10">
        <v>25.5</v>
      </c>
      <c r="G314" s="1">
        <v>19</v>
      </c>
      <c r="H314" s="10">
        <v>32.4</v>
      </c>
      <c r="I314" s="1">
        <v>41</v>
      </c>
      <c r="J314" s="10">
        <v>32</v>
      </c>
      <c r="K314" s="1">
        <v>41</v>
      </c>
      <c r="L314" s="10">
        <v>87.7</v>
      </c>
      <c r="M314" s="1">
        <v>18</v>
      </c>
      <c r="N314" s="14">
        <f t="shared" si="20"/>
        <v>106.20689655172416</v>
      </c>
      <c r="O314" s="14">
        <f t="shared" si="21"/>
        <v>108.05084745762711</v>
      </c>
      <c r="P314" s="14">
        <f t="shared" si="22"/>
        <v>96.142433234421361</v>
      </c>
      <c r="Q314" s="14">
        <f t="shared" si="23"/>
        <v>103.2258064516129</v>
      </c>
      <c r="R314" s="14">
        <f t="shared" si="24"/>
        <v>103.66430260047281</v>
      </c>
      <c r="S314" s="1" t="s">
        <v>202</v>
      </c>
      <c r="T314" s="1" t="s">
        <v>202</v>
      </c>
      <c r="U314" s="1" t="s">
        <v>202</v>
      </c>
      <c r="V314" s="1" t="s">
        <v>202</v>
      </c>
      <c r="W314" s="1" t="s">
        <v>202</v>
      </c>
      <c r="X314" s="1" t="s">
        <v>202</v>
      </c>
      <c r="Y314" s="1" t="s">
        <v>202</v>
      </c>
      <c r="Z314" s="1" t="s">
        <v>202</v>
      </c>
      <c r="AA314" s="1" t="s">
        <v>202</v>
      </c>
      <c r="AB314" s="1" t="s">
        <v>202</v>
      </c>
      <c r="AC314" s="1" t="s">
        <v>202</v>
      </c>
      <c r="AD314" s="1" t="s">
        <v>202</v>
      </c>
    </row>
    <row r="315" spans="1:30">
      <c r="A315" s="1">
        <v>2024</v>
      </c>
      <c r="B315" s="9" t="s">
        <v>83</v>
      </c>
      <c r="C315" s="1" t="s">
        <v>168</v>
      </c>
      <c r="D315" s="10">
        <v>72.400000000000006</v>
      </c>
      <c r="E315" s="1">
        <v>3</v>
      </c>
      <c r="F315" s="10">
        <v>39.5</v>
      </c>
      <c r="G315" s="1">
        <v>1</v>
      </c>
      <c r="H315" s="10">
        <v>33.5</v>
      </c>
      <c r="I315" s="1">
        <v>18</v>
      </c>
      <c r="J315" s="10">
        <v>34.5</v>
      </c>
      <c r="K315" s="1">
        <v>22</v>
      </c>
      <c r="L315" s="10">
        <v>89.7</v>
      </c>
      <c r="M315" s="1">
        <v>5</v>
      </c>
      <c r="N315" s="14">
        <f t="shared" si="20"/>
        <v>101.25874125874125</v>
      </c>
      <c r="O315" s="14">
        <f t="shared" si="21"/>
        <v>154.296875</v>
      </c>
      <c r="P315" s="14">
        <f t="shared" si="22"/>
        <v>100</v>
      </c>
      <c r="Q315" s="14">
        <f t="shared" si="23"/>
        <v>96.36871508379889</v>
      </c>
      <c r="R315" s="14">
        <f t="shared" si="24"/>
        <v>103.93974507531867</v>
      </c>
      <c r="S315" s="1" t="s">
        <v>202</v>
      </c>
      <c r="T315" s="1" t="s">
        <v>202</v>
      </c>
      <c r="U315" s="1" t="s">
        <v>202</v>
      </c>
      <c r="V315" s="1" t="s">
        <v>202</v>
      </c>
      <c r="W315" s="1" t="s">
        <v>202</v>
      </c>
      <c r="X315" s="1" t="s">
        <v>202</v>
      </c>
      <c r="Y315" s="1" t="s">
        <v>202</v>
      </c>
      <c r="Z315" s="1" t="s">
        <v>202</v>
      </c>
      <c r="AA315" s="1" t="s">
        <v>202</v>
      </c>
      <c r="AB315" s="1" t="s">
        <v>202</v>
      </c>
      <c r="AC315" s="1" t="s">
        <v>202</v>
      </c>
      <c r="AD315" s="1" t="s">
        <v>202</v>
      </c>
    </row>
    <row r="316" spans="1:30">
      <c r="A316" s="1">
        <v>2024</v>
      </c>
      <c r="B316" s="9" t="s">
        <v>85</v>
      </c>
      <c r="C316" s="1" t="s">
        <v>169</v>
      </c>
      <c r="D316" s="10">
        <v>66.2</v>
      </c>
      <c r="E316" s="1">
        <v>9</v>
      </c>
      <c r="F316" s="10">
        <v>34.799999999999997</v>
      </c>
      <c r="G316" s="1">
        <v>4</v>
      </c>
      <c r="H316" s="10">
        <v>32.200000000000003</v>
      </c>
      <c r="I316" s="1">
        <v>44</v>
      </c>
      <c r="J316" s="10">
        <v>38.9</v>
      </c>
      <c r="K316" s="1">
        <v>1</v>
      </c>
      <c r="L316" s="10">
        <v>85.9</v>
      </c>
      <c r="M316" s="1">
        <v>38</v>
      </c>
      <c r="N316" s="14">
        <f t="shared" si="20"/>
        <v>101.84615384615385</v>
      </c>
      <c r="O316" s="14">
        <f t="shared" si="21"/>
        <v>97.752808988764031</v>
      </c>
      <c r="P316" s="14">
        <f t="shared" si="22"/>
        <v>99.382716049382722</v>
      </c>
      <c r="Q316" s="14">
        <f t="shared" si="23"/>
        <v>101.56657963446476</v>
      </c>
      <c r="R316" s="14">
        <f t="shared" si="24"/>
        <v>105.01222493887532</v>
      </c>
      <c r="S316" s="1" t="s">
        <v>202</v>
      </c>
      <c r="T316" s="1" t="s">
        <v>202</v>
      </c>
      <c r="U316" s="1" t="s">
        <v>202</v>
      </c>
      <c r="V316" s="1" t="s">
        <v>202</v>
      </c>
      <c r="W316" s="1" t="s">
        <v>202</v>
      </c>
      <c r="X316" s="1" t="s">
        <v>202</v>
      </c>
      <c r="Y316" s="1" t="s">
        <v>202</v>
      </c>
      <c r="Z316" s="1" t="s">
        <v>202</v>
      </c>
      <c r="AA316" s="1" t="s">
        <v>202</v>
      </c>
      <c r="AB316" s="1" t="s">
        <v>202</v>
      </c>
      <c r="AC316" s="1" t="s">
        <v>202</v>
      </c>
      <c r="AD316" s="1" t="s">
        <v>202</v>
      </c>
    </row>
    <row r="317" spans="1:30">
      <c r="A317" s="1">
        <v>2024</v>
      </c>
      <c r="B317" s="9" t="s">
        <v>87</v>
      </c>
      <c r="C317" s="1" t="s">
        <v>170</v>
      </c>
      <c r="D317" s="10">
        <v>60.8</v>
      </c>
      <c r="E317" s="1">
        <v>27</v>
      </c>
      <c r="F317" s="10">
        <v>22.2</v>
      </c>
      <c r="G317" s="1">
        <v>25</v>
      </c>
      <c r="H317" s="10">
        <v>33.4</v>
      </c>
      <c r="I317" s="1">
        <v>20</v>
      </c>
      <c r="J317" s="10">
        <v>35.299999999999997</v>
      </c>
      <c r="K317" s="1">
        <v>16</v>
      </c>
      <c r="L317" s="10">
        <v>86.1</v>
      </c>
      <c r="M317" s="1">
        <v>36</v>
      </c>
      <c r="N317" s="14">
        <f t="shared" si="20"/>
        <v>102.52951096121417</v>
      </c>
      <c r="O317" s="14">
        <f t="shared" si="21"/>
        <v>103.73831775700934</v>
      </c>
      <c r="P317" s="14">
        <f t="shared" si="22"/>
        <v>100</v>
      </c>
      <c r="Q317" s="14">
        <f t="shared" si="23"/>
        <v>96.185286103542225</v>
      </c>
      <c r="R317" s="14">
        <f t="shared" si="24"/>
        <v>105.25672371638142</v>
      </c>
      <c r="S317" s="1" t="s">
        <v>202</v>
      </c>
      <c r="T317" s="1" t="s">
        <v>202</v>
      </c>
      <c r="U317" s="1" t="s">
        <v>202</v>
      </c>
      <c r="V317" s="1" t="s">
        <v>202</v>
      </c>
      <c r="W317" s="1" t="s">
        <v>202</v>
      </c>
      <c r="X317" s="1" t="s">
        <v>202</v>
      </c>
      <c r="Y317" s="1" t="s">
        <v>202</v>
      </c>
      <c r="Z317" s="1" t="s">
        <v>202</v>
      </c>
      <c r="AA317" s="1" t="s">
        <v>202</v>
      </c>
      <c r="AB317" s="1" t="s">
        <v>202</v>
      </c>
      <c r="AC317" s="1" t="s">
        <v>202</v>
      </c>
      <c r="AD317" s="1" t="s">
        <v>202</v>
      </c>
    </row>
    <row r="318" spans="1:30">
      <c r="A318" s="1">
        <v>2024</v>
      </c>
      <c r="B318" s="9" t="s">
        <v>89</v>
      </c>
      <c r="C318" s="1" t="s">
        <v>171</v>
      </c>
      <c r="D318" s="10">
        <v>60.8</v>
      </c>
      <c r="E318" s="1">
        <v>28</v>
      </c>
      <c r="F318" s="10">
        <v>19</v>
      </c>
      <c r="G318" s="1">
        <v>31</v>
      </c>
      <c r="H318" s="10">
        <v>32.4</v>
      </c>
      <c r="I318" s="1">
        <v>40</v>
      </c>
      <c r="J318" s="10">
        <v>33.299999999999997</v>
      </c>
      <c r="K318" s="1">
        <v>29</v>
      </c>
      <c r="L318" s="10">
        <v>88.2</v>
      </c>
      <c r="M318" s="1">
        <v>14</v>
      </c>
      <c r="N318" s="14">
        <f t="shared" si="20"/>
        <v>106.47985989492119</v>
      </c>
      <c r="O318" s="14">
        <f t="shared" si="21"/>
        <v>94.059405940594061</v>
      </c>
      <c r="P318" s="14">
        <f t="shared" si="22"/>
        <v>94.186046511627907</v>
      </c>
      <c r="Q318" s="14">
        <f t="shared" si="23"/>
        <v>98.813056379821944</v>
      </c>
      <c r="R318" s="14">
        <f t="shared" si="24"/>
        <v>104.25531914893618</v>
      </c>
      <c r="S318" s="1" t="s">
        <v>202</v>
      </c>
      <c r="T318" s="1" t="s">
        <v>202</v>
      </c>
      <c r="U318" s="1" t="s">
        <v>202</v>
      </c>
      <c r="V318" s="1" t="s">
        <v>202</v>
      </c>
      <c r="W318" s="1" t="s">
        <v>202</v>
      </c>
      <c r="X318" s="1" t="s">
        <v>202</v>
      </c>
      <c r="Y318" s="1" t="s">
        <v>202</v>
      </c>
      <c r="Z318" s="1" t="s">
        <v>202</v>
      </c>
      <c r="AA318" s="1" t="s">
        <v>202</v>
      </c>
      <c r="AB318" s="1" t="s">
        <v>202</v>
      </c>
      <c r="AC318" s="1" t="s">
        <v>202</v>
      </c>
      <c r="AD318" s="1" t="s">
        <v>202</v>
      </c>
    </row>
    <row r="319" spans="1:30">
      <c r="A319" s="1">
        <v>2024</v>
      </c>
      <c r="B319" s="9" t="s">
        <v>91</v>
      </c>
      <c r="C319" s="1" t="s">
        <v>172</v>
      </c>
      <c r="D319" s="10">
        <v>56.6</v>
      </c>
      <c r="E319" s="1">
        <v>40</v>
      </c>
      <c r="F319" s="10">
        <v>29</v>
      </c>
      <c r="G319" s="1">
        <v>10</v>
      </c>
      <c r="H319" s="10">
        <v>35.299999999999997</v>
      </c>
      <c r="I319" s="1">
        <v>2</v>
      </c>
      <c r="J319" s="10">
        <v>31.7</v>
      </c>
      <c r="K319" s="1">
        <v>45</v>
      </c>
      <c r="L319" s="10">
        <v>82.3</v>
      </c>
      <c r="M319" s="1">
        <v>47</v>
      </c>
      <c r="N319" s="14">
        <f t="shared" si="20"/>
        <v>99.298245614035082</v>
      </c>
      <c r="O319" s="14">
        <f t="shared" si="21"/>
        <v>106.61764705882352</v>
      </c>
      <c r="P319" s="14">
        <f t="shared" si="22"/>
        <v>98.603351955307261</v>
      </c>
      <c r="Q319" s="14">
        <f t="shared" si="23"/>
        <v>101.92926045016077</v>
      </c>
      <c r="R319" s="14">
        <f t="shared" si="24"/>
        <v>106.88311688311687</v>
      </c>
      <c r="S319" s="1" t="s">
        <v>202</v>
      </c>
      <c r="T319" s="1" t="s">
        <v>202</v>
      </c>
      <c r="U319" s="1" t="s">
        <v>202</v>
      </c>
      <c r="V319" s="1" t="s">
        <v>202</v>
      </c>
      <c r="W319" s="1" t="s">
        <v>202</v>
      </c>
      <c r="X319" s="1" t="s">
        <v>202</v>
      </c>
      <c r="Y319" s="1" t="s">
        <v>202</v>
      </c>
      <c r="Z319" s="1" t="s">
        <v>202</v>
      </c>
      <c r="AA319" s="1" t="s">
        <v>202</v>
      </c>
      <c r="AB319" s="1" t="s">
        <v>202</v>
      </c>
      <c r="AC319" s="1" t="s">
        <v>202</v>
      </c>
      <c r="AD319" s="1" t="s">
        <v>202</v>
      </c>
    </row>
    <row r="320" spans="1:30">
      <c r="A320" s="1">
        <v>2024</v>
      </c>
      <c r="B320" s="9" t="s">
        <v>93</v>
      </c>
      <c r="C320" s="1" t="s">
        <v>173</v>
      </c>
      <c r="D320" s="10">
        <v>57.9</v>
      </c>
      <c r="E320" s="1">
        <v>37</v>
      </c>
      <c r="F320" s="10">
        <v>34.5</v>
      </c>
      <c r="G320" s="1">
        <v>5</v>
      </c>
      <c r="H320" s="10">
        <v>33.200000000000003</v>
      </c>
      <c r="I320" s="1">
        <v>26</v>
      </c>
      <c r="J320" s="10">
        <v>34</v>
      </c>
      <c r="K320" s="1">
        <v>25</v>
      </c>
      <c r="L320" s="10">
        <v>84.9</v>
      </c>
      <c r="M320" s="1">
        <v>42</v>
      </c>
      <c r="N320" s="14">
        <f t="shared" si="20"/>
        <v>105.27272727272728</v>
      </c>
      <c r="O320" s="14">
        <f t="shared" si="21"/>
        <v>101.17302052785924</v>
      </c>
      <c r="P320" s="14">
        <f t="shared" si="22"/>
        <v>99.104477611940311</v>
      </c>
      <c r="Q320" s="14">
        <f t="shared" si="23"/>
        <v>104.61538461538463</v>
      </c>
      <c r="R320" s="14">
        <f t="shared" si="24"/>
        <v>105.33498759305213</v>
      </c>
      <c r="S320" s="1" t="s">
        <v>202</v>
      </c>
      <c r="T320" s="1" t="s">
        <v>202</v>
      </c>
      <c r="U320" s="1" t="s">
        <v>202</v>
      </c>
      <c r="V320" s="1" t="s">
        <v>202</v>
      </c>
      <c r="W320" s="1" t="s">
        <v>202</v>
      </c>
      <c r="X320" s="1" t="s">
        <v>202</v>
      </c>
      <c r="Y320" s="1" t="s">
        <v>202</v>
      </c>
      <c r="Z320" s="1" t="s">
        <v>202</v>
      </c>
      <c r="AA320" s="1" t="s">
        <v>202</v>
      </c>
      <c r="AB320" s="1" t="s">
        <v>202</v>
      </c>
      <c r="AC320" s="1" t="s">
        <v>202</v>
      </c>
      <c r="AD320" s="1" t="s">
        <v>202</v>
      </c>
    </row>
    <row r="321" spans="1:30">
      <c r="A321" s="1">
        <v>2024</v>
      </c>
      <c r="B321" s="9" t="s">
        <v>95</v>
      </c>
      <c r="C321" s="1" t="s">
        <v>174</v>
      </c>
      <c r="D321" s="10">
        <v>63.2</v>
      </c>
      <c r="E321" s="1">
        <v>22</v>
      </c>
      <c r="F321" s="10">
        <v>20.100000000000001</v>
      </c>
      <c r="G321" s="1">
        <v>28</v>
      </c>
      <c r="H321" s="10">
        <v>32.700000000000003</v>
      </c>
      <c r="I321" s="1">
        <v>38</v>
      </c>
      <c r="J321" s="10">
        <v>34.1</v>
      </c>
      <c r="K321" s="1">
        <v>24</v>
      </c>
      <c r="L321" s="10">
        <v>85</v>
      </c>
      <c r="M321" s="1">
        <v>41</v>
      </c>
      <c r="N321" s="14">
        <f t="shared" si="20"/>
        <v>100.31746031746032</v>
      </c>
      <c r="O321" s="14">
        <f t="shared" si="21"/>
        <v>104.68750000000003</v>
      </c>
      <c r="P321" s="14">
        <f t="shared" si="22"/>
        <v>98.493975903614455</v>
      </c>
      <c r="Q321" s="14">
        <f t="shared" si="23"/>
        <v>101.18694362017804</v>
      </c>
      <c r="R321" s="14">
        <f t="shared" si="24"/>
        <v>104.93827160493827</v>
      </c>
      <c r="S321" s="1" t="s">
        <v>202</v>
      </c>
      <c r="T321" s="1" t="s">
        <v>202</v>
      </c>
      <c r="U321" s="1" t="s">
        <v>202</v>
      </c>
      <c r="V321" s="1" t="s">
        <v>202</v>
      </c>
      <c r="W321" s="1" t="s">
        <v>202</v>
      </c>
      <c r="X321" s="1" t="s">
        <v>202</v>
      </c>
      <c r="Y321" s="1" t="s">
        <v>202</v>
      </c>
      <c r="Z321" s="1" t="s">
        <v>202</v>
      </c>
      <c r="AA321" s="1" t="s">
        <v>202</v>
      </c>
      <c r="AB321" s="1" t="s">
        <v>202</v>
      </c>
      <c r="AC321" s="1" t="s">
        <v>202</v>
      </c>
      <c r="AD321" s="1" t="s">
        <v>202</v>
      </c>
    </row>
    <row r="322" spans="1:30">
      <c r="A322" s="1">
        <v>2024</v>
      </c>
      <c r="B322" s="9" t="s">
        <v>97</v>
      </c>
      <c r="C322" s="1" t="s">
        <v>175</v>
      </c>
      <c r="D322" s="10">
        <v>69.099999999999994</v>
      </c>
      <c r="E322" s="1">
        <v>7</v>
      </c>
      <c r="F322" s="10">
        <v>17.899999999999999</v>
      </c>
      <c r="G322" s="1">
        <v>35</v>
      </c>
      <c r="H322" s="10">
        <v>31.1</v>
      </c>
      <c r="I322" s="1">
        <v>47</v>
      </c>
      <c r="J322" s="10">
        <v>34.9</v>
      </c>
      <c r="K322" s="1">
        <v>18</v>
      </c>
      <c r="L322" s="10">
        <v>83.8</v>
      </c>
      <c r="M322" s="1">
        <v>45</v>
      </c>
      <c r="N322" s="14">
        <f t="shared" si="20"/>
        <v>101.61764705882352</v>
      </c>
      <c r="O322" s="14">
        <f t="shared" si="21"/>
        <v>104.67836257309939</v>
      </c>
      <c r="P322" s="14">
        <f t="shared" si="22"/>
        <v>100.32258064516128</v>
      </c>
      <c r="Q322" s="14">
        <f t="shared" si="23"/>
        <v>116.72240802675586</v>
      </c>
      <c r="R322" s="14">
        <f t="shared" si="24"/>
        <v>105.94184576485462</v>
      </c>
      <c r="S322" s="1" t="s">
        <v>202</v>
      </c>
      <c r="T322" s="1" t="s">
        <v>202</v>
      </c>
      <c r="U322" s="1" t="s">
        <v>202</v>
      </c>
      <c r="V322" s="1" t="s">
        <v>202</v>
      </c>
      <c r="W322" s="1" t="s">
        <v>202</v>
      </c>
      <c r="X322" s="1" t="s">
        <v>202</v>
      </c>
      <c r="Y322" s="1" t="s">
        <v>202</v>
      </c>
      <c r="Z322" s="1" t="s">
        <v>202</v>
      </c>
      <c r="AA322" s="1" t="s">
        <v>202</v>
      </c>
      <c r="AB322" s="1" t="s">
        <v>202</v>
      </c>
      <c r="AC322" s="1" t="s">
        <v>202</v>
      </c>
      <c r="AD322" s="1" t="s">
        <v>202</v>
      </c>
    </row>
    <row r="323" spans="1:30">
      <c r="A323" s="1">
        <v>2024</v>
      </c>
      <c r="B323" s="9" t="s">
        <v>99</v>
      </c>
      <c r="C323" s="1" t="s">
        <v>176</v>
      </c>
      <c r="D323" s="10">
        <v>58.9</v>
      </c>
      <c r="E323" s="1">
        <v>33</v>
      </c>
      <c r="F323" s="10">
        <v>22.8</v>
      </c>
      <c r="G323" s="1">
        <v>23</v>
      </c>
      <c r="H323" s="10">
        <v>33.1</v>
      </c>
      <c r="I323" s="1">
        <v>29</v>
      </c>
      <c r="J323" s="10">
        <v>34.5</v>
      </c>
      <c r="K323" s="1">
        <v>21</v>
      </c>
      <c r="L323" s="10">
        <v>87.5</v>
      </c>
      <c r="M323" s="1">
        <v>22</v>
      </c>
      <c r="N323" s="14">
        <f t="shared" si="20"/>
        <v>101.72711571675302</v>
      </c>
      <c r="O323" s="14">
        <f t="shared" si="21"/>
        <v>106.04651162790697</v>
      </c>
      <c r="P323" s="14">
        <f t="shared" si="22"/>
        <v>97.067448680351902</v>
      </c>
      <c r="Q323" s="14">
        <f t="shared" si="23"/>
        <v>103.60360360360362</v>
      </c>
      <c r="R323" s="14">
        <f t="shared" si="24"/>
        <v>104.29082240762813</v>
      </c>
      <c r="S323" s="1" t="s">
        <v>202</v>
      </c>
      <c r="T323" s="1" t="s">
        <v>202</v>
      </c>
      <c r="U323" s="1" t="s">
        <v>202</v>
      </c>
      <c r="V323" s="1" t="s">
        <v>202</v>
      </c>
      <c r="W323" s="1" t="s">
        <v>202</v>
      </c>
      <c r="X323" s="1" t="s">
        <v>202</v>
      </c>
      <c r="Y323" s="1" t="s">
        <v>202</v>
      </c>
      <c r="Z323" s="1" t="s">
        <v>202</v>
      </c>
      <c r="AA323" s="1" t="s">
        <v>202</v>
      </c>
      <c r="AB323" s="1" t="s">
        <v>202</v>
      </c>
      <c r="AC323" s="1" t="s">
        <v>202</v>
      </c>
      <c r="AD323" s="1" t="s">
        <v>202</v>
      </c>
    </row>
    <row r="324" spans="1:30">
      <c r="A324" s="1">
        <v>2024</v>
      </c>
      <c r="B324" s="9" t="s">
        <v>101</v>
      </c>
      <c r="C324" s="1" t="s">
        <v>177</v>
      </c>
      <c r="D324" s="10">
        <v>59.3</v>
      </c>
      <c r="E324" s="1">
        <v>31</v>
      </c>
      <c r="F324" s="10">
        <v>24.6</v>
      </c>
      <c r="G324" s="1">
        <v>21</v>
      </c>
      <c r="H324" s="10">
        <v>33.299999999999997</v>
      </c>
      <c r="I324" s="1">
        <v>23</v>
      </c>
      <c r="J324" s="10">
        <v>36.9</v>
      </c>
      <c r="K324" s="1">
        <v>7</v>
      </c>
      <c r="L324" s="10">
        <v>88.7</v>
      </c>
      <c r="M324" s="1">
        <v>8</v>
      </c>
      <c r="N324" s="14">
        <f t="shared" si="20"/>
        <v>100.67911714770798</v>
      </c>
      <c r="O324" s="14">
        <f t="shared" si="21"/>
        <v>99.193548387096769</v>
      </c>
      <c r="P324" s="14">
        <f t="shared" si="22"/>
        <v>96.521739130434767</v>
      </c>
      <c r="Q324" s="14">
        <f t="shared" si="23"/>
        <v>106.03448275862068</v>
      </c>
      <c r="R324" s="14">
        <f t="shared" si="24"/>
        <v>104.23031727379555</v>
      </c>
      <c r="S324" s="1" t="s">
        <v>202</v>
      </c>
      <c r="T324" s="1" t="s">
        <v>202</v>
      </c>
      <c r="U324" s="1" t="s">
        <v>202</v>
      </c>
      <c r="V324" s="1" t="s">
        <v>202</v>
      </c>
      <c r="W324" s="1" t="s">
        <v>202</v>
      </c>
      <c r="X324" s="1" t="s">
        <v>202</v>
      </c>
      <c r="Y324" s="1" t="s">
        <v>202</v>
      </c>
      <c r="Z324" s="1" t="s">
        <v>202</v>
      </c>
      <c r="AA324" s="1" t="s">
        <v>202</v>
      </c>
      <c r="AB324" s="1" t="s">
        <v>202</v>
      </c>
      <c r="AC324" s="1" t="s">
        <v>202</v>
      </c>
      <c r="AD324" s="1" t="s">
        <v>202</v>
      </c>
    </row>
    <row r="325" spans="1:30">
      <c r="A325" s="1">
        <v>2024</v>
      </c>
      <c r="B325" s="9" t="s">
        <v>103</v>
      </c>
      <c r="C325" s="1" t="s">
        <v>178</v>
      </c>
      <c r="D325" s="10">
        <v>58.8</v>
      </c>
      <c r="E325" s="1">
        <v>34</v>
      </c>
      <c r="F325" s="10">
        <v>23.5</v>
      </c>
      <c r="G325" s="1">
        <v>22</v>
      </c>
      <c r="H325" s="10">
        <v>33.4</v>
      </c>
      <c r="I325" s="1">
        <v>22</v>
      </c>
      <c r="J325" s="10">
        <v>36.5</v>
      </c>
      <c r="K325" s="1">
        <v>9</v>
      </c>
      <c r="L325" s="10">
        <v>88.1</v>
      </c>
      <c r="M325" s="1">
        <v>15</v>
      </c>
      <c r="N325" s="14">
        <f t="shared" si="20"/>
        <v>99.156829679595276</v>
      </c>
      <c r="O325" s="14">
        <f t="shared" si="21"/>
        <v>91.796875</v>
      </c>
      <c r="P325" s="14">
        <f t="shared" si="22"/>
        <v>96.811594202898547</v>
      </c>
      <c r="Q325" s="14">
        <f t="shared" si="23"/>
        <v>107.98816568047339</v>
      </c>
      <c r="R325" s="14">
        <f t="shared" si="24"/>
        <v>104.01416765053129</v>
      </c>
      <c r="S325" s="1" t="s">
        <v>202</v>
      </c>
      <c r="T325" s="1" t="s">
        <v>202</v>
      </c>
      <c r="U325" s="1" t="s">
        <v>202</v>
      </c>
      <c r="V325" s="1" t="s">
        <v>202</v>
      </c>
      <c r="W325" s="1" t="s">
        <v>202</v>
      </c>
      <c r="X325" s="1" t="s">
        <v>202</v>
      </c>
      <c r="Y325" s="1" t="s">
        <v>202</v>
      </c>
      <c r="Z325" s="1" t="s">
        <v>202</v>
      </c>
      <c r="AA325" s="1" t="s">
        <v>202</v>
      </c>
      <c r="AB325" s="1" t="s">
        <v>202</v>
      </c>
      <c r="AC325" s="1" t="s">
        <v>202</v>
      </c>
      <c r="AD325" s="1" t="s">
        <v>202</v>
      </c>
    </row>
    <row r="326" spans="1:30">
      <c r="A326" s="1">
        <v>2024</v>
      </c>
      <c r="B326" s="9" t="s">
        <v>105</v>
      </c>
      <c r="C326" s="1" t="s">
        <v>179</v>
      </c>
      <c r="D326" s="10">
        <v>63.9</v>
      </c>
      <c r="E326" s="1">
        <v>19</v>
      </c>
      <c r="F326" s="10">
        <v>37.299999999999997</v>
      </c>
      <c r="G326" s="1">
        <v>2</v>
      </c>
      <c r="H326" s="10">
        <v>32.6</v>
      </c>
      <c r="I326" s="1">
        <v>39</v>
      </c>
      <c r="J326" s="10">
        <v>37.9</v>
      </c>
      <c r="K326" s="1">
        <v>5</v>
      </c>
      <c r="L326" s="10">
        <v>88.4</v>
      </c>
      <c r="M326" s="1">
        <v>12</v>
      </c>
      <c r="N326" s="14">
        <f t="shared" si="20"/>
        <v>99.68798751950078</v>
      </c>
      <c r="O326" s="14">
        <f t="shared" si="21"/>
        <v>97.38903394255874</v>
      </c>
      <c r="P326" s="14">
        <f t="shared" si="22"/>
        <v>95.882352941176478</v>
      </c>
      <c r="Q326" s="14">
        <f t="shared" si="23"/>
        <v>97.429305912596391</v>
      </c>
      <c r="R326" s="14">
        <f t="shared" si="24"/>
        <v>103.87779083431259</v>
      </c>
      <c r="S326" s="1" t="s">
        <v>202</v>
      </c>
      <c r="T326" s="1" t="s">
        <v>202</v>
      </c>
      <c r="U326" s="1" t="s">
        <v>202</v>
      </c>
      <c r="V326" s="1" t="s">
        <v>202</v>
      </c>
      <c r="W326" s="1" t="s">
        <v>202</v>
      </c>
      <c r="X326" s="1" t="s">
        <v>202</v>
      </c>
      <c r="Y326" s="1" t="s">
        <v>202</v>
      </c>
      <c r="Z326" s="1" t="s">
        <v>202</v>
      </c>
      <c r="AA326" s="1" t="s">
        <v>202</v>
      </c>
      <c r="AB326" s="1" t="s">
        <v>202</v>
      </c>
      <c r="AC326" s="1" t="s">
        <v>202</v>
      </c>
      <c r="AD326" s="1" t="s">
        <v>202</v>
      </c>
    </row>
    <row r="327" spans="1:30">
      <c r="A327" s="1">
        <v>2024</v>
      </c>
      <c r="B327" s="9" t="s">
        <v>107</v>
      </c>
      <c r="C327" s="1" t="s">
        <v>180</v>
      </c>
      <c r="D327" s="10">
        <v>64.8</v>
      </c>
      <c r="E327" s="1">
        <v>16</v>
      </c>
      <c r="F327" s="10">
        <v>34.9</v>
      </c>
      <c r="G327" s="1">
        <v>3</v>
      </c>
      <c r="H327" s="10">
        <v>33.200000000000003</v>
      </c>
      <c r="I327" s="1">
        <v>27</v>
      </c>
      <c r="J327" s="10">
        <v>38</v>
      </c>
      <c r="K327" s="1">
        <v>4</v>
      </c>
      <c r="L327" s="10">
        <v>86.8</v>
      </c>
      <c r="M327" s="1">
        <v>30</v>
      </c>
      <c r="N327" s="14">
        <f t="shared" si="20"/>
        <v>97.297297297297305</v>
      </c>
      <c r="O327" s="14">
        <f t="shared" si="21"/>
        <v>113.3116883116883</v>
      </c>
      <c r="P327" s="14">
        <f t="shared" si="22"/>
        <v>96.793002915451908</v>
      </c>
      <c r="Q327" s="14">
        <f t="shared" si="23"/>
        <v>101.33333333333334</v>
      </c>
      <c r="R327" s="14">
        <f t="shared" si="24"/>
        <v>104.83091787439614</v>
      </c>
      <c r="S327" s="1" t="s">
        <v>202</v>
      </c>
      <c r="T327" s="1" t="s">
        <v>202</v>
      </c>
      <c r="U327" s="1" t="s">
        <v>202</v>
      </c>
      <c r="V327" s="1" t="s">
        <v>202</v>
      </c>
      <c r="W327" s="1" t="s">
        <v>202</v>
      </c>
      <c r="X327" s="1" t="s">
        <v>202</v>
      </c>
      <c r="Y327" s="1" t="s">
        <v>202</v>
      </c>
      <c r="Z327" s="1" t="s">
        <v>202</v>
      </c>
      <c r="AA327" s="1" t="s">
        <v>202</v>
      </c>
      <c r="AB327" s="1" t="s">
        <v>202</v>
      </c>
      <c r="AC327" s="1" t="s">
        <v>202</v>
      </c>
      <c r="AD327" s="1" t="s">
        <v>202</v>
      </c>
    </row>
    <row r="328" spans="1:30">
      <c r="A328" s="1">
        <v>2024</v>
      </c>
      <c r="B328" s="9" t="s">
        <v>109</v>
      </c>
      <c r="C328" s="1" t="s">
        <v>181</v>
      </c>
      <c r="D328" s="10">
        <v>60.3</v>
      </c>
      <c r="E328" s="1">
        <v>29</v>
      </c>
      <c r="F328" s="10">
        <v>20</v>
      </c>
      <c r="G328" s="1">
        <v>29</v>
      </c>
      <c r="H328" s="10">
        <v>34.200000000000003</v>
      </c>
      <c r="I328" s="1">
        <v>7</v>
      </c>
      <c r="J328" s="10">
        <v>33.6</v>
      </c>
      <c r="K328" s="1">
        <v>28</v>
      </c>
      <c r="L328" s="10">
        <v>89.3</v>
      </c>
      <c r="M328" s="1">
        <v>7</v>
      </c>
      <c r="N328" s="14">
        <f t="shared" si="20"/>
        <v>100.33277870216307</v>
      </c>
      <c r="O328" s="14">
        <f t="shared" si="21"/>
        <v>96.618357487922708</v>
      </c>
      <c r="P328" s="14">
        <f t="shared" si="22"/>
        <v>99.130434782608702</v>
      </c>
      <c r="Q328" s="14">
        <f t="shared" si="23"/>
        <v>98.533724340175951</v>
      </c>
      <c r="R328" s="14">
        <f t="shared" si="24"/>
        <v>103.95809080325959</v>
      </c>
      <c r="S328" s="1" t="s">
        <v>202</v>
      </c>
      <c r="T328" s="1" t="s">
        <v>202</v>
      </c>
      <c r="U328" s="1" t="s">
        <v>202</v>
      </c>
      <c r="V328" s="1" t="s">
        <v>202</v>
      </c>
      <c r="W328" s="1" t="s">
        <v>202</v>
      </c>
      <c r="X328" s="1" t="s">
        <v>202</v>
      </c>
      <c r="Y328" s="1" t="s">
        <v>202</v>
      </c>
      <c r="Z328" s="1" t="s">
        <v>202</v>
      </c>
      <c r="AA328" s="1" t="s">
        <v>202</v>
      </c>
      <c r="AB328" s="1" t="s">
        <v>202</v>
      </c>
      <c r="AC328" s="1" t="s">
        <v>202</v>
      </c>
      <c r="AD328" s="1" t="s">
        <v>202</v>
      </c>
    </row>
    <row r="329" spans="1:30">
      <c r="A329" s="1">
        <v>2024</v>
      </c>
      <c r="B329" s="9" t="s">
        <v>111</v>
      </c>
      <c r="C329" s="1" t="s">
        <v>182</v>
      </c>
      <c r="D329" s="10">
        <v>54.1</v>
      </c>
      <c r="E329" s="1">
        <v>43</v>
      </c>
      <c r="F329" s="10">
        <v>18.3</v>
      </c>
      <c r="G329" s="1">
        <v>33</v>
      </c>
      <c r="H329" s="10">
        <v>33.6</v>
      </c>
      <c r="I329" s="1">
        <v>11</v>
      </c>
      <c r="J329" s="10">
        <v>37.799999999999997</v>
      </c>
      <c r="K329" s="1">
        <v>6</v>
      </c>
      <c r="L329" s="10">
        <v>90.2</v>
      </c>
      <c r="M329" s="1">
        <v>2</v>
      </c>
      <c r="N329" s="14">
        <f t="shared" si="20"/>
        <v>104.84496124031008</v>
      </c>
      <c r="O329" s="14">
        <f t="shared" si="21"/>
        <v>85.116279069767444</v>
      </c>
      <c r="P329" s="14">
        <f t="shared" si="22"/>
        <v>98.533724340175951</v>
      </c>
      <c r="Q329" s="14">
        <f t="shared" si="23"/>
        <v>96.923076923076906</v>
      </c>
      <c r="R329" s="14">
        <f t="shared" si="24"/>
        <v>103.08571428571429</v>
      </c>
      <c r="S329" s="1" t="s">
        <v>202</v>
      </c>
      <c r="T329" s="1" t="s">
        <v>202</v>
      </c>
      <c r="U329" s="1" t="s">
        <v>202</v>
      </c>
      <c r="V329" s="1" t="s">
        <v>202</v>
      </c>
      <c r="W329" s="1" t="s">
        <v>202</v>
      </c>
      <c r="X329" s="1" t="s">
        <v>202</v>
      </c>
      <c r="Y329" s="1" t="s">
        <v>202</v>
      </c>
      <c r="Z329" s="1" t="s">
        <v>202</v>
      </c>
      <c r="AA329" s="1" t="s">
        <v>202</v>
      </c>
      <c r="AB329" s="1" t="s">
        <v>202</v>
      </c>
      <c r="AC329" s="1" t="s">
        <v>202</v>
      </c>
      <c r="AD329" s="1" t="s">
        <v>202</v>
      </c>
    </row>
    <row r="330" spans="1:30">
      <c r="A330" s="1">
        <v>2024</v>
      </c>
      <c r="B330" s="9" t="s">
        <v>113</v>
      </c>
      <c r="C330" s="1" t="s">
        <v>183</v>
      </c>
      <c r="D330" s="10">
        <v>59.8</v>
      </c>
      <c r="E330" s="1">
        <v>30</v>
      </c>
      <c r="F330" s="10">
        <v>31.4</v>
      </c>
      <c r="G330" s="1">
        <v>7</v>
      </c>
      <c r="H330" s="10">
        <v>33.200000000000003</v>
      </c>
      <c r="I330" s="1">
        <v>25</v>
      </c>
      <c r="J330" s="10">
        <v>36</v>
      </c>
      <c r="K330" s="1">
        <v>10</v>
      </c>
      <c r="L330" s="10">
        <v>92.4</v>
      </c>
      <c r="M330" s="1">
        <v>1</v>
      </c>
      <c r="N330" s="14">
        <f t="shared" si="20"/>
        <v>99.33554817275747</v>
      </c>
      <c r="O330" s="14">
        <f t="shared" si="21"/>
        <v>109.02777777777777</v>
      </c>
      <c r="P330" s="14">
        <f t="shared" si="22"/>
        <v>97.935103244837777</v>
      </c>
      <c r="Q330" s="14">
        <f t="shared" si="23"/>
        <v>106.19469026548674</v>
      </c>
      <c r="R330" s="14">
        <f t="shared" si="24"/>
        <v>102.55271920088791</v>
      </c>
      <c r="S330" s="1" t="s">
        <v>202</v>
      </c>
      <c r="T330" s="1" t="s">
        <v>202</v>
      </c>
      <c r="U330" s="1" t="s">
        <v>202</v>
      </c>
      <c r="V330" s="1" t="s">
        <v>202</v>
      </c>
      <c r="W330" s="1" t="s">
        <v>202</v>
      </c>
      <c r="X330" s="1" t="s">
        <v>202</v>
      </c>
      <c r="Y330" s="1" t="s">
        <v>202</v>
      </c>
      <c r="Z330" s="1" t="s">
        <v>202</v>
      </c>
      <c r="AA330" s="1" t="s">
        <v>202</v>
      </c>
      <c r="AB330" s="1" t="s">
        <v>202</v>
      </c>
      <c r="AC330" s="1" t="s">
        <v>202</v>
      </c>
      <c r="AD330" s="1" t="s">
        <v>202</v>
      </c>
    </row>
  </sheetData>
  <autoFilter ref="A1:M330" xr:uid="{790B60C8-3BC1-4E65-9EA1-1DA34AEB70A2}">
    <sortState xmlns:xlrd2="http://schemas.microsoft.com/office/spreadsheetml/2017/richdata2" ref="A2:M330">
      <sortCondition ref="A2:A330"/>
      <sortCondition ref="B2:B330"/>
    </sortState>
  </autoFilter>
  <phoneticPr fontId="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04F3-D29D-4261-AE21-6C02867E9EDD}">
  <sheetPr filterMode="1"/>
  <dimension ref="A1:O481"/>
  <sheetViews>
    <sheetView zoomScale="120" zoomScaleNormal="120" workbookViewId="0">
      <pane ySplit="1" topLeftCell="A463" activePane="bottomLeft" state="frozen"/>
      <selection pane="bottomLeft" sqref="A1:O481"/>
    </sheetView>
  </sheetViews>
  <sheetFormatPr defaultRowHeight="18"/>
  <cols>
    <col min="1" max="1" width="10.375" bestFit="1" customWidth="1"/>
    <col min="2" max="2" width="8.625" style="11"/>
    <col min="4" max="8" width="11.25" customWidth="1"/>
    <col min="9" max="10" width="11.25" style="23" customWidth="1"/>
    <col min="11" max="11" width="8.25" style="23" bestFit="1" customWidth="1"/>
    <col min="12" max="13" width="8.125" style="23" bestFit="1" customWidth="1"/>
    <col min="14" max="15" width="8" style="23" customWidth="1"/>
  </cols>
  <sheetData>
    <row r="1" spans="1:15" ht="90">
      <c r="A1" s="15" t="s">
        <v>123</v>
      </c>
      <c r="B1" s="16" t="s">
        <v>203</v>
      </c>
      <c r="C1" s="16" t="s">
        <v>204</v>
      </c>
      <c r="D1" s="17" t="s">
        <v>186</v>
      </c>
      <c r="E1" s="17" t="s">
        <v>187</v>
      </c>
      <c r="F1" s="17" t="s">
        <v>188</v>
      </c>
      <c r="G1" s="17" t="s">
        <v>189</v>
      </c>
      <c r="H1" s="17" t="s">
        <v>190</v>
      </c>
      <c r="I1" s="18" t="s">
        <v>191</v>
      </c>
      <c r="J1" s="18" t="s">
        <v>192</v>
      </c>
      <c r="K1" s="19" t="s">
        <v>193</v>
      </c>
      <c r="L1" s="20" t="s">
        <v>194</v>
      </c>
      <c r="M1" s="20" t="s">
        <v>195</v>
      </c>
      <c r="N1" s="18" t="s">
        <v>196</v>
      </c>
      <c r="O1" s="18" t="s">
        <v>197</v>
      </c>
    </row>
    <row r="2" spans="1:15" hidden="1">
      <c r="A2" s="1">
        <v>2014</v>
      </c>
      <c r="B2" s="9" t="s">
        <v>205</v>
      </c>
      <c r="C2" s="1" t="s">
        <v>206</v>
      </c>
      <c r="D2" s="2">
        <v>166943.56394576791</v>
      </c>
      <c r="E2" s="2">
        <v>46378.544568956109</v>
      </c>
      <c r="F2" s="2">
        <v>97527.640238128748</v>
      </c>
      <c r="G2" s="2">
        <v>18221.146759597854</v>
      </c>
      <c r="H2" s="2">
        <v>4816.2323790851378</v>
      </c>
      <c r="I2" s="2">
        <v>14963.301951437659</v>
      </c>
      <c r="J2" s="2">
        <v>27712.799954395268</v>
      </c>
      <c r="K2" s="2"/>
      <c r="L2" s="2"/>
      <c r="M2" s="2"/>
      <c r="N2" s="2">
        <v>29.9</v>
      </c>
      <c r="O2" s="2">
        <v>1234</v>
      </c>
    </row>
    <row r="3" spans="1:15" hidden="1">
      <c r="A3" s="1">
        <v>2014</v>
      </c>
      <c r="B3" s="9" t="s">
        <v>207</v>
      </c>
      <c r="C3" s="1" t="s">
        <v>22</v>
      </c>
      <c r="D3" s="2">
        <v>184226.81522768218</v>
      </c>
      <c r="E3" s="2">
        <v>58222.15797676528</v>
      </c>
      <c r="F3" s="2">
        <v>102337.71318185417</v>
      </c>
      <c r="G3" s="2">
        <v>19492.338519139601</v>
      </c>
      <c r="H3" s="2">
        <v>4174.6055499231325</v>
      </c>
      <c r="I3" s="2">
        <v>20765.221389344078</v>
      </c>
      <c r="J3" s="2">
        <v>31095.249052346102</v>
      </c>
      <c r="K3" s="2"/>
      <c r="L3" s="2"/>
      <c r="M3" s="2"/>
      <c r="N3" s="2">
        <v>34.1</v>
      </c>
      <c r="O3" s="2">
        <v>1788.4</v>
      </c>
    </row>
    <row r="4" spans="1:15" hidden="1">
      <c r="A4" s="1">
        <v>2014</v>
      </c>
      <c r="B4" s="9" t="s">
        <v>23</v>
      </c>
      <c r="C4" s="1" t="s">
        <v>24</v>
      </c>
      <c r="D4" s="2">
        <v>166923.24313871661</v>
      </c>
      <c r="E4" s="2">
        <v>46213.120204141254</v>
      </c>
      <c r="F4" s="2">
        <v>100982.5703207959</v>
      </c>
      <c r="G4" s="2">
        <v>16325.938873082896</v>
      </c>
      <c r="H4" s="2">
        <v>3401.6137406965377</v>
      </c>
      <c r="I4" s="2">
        <v>16289.240684811093</v>
      </c>
      <c r="J4" s="2">
        <v>33413.81600272104</v>
      </c>
      <c r="K4" s="2"/>
      <c r="L4" s="2"/>
      <c r="M4" s="2"/>
      <c r="N4" s="2">
        <v>31.5</v>
      </c>
      <c r="O4" s="2">
        <v>1337.2</v>
      </c>
    </row>
    <row r="5" spans="1:15" hidden="1">
      <c r="A5" s="1">
        <v>2014</v>
      </c>
      <c r="B5" s="9" t="s">
        <v>25</v>
      </c>
      <c r="C5" s="1" t="s">
        <v>26</v>
      </c>
      <c r="D5" s="2">
        <v>165287.75756481788</v>
      </c>
      <c r="E5" s="2">
        <v>45815.562518226499</v>
      </c>
      <c r="F5" s="2">
        <v>97988.211116514532</v>
      </c>
      <c r="G5" s="2">
        <v>17698.109204661247</v>
      </c>
      <c r="H5" s="2">
        <v>3785.8747254155865</v>
      </c>
      <c r="I5" s="2">
        <v>14956.658299014225</v>
      </c>
      <c r="J5" s="2">
        <v>30659.526666481415</v>
      </c>
      <c r="K5" s="2"/>
      <c r="L5" s="2"/>
      <c r="M5" s="2"/>
      <c r="N5" s="2">
        <v>31.9</v>
      </c>
      <c r="O5" s="2">
        <v>1368.3</v>
      </c>
    </row>
    <row r="6" spans="1:15" hidden="1">
      <c r="A6" s="1">
        <v>2014</v>
      </c>
      <c r="B6" s="9" t="s">
        <v>27</v>
      </c>
      <c r="C6" s="1" t="s">
        <v>28</v>
      </c>
      <c r="D6" s="2">
        <v>167758.39335153575</v>
      </c>
      <c r="E6" s="2">
        <v>45983.209284659089</v>
      </c>
      <c r="F6" s="2">
        <v>100327.15593164807</v>
      </c>
      <c r="G6" s="2">
        <v>17136.535084222138</v>
      </c>
      <c r="H6" s="2">
        <v>4311.4930510064487</v>
      </c>
      <c r="I6" s="2">
        <v>14983.802504972677</v>
      </c>
      <c r="J6" s="2">
        <v>31980.126193264874</v>
      </c>
      <c r="K6" s="2"/>
      <c r="L6" s="2"/>
      <c r="M6" s="2"/>
      <c r="N6" s="2">
        <v>26.4</v>
      </c>
      <c r="O6" s="2">
        <v>1085.3</v>
      </c>
    </row>
    <row r="7" spans="1:15" hidden="1">
      <c r="A7" s="1">
        <v>2014</v>
      </c>
      <c r="B7" s="9" t="s">
        <v>29</v>
      </c>
      <c r="C7" s="1" t="s">
        <v>30</v>
      </c>
      <c r="D7" s="2">
        <v>183621.02557059331</v>
      </c>
      <c r="E7" s="2">
        <v>54225.568972755485</v>
      </c>
      <c r="F7" s="2">
        <v>107084.55054144637</v>
      </c>
      <c r="G7" s="2">
        <v>18225.687742598842</v>
      </c>
      <c r="H7" s="2">
        <v>4085.2183137926231</v>
      </c>
      <c r="I7" s="2">
        <v>18639.33813183257</v>
      </c>
      <c r="J7" s="2">
        <v>33251.271281745176</v>
      </c>
      <c r="K7" s="2"/>
      <c r="L7" s="2"/>
      <c r="M7" s="2"/>
      <c r="N7" s="2">
        <v>32.5</v>
      </c>
      <c r="O7" s="2">
        <v>1488.6</v>
      </c>
    </row>
    <row r="8" spans="1:15" hidden="1">
      <c r="A8" s="1">
        <v>2014</v>
      </c>
      <c r="B8" s="9" t="s">
        <v>31</v>
      </c>
      <c r="C8" s="1" t="s">
        <v>32</v>
      </c>
      <c r="D8" s="2">
        <v>167736.62555822855</v>
      </c>
      <c r="E8" s="2">
        <v>47215.411283899877</v>
      </c>
      <c r="F8" s="2">
        <v>99834.210374440765</v>
      </c>
      <c r="G8" s="2">
        <v>17136.024049621505</v>
      </c>
      <c r="H8" s="2">
        <v>3550.9798502664135</v>
      </c>
      <c r="I8" s="2">
        <v>14624.468683962858</v>
      </c>
      <c r="J8" s="2">
        <v>31896.25990726758</v>
      </c>
      <c r="K8" s="2"/>
      <c r="L8" s="2"/>
      <c r="M8" s="2"/>
      <c r="N8" s="2">
        <v>28</v>
      </c>
      <c r="O8" s="2">
        <v>1319.3</v>
      </c>
    </row>
    <row r="9" spans="1:15" hidden="1">
      <c r="A9" s="1">
        <v>2014</v>
      </c>
      <c r="B9" s="9" t="s">
        <v>33</v>
      </c>
      <c r="C9" s="1" t="s">
        <v>34</v>
      </c>
      <c r="D9" s="2">
        <v>165552.07695977361</v>
      </c>
      <c r="E9" s="2">
        <v>45431.386828886381</v>
      </c>
      <c r="F9" s="2">
        <v>99605.863342598241</v>
      </c>
      <c r="G9" s="2">
        <v>16681.865252067397</v>
      </c>
      <c r="H9" s="2">
        <v>3832.9615362215945</v>
      </c>
      <c r="I9" s="2">
        <v>15152.259514050813</v>
      </c>
      <c r="J9" s="2">
        <v>31995.958057209089</v>
      </c>
      <c r="K9" s="2"/>
      <c r="L9" s="2"/>
      <c r="M9" s="2"/>
      <c r="N9" s="2">
        <v>30.7</v>
      </c>
      <c r="O9" s="2">
        <v>1335.1</v>
      </c>
    </row>
    <row r="10" spans="1:15" hidden="1">
      <c r="A10" s="1">
        <v>2014</v>
      </c>
      <c r="B10" s="9" t="s">
        <v>35</v>
      </c>
      <c r="C10" s="1" t="s">
        <v>36</v>
      </c>
      <c r="D10" s="2">
        <v>158180.7281048701</v>
      </c>
      <c r="E10" s="2">
        <v>41545.222113858297</v>
      </c>
      <c r="F10" s="2">
        <v>96095.334620116089</v>
      </c>
      <c r="G10" s="2">
        <v>17009.326412780782</v>
      </c>
      <c r="H10" s="2">
        <v>3530.8449581149371</v>
      </c>
      <c r="I10" s="2">
        <v>13490.405079806391</v>
      </c>
      <c r="J10" s="2">
        <v>28247.204328698146</v>
      </c>
      <c r="K10" s="2"/>
      <c r="L10" s="2"/>
      <c r="M10" s="2"/>
      <c r="N10" s="2">
        <v>28.9</v>
      </c>
      <c r="O10" s="2">
        <v>1101.4000000000001</v>
      </c>
    </row>
    <row r="11" spans="1:15" hidden="1">
      <c r="A11" s="1">
        <v>2014</v>
      </c>
      <c r="B11" s="9" t="s">
        <v>37</v>
      </c>
      <c r="C11" s="1" t="s">
        <v>38</v>
      </c>
      <c r="D11" s="2">
        <v>161257.07014532931</v>
      </c>
      <c r="E11" s="2">
        <v>41418.37810079944</v>
      </c>
      <c r="F11" s="2">
        <v>98986.805838603061</v>
      </c>
      <c r="G11" s="2">
        <v>16624.554013535162</v>
      </c>
      <c r="H11" s="2">
        <v>4227.3321923916574</v>
      </c>
      <c r="I11" s="2">
        <v>13371.768678502236</v>
      </c>
      <c r="J11" s="2">
        <v>28451.152968706556</v>
      </c>
      <c r="K11" s="2"/>
      <c r="L11" s="2"/>
      <c r="M11" s="2"/>
      <c r="N11" s="2">
        <v>31.1</v>
      </c>
      <c r="O11" s="2">
        <v>1089.5</v>
      </c>
    </row>
    <row r="12" spans="1:15" hidden="1">
      <c r="A12" s="1">
        <v>2014</v>
      </c>
      <c r="B12" s="9" t="s">
        <v>39</v>
      </c>
      <c r="C12" s="1" t="s">
        <v>40</v>
      </c>
      <c r="D12" s="2">
        <v>162558.93077604414</v>
      </c>
      <c r="E12" s="2">
        <v>44605.003410950056</v>
      </c>
      <c r="F12" s="2">
        <v>96568.466607618277</v>
      </c>
      <c r="G12" s="2">
        <v>16929.537085349646</v>
      </c>
      <c r="H12" s="2">
        <v>4455.9236721261723</v>
      </c>
      <c r="I12" s="2">
        <v>13849.80212691664</v>
      </c>
      <c r="J12" s="2">
        <v>27817.813837729373</v>
      </c>
      <c r="K12" s="2"/>
      <c r="L12" s="2"/>
      <c r="M12" s="2"/>
      <c r="N12" s="2">
        <v>28.7</v>
      </c>
      <c r="O12" s="2">
        <v>1244.7</v>
      </c>
    </row>
    <row r="13" spans="1:15" hidden="1">
      <c r="A13" s="1">
        <v>2014</v>
      </c>
      <c r="B13" s="9" t="s">
        <v>41</v>
      </c>
      <c r="C13" s="1" t="s">
        <v>42</v>
      </c>
      <c r="D13" s="2">
        <v>158959.68844812963</v>
      </c>
      <c r="E13" s="2">
        <v>41674.79998266742</v>
      </c>
      <c r="F13" s="2">
        <v>94471.577052141569</v>
      </c>
      <c r="G13" s="2">
        <v>17980.019643585649</v>
      </c>
      <c r="H13" s="2">
        <v>4833.2917697349931</v>
      </c>
      <c r="I13" s="2">
        <v>13617.9077979458</v>
      </c>
      <c r="J13" s="2">
        <v>27209.224663940786</v>
      </c>
      <c r="K13" s="2"/>
      <c r="L13" s="2"/>
      <c r="M13" s="2"/>
      <c r="N13" s="2">
        <v>30</v>
      </c>
      <c r="O13" s="2">
        <v>857.3</v>
      </c>
    </row>
    <row r="14" spans="1:15" hidden="1">
      <c r="A14" s="1">
        <v>2014</v>
      </c>
      <c r="B14" s="9" t="s">
        <v>43</v>
      </c>
      <c r="C14" s="1" t="s">
        <v>44</v>
      </c>
      <c r="D14" s="2">
        <v>161909.80639947965</v>
      </c>
      <c r="E14" s="2">
        <v>42254.896628698822</v>
      </c>
      <c r="F14" s="2">
        <v>96847.848045381761</v>
      </c>
      <c r="G14" s="2">
        <v>18543.060975450491</v>
      </c>
      <c r="H14" s="2">
        <v>4264.000749948581</v>
      </c>
      <c r="I14" s="2">
        <v>14436.060429244639</v>
      </c>
      <c r="J14" s="2">
        <v>28306.99063297622</v>
      </c>
      <c r="K14" s="2"/>
      <c r="L14" s="2"/>
      <c r="M14" s="2"/>
      <c r="N14" s="2">
        <v>26.9</v>
      </c>
      <c r="O14" s="2">
        <v>938</v>
      </c>
    </row>
    <row r="15" spans="1:15" hidden="1">
      <c r="A15" s="1">
        <v>2014</v>
      </c>
      <c r="B15" s="9" t="s">
        <v>45</v>
      </c>
      <c r="C15" s="1" t="s">
        <v>46</v>
      </c>
      <c r="D15" s="2">
        <v>162730.37636371274</v>
      </c>
      <c r="E15" s="2">
        <v>41270.127675779993</v>
      </c>
      <c r="F15" s="2">
        <v>97306.99519638253</v>
      </c>
      <c r="G15" s="2">
        <v>19212.857293015164</v>
      </c>
      <c r="H15" s="2">
        <v>4940.3961985350688</v>
      </c>
      <c r="I15" s="2">
        <v>13326.254298851822</v>
      </c>
      <c r="J15" s="2">
        <v>25707.881051600409</v>
      </c>
      <c r="K15" s="2"/>
      <c r="L15" s="2"/>
      <c r="M15" s="2"/>
      <c r="N15" s="2">
        <v>23.1</v>
      </c>
      <c r="O15" s="2">
        <v>949.3</v>
      </c>
    </row>
    <row r="16" spans="1:15" hidden="1">
      <c r="A16" s="1">
        <v>2014</v>
      </c>
      <c r="B16" s="9" t="s">
        <v>47</v>
      </c>
      <c r="C16" s="1" t="s">
        <v>48</v>
      </c>
      <c r="D16" s="2">
        <v>165784.41875045147</v>
      </c>
      <c r="E16" s="2">
        <v>42636.632857778364</v>
      </c>
      <c r="F16" s="2">
        <v>99832.928916935838</v>
      </c>
      <c r="G16" s="2">
        <v>18888.201488381488</v>
      </c>
      <c r="H16" s="2">
        <v>4426.6554873557834</v>
      </c>
      <c r="I16" s="2">
        <v>14290.239222014221</v>
      </c>
      <c r="J16" s="2">
        <v>27555.165369464921</v>
      </c>
      <c r="K16" s="2"/>
      <c r="L16" s="2"/>
      <c r="M16" s="2"/>
      <c r="N16" s="2">
        <v>23</v>
      </c>
      <c r="O16" s="2">
        <v>814.9</v>
      </c>
    </row>
    <row r="17" spans="1:15" hidden="1">
      <c r="A17" s="1">
        <v>2014</v>
      </c>
      <c r="B17" s="9" t="s">
        <v>49</v>
      </c>
      <c r="C17" s="1" t="s">
        <v>50</v>
      </c>
      <c r="D17" s="2">
        <v>156856.3180336396</v>
      </c>
      <c r="E17" s="2">
        <v>42065.180077497469</v>
      </c>
      <c r="F17" s="2">
        <v>94185.166024303951</v>
      </c>
      <c r="G17" s="2">
        <v>17190.809203165303</v>
      </c>
      <c r="H17" s="2">
        <v>3415.1627286728767</v>
      </c>
      <c r="I17" s="2">
        <v>14850.938254487328</v>
      </c>
      <c r="J17" s="2">
        <v>27719.108853051894</v>
      </c>
      <c r="K17" s="2"/>
      <c r="L17" s="2"/>
      <c r="M17" s="2"/>
      <c r="N17" s="2">
        <v>32.1</v>
      </c>
      <c r="O17" s="2">
        <v>1256.5999999999999</v>
      </c>
    </row>
    <row r="18" spans="1:15" hidden="1">
      <c r="A18" s="1">
        <v>2014</v>
      </c>
      <c r="B18" s="9" t="s">
        <v>51</v>
      </c>
      <c r="C18" s="1" t="s">
        <v>52</v>
      </c>
      <c r="D18" s="2">
        <v>158219.41180754831</v>
      </c>
      <c r="E18" s="2">
        <v>45826.049810740849</v>
      </c>
      <c r="F18" s="2">
        <v>91379.975222410183</v>
      </c>
      <c r="G18" s="2">
        <v>16031.021305511576</v>
      </c>
      <c r="H18" s="2">
        <v>4982.365468885705</v>
      </c>
      <c r="I18" s="2">
        <v>14177.023993782537</v>
      </c>
      <c r="J18" s="2">
        <v>27706.593917484206</v>
      </c>
      <c r="K18" s="2"/>
      <c r="L18" s="2"/>
      <c r="M18" s="2"/>
      <c r="N18" s="2">
        <v>35</v>
      </c>
      <c r="O18" s="2">
        <v>1577.6</v>
      </c>
    </row>
    <row r="19" spans="1:15" hidden="1">
      <c r="A19" s="1">
        <v>2014</v>
      </c>
      <c r="B19" s="9" t="s">
        <v>53</v>
      </c>
      <c r="C19" s="1" t="s">
        <v>54</v>
      </c>
      <c r="D19" s="2">
        <v>166797.05241153672</v>
      </c>
      <c r="E19" s="2">
        <v>51147.554454281642</v>
      </c>
      <c r="F19" s="2">
        <v>95387.242375792193</v>
      </c>
      <c r="G19" s="2">
        <v>15837.683420687967</v>
      </c>
      <c r="H19" s="2">
        <v>4424.5721607749156</v>
      </c>
      <c r="I19" s="2">
        <v>16741.823846482046</v>
      </c>
      <c r="J19" s="2">
        <v>28387.953505228681</v>
      </c>
      <c r="K19" s="2"/>
      <c r="L19" s="2"/>
      <c r="M19" s="2"/>
      <c r="N19" s="2">
        <v>33.9</v>
      </c>
      <c r="O19" s="2">
        <v>1597.6</v>
      </c>
    </row>
    <row r="20" spans="1:15" hidden="1">
      <c r="A20" s="1">
        <v>2014</v>
      </c>
      <c r="B20" s="9" t="s">
        <v>55</v>
      </c>
      <c r="C20" s="1" t="s">
        <v>56</v>
      </c>
      <c r="D20" s="2">
        <v>166442.03805192176</v>
      </c>
      <c r="E20" s="2">
        <v>51568.067424163142</v>
      </c>
      <c r="F20" s="2">
        <v>94815.414569443004</v>
      </c>
      <c r="G20" s="2">
        <v>15594.9985920534</v>
      </c>
      <c r="H20" s="2">
        <v>4463.5574662622157</v>
      </c>
      <c r="I20" s="2">
        <v>16100.798523796873</v>
      </c>
      <c r="J20" s="2">
        <v>28604.166144247451</v>
      </c>
      <c r="K20" s="2"/>
      <c r="L20" s="2"/>
      <c r="M20" s="2"/>
      <c r="N20" s="2">
        <v>30.3</v>
      </c>
      <c r="O20" s="2">
        <v>1405.4</v>
      </c>
    </row>
    <row r="21" spans="1:15" hidden="1">
      <c r="A21" s="1">
        <v>2014</v>
      </c>
      <c r="B21" s="9" t="s">
        <v>57</v>
      </c>
      <c r="C21" s="1" t="s">
        <v>58</v>
      </c>
      <c r="D21" s="2">
        <v>166119.29770295418</v>
      </c>
      <c r="E21" s="2">
        <v>44941.715391461665</v>
      </c>
      <c r="F21" s="2">
        <v>99267.079640505559</v>
      </c>
      <c r="G21" s="2">
        <v>17299.454308133751</v>
      </c>
      <c r="H21" s="2">
        <v>4611.0483628532165</v>
      </c>
      <c r="I21" s="2">
        <v>12990.015982778634</v>
      </c>
      <c r="J21" s="2">
        <v>28898.003827752982</v>
      </c>
      <c r="K21" s="2"/>
      <c r="L21" s="2"/>
      <c r="M21" s="2"/>
      <c r="N21" s="2">
        <v>30.5</v>
      </c>
      <c r="O21" s="2">
        <v>1312.4</v>
      </c>
    </row>
    <row r="22" spans="1:15" hidden="1">
      <c r="A22" s="1">
        <v>2014</v>
      </c>
      <c r="B22" s="9" t="s">
        <v>59</v>
      </c>
      <c r="C22" s="1" t="s">
        <v>60</v>
      </c>
      <c r="D22" s="2">
        <v>154856.16310929903</v>
      </c>
      <c r="E22" s="2">
        <v>45720.48864189638</v>
      </c>
      <c r="F22" s="2">
        <v>89536.890510849626</v>
      </c>
      <c r="G22" s="2">
        <v>15374.995473241315</v>
      </c>
      <c r="H22" s="2">
        <v>4223.7884833117078</v>
      </c>
      <c r="I22" s="2">
        <v>14331.775929441843</v>
      </c>
      <c r="J22" s="2">
        <v>25824.708897752455</v>
      </c>
      <c r="K22" s="2"/>
      <c r="L22" s="2"/>
      <c r="M22" s="2"/>
      <c r="N22" s="2">
        <v>24.6</v>
      </c>
      <c r="O22" s="2">
        <v>1147</v>
      </c>
    </row>
    <row r="23" spans="1:15" hidden="1">
      <c r="A23" s="1">
        <v>2014</v>
      </c>
      <c r="B23" s="9" t="s">
        <v>61</v>
      </c>
      <c r="C23" s="1" t="s">
        <v>62</v>
      </c>
      <c r="D23" s="2">
        <v>163203.97624936682</v>
      </c>
      <c r="E23" s="2">
        <v>42473.410263014957</v>
      </c>
      <c r="F23" s="2">
        <v>97464.29767951036</v>
      </c>
      <c r="G23" s="2">
        <v>18359.312588544264</v>
      </c>
      <c r="H23" s="2">
        <v>4906.955718297233</v>
      </c>
      <c r="I23" s="2">
        <v>13912.526821905858</v>
      </c>
      <c r="J23" s="2">
        <v>27561.291549095702</v>
      </c>
      <c r="K23" s="2"/>
      <c r="L23" s="2"/>
      <c r="M23" s="2"/>
      <c r="N23" s="2">
        <v>25.3</v>
      </c>
      <c r="O23" s="2">
        <v>1015.5</v>
      </c>
    </row>
    <row r="24" spans="1:15" hidden="1">
      <c r="A24" s="1">
        <v>2014</v>
      </c>
      <c r="B24" s="9" t="s">
        <v>63</v>
      </c>
      <c r="C24" s="1" t="s">
        <v>64</v>
      </c>
      <c r="D24" s="2">
        <v>159682.81384729463</v>
      </c>
      <c r="E24" s="2">
        <v>41524.035221212922</v>
      </c>
      <c r="F24" s="2">
        <v>98231.510218836687</v>
      </c>
      <c r="G24" s="2">
        <v>16282.379379603462</v>
      </c>
      <c r="H24" s="2">
        <v>3644.8890276415505</v>
      </c>
      <c r="I24" s="2">
        <v>13492.882355900838</v>
      </c>
      <c r="J24" s="2">
        <v>27668.640433800389</v>
      </c>
      <c r="K24" s="2"/>
      <c r="L24" s="2"/>
      <c r="M24" s="2"/>
      <c r="N24" s="2">
        <v>28.9</v>
      </c>
      <c r="O24" s="2">
        <v>1045.2</v>
      </c>
    </row>
    <row r="25" spans="1:15" hidden="1">
      <c r="A25" s="1">
        <v>2014</v>
      </c>
      <c r="B25" s="9" t="s">
        <v>65</v>
      </c>
      <c r="C25" s="1" t="s">
        <v>66</v>
      </c>
      <c r="D25" s="2">
        <v>159463.53235665034</v>
      </c>
      <c r="E25" s="2">
        <v>40239.966038650775</v>
      </c>
      <c r="F25" s="2">
        <v>95731.210399652351</v>
      </c>
      <c r="G25" s="2">
        <v>19204.732651079907</v>
      </c>
      <c r="H25" s="2">
        <v>4287.6232672673023</v>
      </c>
      <c r="I25" s="2">
        <v>12858.739168540686</v>
      </c>
      <c r="J25" s="2">
        <v>25728.095239832572</v>
      </c>
      <c r="K25" s="2"/>
      <c r="L25" s="2"/>
      <c r="M25" s="2"/>
      <c r="N25" s="2">
        <v>25.1</v>
      </c>
      <c r="O25" s="2">
        <v>908.9</v>
      </c>
    </row>
    <row r="26" spans="1:15" hidden="1">
      <c r="A26" s="1">
        <v>2014</v>
      </c>
      <c r="B26" s="9" t="s">
        <v>67</v>
      </c>
      <c r="C26" s="1" t="s">
        <v>68</v>
      </c>
      <c r="D26" s="2">
        <v>159648.83961288995</v>
      </c>
      <c r="E26" s="2">
        <v>42691.322016290709</v>
      </c>
      <c r="F26" s="2">
        <v>95855.942709078852</v>
      </c>
      <c r="G26" s="2">
        <v>17350.783025636058</v>
      </c>
      <c r="H26" s="2">
        <v>3750.791861884325</v>
      </c>
      <c r="I26" s="2">
        <v>14073.19647237927</v>
      </c>
      <c r="J26" s="2">
        <v>27746.551821319707</v>
      </c>
      <c r="K26" s="2"/>
      <c r="L26" s="2"/>
      <c r="M26" s="2"/>
      <c r="N26" s="2">
        <v>30.5</v>
      </c>
      <c r="O26" s="2">
        <v>1125.2</v>
      </c>
    </row>
    <row r="27" spans="1:15" hidden="1">
      <c r="A27" s="1">
        <v>2014</v>
      </c>
      <c r="B27" s="9" t="s">
        <v>69</v>
      </c>
      <c r="C27" s="1" t="s">
        <v>70</v>
      </c>
      <c r="D27" s="2">
        <v>161979.67895570499</v>
      </c>
      <c r="E27" s="2">
        <v>48789.72074784751</v>
      </c>
      <c r="F27" s="2">
        <v>92305.986598912859</v>
      </c>
      <c r="G27" s="2">
        <v>16786.591226464363</v>
      </c>
      <c r="H27" s="2">
        <v>4097.3803824802553</v>
      </c>
      <c r="I27" s="2">
        <v>15266.53565659382</v>
      </c>
      <c r="J27" s="2">
        <v>27742.118412885055</v>
      </c>
      <c r="K27" s="2"/>
      <c r="L27" s="2"/>
      <c r="M27" s="2"/>
      <c r="N27" s="2">
        <v>26.6</v>
      </c>
      <c r="O27" s="2">
        <v>1028.3</v>
      </c>
    </row>
    <row r="28" spans="1:15" hidden="1">
      <c r="A28" s="1">
        <v>2014</v>
      </c>
      <c r="B28" s="9" t="s">
        <v>71</v>
      </c>
      <c r="C28" s="1" t="s">
        <v>72</v>
      </c>
      <c r="D28" s="2">
        <v>165145.9062010324</v>
      </c>
      <c r="E28" s="2">
        <v>46908.318814216851</v>
      </c>
      <c r="F28" s="2">
        <v>94568.86603194334</v>
      </c>
      <c r="G28" s="2">
        <v>17822.220034992395</v>
      </c>
      <c r="H28" s="2">
        <v>5846.5013198798251</v>
      </c>
      <c r="I28" s="2">
        <v>15250.73841699327</v>
      </c>
      <c r="J28" s="2">
        <v>25858.491100972413</v>
      </c>
      <c r="K28" s="2"/>
      <c r="L28" s="2"/>
      <c r="M28" s="2"/>
      <c r="N28" s="2">
        <v>30.2</v>
      </c>
      <c r="O28" s="2">
        <v>1374.8</v>
      </c>
    </row>
    <row r="29" spans="1:15" hidden="1">
      <c r="A29" s="1">
        <v>2014</v>
      </c>
      <c r="B29" s="9" t="s">
        <v>73</v>
      </c>
      <c r="C29" s="1" t="s">
        <v>74</v>
      </c>
      <c r="D29" s="2">
        <v>171281.88069215283</v>
      </c>
      <c r="E29" s="2">
        <v>45902.413611781762</v>
      </c>
      <c r="F29" s="2">
        <v>96695.972688564347</v>
      </c>
      <c r="G29" s="2">
        <v>20806.137821417113</v>
      </c>
      <c r="H29" s="2">
        <v>7877.3565703896011</v>
      </c>
      <c r="I29" s="2">
        <v>14769.40220805713</v>
      </c>
      <c r="J29" s="2">
        <v>26614.29724140566</v>
      </c>
      <c r="K29" s="2"/>
      <c r="L29" s="2"/>
      <c r="M29" s="2"/>
      <c r="N29" s="2">
        <v>27.9</v>
      </c>
      <c r="O29" s="2">
        <v>1219.7</v>
      </c>
    </row>
    <row r="30" spans="1:15" hidden="1">
      <c r="A30" s="1">
        <v>2014</v>
      </c>
      <c r="B30" s="9" t="s">
        <v>75</v>
      </c>
      <c r="C30" s="1" t="s">
        <v>76</v>
      </c>
      <c r="D30" s="2">
        <v>169113.75613157463</v>
      </c>
      <c r="E30" s="2">
        <v>46200.230644484422</v>
      </c>
      <c r="F30" s="2">
        <v>98502.582904822382</v>
      </c>
      <c r="G30" s="2">
        <v>19311.904570029274</v>
      </c>
      <c r="H30" s="2">
        <v>5099.0380122385614</v>
      </c>
      <c r="I30" s="2">
        <v>14697.83192554856</v>
      </c>
      <c r="J30" s="2">
        <v>27500.188978498853</v>
      </c>
      <c r="K30" s="2"/>
      <c r="L30" s="2"/>
      <c r="M30" s="2"/>
      <c r="N30" s="2">
        <v>27.8</v>
      </c>
      <c r="O30" s="2">
        <v>1179.0999999999999</v>
      </c>
    </row>
    <row r="31" spans="1:15" hidden="1">
      <c r="A31" s="1">
        <v>2014</v>
      </c>
      <c r="B31" s="9" t="s">
        <v>77</v>
      </c>
      <c r="C31" s="1" t="s">
        <v>78</v>
      </c>
      <c r="D31" s="2">
        <v>167258.60121405654</v>
      </c>
      <c r="E31" s="2">
        <v>47974.488284980798</v>
      </c>
      <c r="F31" s="2">
        <v>96240.161104375104</v>
      </c>
      <c r="G31" s="2">
        <v>17533.115521807751</v>
      </c>
      <c r="H31" s="2">
        <v>5510.8363028928952</v>
      </c>
      <c r="I31" s="2">
        <v>14806.138496884283</v>
      </c>
      <c r="J31" s="2">
        <v>28294.30160304319</v>
      </c>
      <c r="K31" s="2"/>
      <c r="L31" s="2"/>
      <c r="M31" s="2"/>
      <c r="N31" s="2">
        <v>27.7</v>
      </c>
      <c r="O31" s="2">
        <v>1213.7</v>
      </c>
    </row>
    <row r="32" spans="1:15" hidden="1">
      <c r="A32" s="1">
        <v>2014</v>
      </c>
      <c r="B32" s="9" t="s">
        <v>79</v>
      </c>
      <c r="C32" s="1" t="s">
        <v>80</v>
      </c>
      <c r="D32" s="2">
        <v>166438.82542633149</v>
      </c>
      <c r="E32" s="2">
        <v>43456.962676977462</v>
      </c>
      <c r="F32" s="2">
        <v>98884.024875504707</v>
      </c>
      <c r="G32" s="2">
        <v>18068.750555051643</v>
      </c>
      <c r="H32" s="2">
        <v>6029.087318797674</v>
      </c>
      <c r="I32" s="2">
        <v>14106.612433333192</v>
      </c>
      <c r="J32" s="2">
        <v>27659.57320651416</v>
      </c>
      <c r="K32" s="2"/>
      <c r="L32" s="2"/>
      <c r="M32" s="2"/>
      <c r="N32" s="2">
        <v>30.9</v>
      </c>
      <c r="O32" s="2">
        <v>1413.2</v>
      </c>
    </row>
    <row r="33" spans="1:15" hidden="1">
      <c r="A33" s="1">
        <v>2014</v>
      </c>
      <c r="B33" s="9" t="s">
        <v>81</v>
      </c>
      <c r="C33" s="1" t="s">
        <v>82</v>
      </c>
      <c r="D33" s="2">
        <v>164767.77468906858</v>
      </c>
      <c r="E33" s="2">
        <v>50193.383184753686</v>
      </c>
      <c r="F33" s="2">
        <v>94397.981348787944</v>
      </c>
      <c r="G33" s="2">
        <v>17186.280964217473</v>
      </c>
      <c r="H33" s="2">
        <v>2990.1291913094801</v>
      </c>
      <c r="I33" s="2">
        <v>15943.723696393241</v>
      </c>
      <c r="J33" s="2">
        <v>26027.21827909477</v>
      </c>
      <c r="K33" s="2"/>
      <c r="L33" s="2"/>
      <c r="M33" s="2"/>
      <c r="N33" s="2">
        <v>30.4</v>
      </c>
      <c r="O33" s="2">
        <v>1519.5</v>
      </c>
    </row>
    <row r="34" spans="1:15" hidden="1">
      <c r="A34" s="1">
        <v>2014</v>
      </c>
      <c r="B34" s="9" t="s">
        <v>83</v>
      </c>
      <c r="C34" s="1" t="s">
        <v>84</v>
      </c>
      <c r="D34" s="2">
        <v>173533.06430751507</v>
      </c>
      <c r="E34" s="2">
        <v>54284.668239397652</v>
      </c>
      <c r="F34" s="2">
        <v>99715.411076660501</v>
      </c>
      <c r="G34" s="2">
        <v>15874.566997921924</v>
      </c>
      <c r="H34" s="2">
        <v>3658.4179935349885</v>
      </c>
      <c r="I34" s="2">
        <v>17061.263887729107</v>
      </c>
      <c r="J34" s="2">
        <v>28345.355320659539</v>
      </c>
      <c r="K34" s="2"/>
      <c r="L34" s="2"/>
      <c r="M34" s="2"/>
      <c r="N34" s="2">
        <v>31.1</v>
      </c>
      <c r="O34" s="2">
        <v>1578.6</v>
      </c>
    </row>
    <row r="35" spans="1:15" hidden="1">
      <c r="A35" s="1">
        <v>2014</v>
      </c>
      <c r="B35" s="9" t="s">
        <v>85</v>
      </c>
      <c r="C35" s="1" t="s">
        <v>86</v>
      </c>
      <c r="D35" s="2">
        <v>171896.27409068064</v>
      </c>
      <c r="E35" s="2">
        <v>48042.639036701978</v>
      </c>
      <c r="F35" s="2">
        <v>100767.18166587694</v>
      </c>
      <c r="G35" s="2">
        <v>19063.56029936027</v>
      </c>
      <c r="H35" s="2">
        <v>4022.8930887414499</v>
      </c>
      <c r="I35" s="2">
        <v>14682.577509360341</v>
      </c>
      <c r="J35" s="2">
        <v>28558.816326263786</v>
      </c>
      <c r="K35" s="2"/>
      <c r="L35" s="2"/>
      <c r="M35" s="2"/>
      <c r="N35" s="2">
        <v>28.8</v>
      </c>
      <c r="O35" s="2">
        <v>1511.9</v>
      </c>
    </row>
    <row r="36" spans="1:15" hidden="1">
      <c r="A36" s="1">
        <v>2014</v>
      </c>
      <c r="B36" s="9" t="s">
        <v>87</v>
      </c>
      <c r="C36" s="1" t="s">
        <v>88</v>
      </c>
      <c r="D36" s="2">
        <v>169712.91891613344</v>
      </c>
      <c r="E36" s="2">
        <v>46435.216626776732</v>
      </c>
      <c r="F36" s="2">
        <v>100713.76882723586</v>
      </c>
      <c r="G36" s="2">
        <v>18511.896009378204</v>
      </c>
      <c r="H36" s="2">
        <v>4052.037452742637</v>
      </c>
      <c r="I36" s="2">
        <v>14815.895776818261</v>
      </c>
      <c r="J36" s="2">
        <v>28273.53720136817</v>
      </c>
      <c r="K36" s="2"/>
      <c r="L36" s="2"/>
      <c r="M36" s="2"/>
      <c r="N36" s="2">
        <v>32.799999999999997</v>
      </c>
      <c r="O36" s="2">
        <v>1426.7</v>
      </c>
    </row>
    <row r="37" spans="1:15" hidden="1">
      <c r="A37" s="1">
        <v>2014</v>
      </c>
      <c r="B37" s="9" t="s">
        <v>89</v>
      </c>
      <c r="C37" s="1" t="s">
        <v>90</v>
      </c>
      <c r="D37" s="2">
        <v>177604.64378239925</v>
      </c>
      <c r="E37" s="2">
        <v>52178.061634806494</v>
      </c>
      <c r="F37" s="2">
        <v>103209.54793491479</v>
      </c>
      <c r="G37" s="2">
        <v>18132.541816179499</v>
      </c>
      <c r="H37" s="2">
        <v>4084.4923964984546</v>
      </c>
      <c r="I37" s="2">
        <v>17977.046847998201</v>
      </c>
      <c r="J37" s="2">
        <v>28910.40421800422</v>
      </c>
      <c r="K37" s="2"/>
      <c r="L37" s="2"/>
      <c r="M37" s="2"/>
      <c r="N37" s="2">
        <v>43.4</v>
      </c>
      <c r="O37" s="2">
        <v>1926.1</v>
      </c>
    </row>
    <row r="38" spans="1:15" hidden="1">
      <c r="A38" s="1">
        <v>2014</v>
      </c>
      <c r="B38" s="9" t="s">
        <v>91</v>
      </c>
      <c r="C38" s="1" t="s">
        <v>92</v>
      </c>
      <c r="D38" s="2">
        <v>179340.21361386677</v>
      </c>
      <c r="E38" s="2">
        <v>50123.419584571995</v>
      </c>
      <c r="F38" s="2">
        <v>103405.85884421102</v>
      </c>
      <c r="G38" s="2">
        <v>20007.226612133054</v>
      </c>
      <c r="H38" s="2">
        <v>5803.7085729507044</v>
      </c>
      <c r="I38" s="2">
        <v>14973.054452469614</v>
      </c>
      <c r="J38" s="2">
        <v>30276.798932626411</v>
      </c>
      <c r="K38" s="2"/>
      <c r="L38" s="2"/>
      <c r="M38" s="2"/>
      <c r="N38" s="2">
        <v>41.6</v>
      </c>
      <c r="O38" s="2">
        <v>1943.1</v>
      </c>
    </row>
    <row r="39" spans="1:15" hidden="1">
      <c r="A39" s="1">
        <v>2014</v>
      </c>
      <c r="B39" s="9" t="s">
        <v>93</v>
      </c>
      <c r="C39" s="1" t="s">
        <v>94</v>
      </c>
      <c r="D39" s="2">
        <v>178375.7295502394</v>
      </c>
      <c r="E39" s="2">
        <v>51227.523707559922</v>
      </c>
      <c r="F39" s="2">
        <v>103630.25001672845</v>
      </c>
      <c r="G39" s="2">
        <v>18831.51546377956</v>
      </c>
      <c r="H39" s="2">
        <v>4686.4403621714819</v>
      </c>
      <c r="I39" s="2">
        <v>15860.350186286545</v>
      </c>
      <c r="J39" s="2">
        <v>28758.811185732789</v>
      </c>
      <c r="K39" s="2"/>
      <c r="L39" s="2"/>
      <c r="M39" s="2"/>
      <c r="N39" s="2">
        <v>29.5</v>
      </c>
      <c r="O39" s="2">
        <v>1539.4</v>
      </c>
    </row>
    <row r="40" spans="1:15" hidden="1">
      <c r="A40" s="1">
        <v>2014</v>
      </c>
      <c r="B40" s="9" t="s">
        <v>95</v>
      </c>
      <c r="C40" s="1" t="s">
        <v>96</v>
      </c>
      <c r="D40" s="2">
        <v>166952.30370356559</v>
      </c>
      <c r="E40" s="2">
        <v>49100.940402692555</v>
      </c>
      <c r="F40" s="2">
        <v>97396.94844178397</v>
      </c>
      <c r="G40" s="2">
        <v>16252.853638503244</v>
      </c>
      <c r="H40" s="2">
        <v>4201.5612205858224</v>
      </c>
      <c r="I40" s="2">
        <v>15766.709794692659</v>
      </c>
      <c r="J40" s="2">
        <v>27215.770158137773</v>
      </c>
      <c r="K40" s="2"/>
      <c r="L40" s="2"/>
      <c r="M40" s="2"/>
      <c r="N40" s="2">
        <v>33.6</v>
      </c>
      <c r="O40" s="2">
        <v>1618.6</v>
      </c>
    </row>
    <row r="41" spans="1:15" hidden="1">
      <c r="A41" s="1">
        <v>2014</v>
      </c>
      <c r="B41" s="9" t="s">
        <v>97</v>
      </c>
      <c r="C41" s="1" t="s">
        <v>98</v>
      </c>
      <c r="D41" s="2">
        <v>173115.01953572338</v>
      </c>
      <c r="E41" s="2">
        <v>53345.292453072376</v>
      </c>
      <c r="F41" s="2">
        <v>98511.942303882111</v>
      </c>
      <c r="G41" s="2">
        <v>16942.430672439001</v>
      </c>
      <c r="H41" s="2">
        <v>4315.3541063298908</v>
      </c>
      <c r="I41" s="2">
        <v>16505.45017093053</v>
      </c>
      <c r="J41" s="2">
        <v>28835.127974070085</v>
      </c>
      <c r="K41" s="2"/>
      <c r="L41" s="2"/>
      <c r="M41" s="2"/>
      <c r="N41" s="2">
        <v>48.8</v>
      </c>
      <c r="O41" s="2">
        <v>2482.4</v>
      </c>
    </row>
    <row r="42" spans="1:15" hidden="1">
      <c r="A42" s="1">
        <v>2014</v>
      </c>
      <c r="B42" s="9" t="s">
        <v>99</v>
      </c>
      <c r="C42" s="1" t="s">
        <v>100</v>
      </c>
      <c r="D42" s="2">
        <v>175427.35465057127</v>
      </c>
      <c r="E42" s="2">
        <v>52375.596293583381</v>
      </c>
      <c r="F42" s="2">
        <v>97777.127831785416</v>
      </c>
      <c r="G42" s="2">
        <v>19392.070849405914</v>
      </c>
      <c r="H42" s="2">
        <v>5882.5596757965623</v>
      </c>
      <c r="I42" s="2">
        <v>16819.053717079703</v>
      </c>
      <c r="J42" s="2">
        <v>26696.997674088845</v>
      </c>
      <c r="K42" s="2"/>
      <c r="L42" s="2"/>
      <c r="M42" s="2"/>
      <c r="N42" s="2">
        <v>36.4</v>
      </c>
      <c r="O42" s="2">
        <v>1690.7</v>
      </c>
    </row>
    <row r="43" spans="1:15" hidden="1">
      <c r="A43" s="1">
        <v>2014</v>
      </c>
      <c r="B43" s="9" t="s">
        <v>101</v>
      </c>
      <c r="C43" s="1" t="s">
        <v>102</v>
      </c>
      <c r="D43" s="2">
        <v>186927.20381310044</v>
      </c>
      <c r="E43" s="2">
        <v>59450.189841767795</v>
      </c>
      <c r="F43" s="2">
        <v>104220.00859448903</v>
      </c>
      <c r="G43" s="2">
        <v>17943.789999475252</v>
      </c>
      <c r="H43" s="2">
        <v>5313.2153773683722</v>
      </c>
      <c r="I43" s="2">
        <v>15808.494979134557</v>
      </c>
      <c r="J43" s="2">
        <v>31290.157666174891</v>
      </c>
      <c r="K43" s="2"/>
      <c r="L43" s="2"/>
      <c r="M43" s="2"/>
      <c r="N43" s="2">
        <v>44.2</v>
      </c>
      <c r="O43" s="2">
        <v>1809.3</v>
      </c>
    </row>
    <row r="44" spans="1:15" hidden="1">
      <c r="A44" s="1">
        <v>2014</v>
      </c>
      <c r="B44" s="9" t="s">
        <v>103</v>
      </c>
      <c r="C44" s="1" t="s">
        <v>104</v>
      </c>
      <c r="D44" s="2">
        <v>174640.8124331928</v>
      </c>
      <c r="E44" s="2">
        <v>55498.871526259849</v>
      </c>
      <c r="F44" s="2">
        <v>96047.441807488431</v>
      </c>
      <c r="G44" s="2">
        <v>17614.568090481749</v>
      </c>
      <c r="H44" s="2">
        <v>5479.9310089627734</v>
      </c>
      <c r="I44" s="2">
        <v>17889.081734796699</v>
      </c>
      <c r="J44" s="2">
        <v>27743.738812473603</v>
      </c>
      <c r="K44" s="2"/>
      <c r="L44" s="2"/>
      <c r="M44" s="2"/>
      <c r="N44" s="2">
        <v>38.6</v>
      </c>
      <c r="O44" s="2">
        <v>1932.2</v>
      </c>
    </row>
    <row r="45" spans="1:15" hidden="1">
      <c r="A45" s="1">
        <v>2014</v>
      </c>
      <c r="B45" s="9" t="s">
        <v>105</v>
      </c>
      <c r="C45" s="1" t="s">
        <v>106</v>
      </c>
      <c r="D45" s="2">
        <v>171982.23298951401</v>
      </c>
      <c r="E45" s="2">
        <v>51509.204127419871</v>
      </c>
      <c r="F45" s="2">
        <v>100073.66209994393</v>
      </c>
      <c r="G45" s="2">
        <v>15971.144950763934</v>
      </c>
      <c r="H45" s="2">
        <v>4428.2218113862618</v>
      </c>
      <c r="I45" s="2">
        <v>14659.295817514452</v>
      </c>
      <c r="J45" s="2">
        <v>27516.194023143667</v>
      </c>
      <c r="K45" s="2"/>
      <c r="L45" s="2"/>
      <c r="M45" s="2"/>
      <c r="N45" s="2">
        <v>42.1</v>
      </c>
      <c r="O45" s="2">
        <v>1961.5</v>
      </c>
    </row>
    <row r="46" spans="1:15" hidden="1">
      <c r="A46" s="1">
        <v>2014</v>
      </c>
      <c r="B46" s="9" t="s">
        <v>107</v>
      </c>
      <c r="C46" s="1" t="s">
        <v>108</v>
      </c>
      <c r="D46" s="2">
        <v>174331.38193904716</v>
      </c>
      <c r="E46" s="2">
        <v>53174.357235851101</v>
      </c>
      <c r="F46" s="2">
        <v>100304.3932633573</v>
      </c>
      <c r="G46" s="2">
        <v>16308.013469422491</v>
      </c>
      <c r="H46" s="2">
        <v>4544.6179704162814</v>
      </c>
      <c r="I46" s="2">
        <v>16183.631547218667</v>
      </c>
      <c r="J46" s="2">
        <v>28458.325055098056</v>
      </c>
      <c r="K46" s="2"/>
      <c r="L46" s="2"/>
      <c r="M46" s="2"/>
      <c r="N46" s="2">
        <v>33.6</v>
      </c>
      <c r="O46" s="2">
        <v>1711.5</v>
      </c>
    </row>
    <row r="47" spans="1:15" hidden="1">
      <c r="A47" s="1">
        <v>2014</v>
      </c>
      <c r="B47" s="9" t="s">
        <v>109</v>
      </c>
      <c r="C47" s="1" t="s">
        <v>110</v>
      </c>
      <c r="D47" s="2">
        <v>163094.66025734975</v>
      </c>
      <c r="E47" s="2">
        <v>48599.820634300704</v>
      </c>
      <c r="F47" s="2">
        <v>93790.887495375238</v>
      </c>
      <c r="G47" s="2">
        <v>16286.182813423748</v>
      </c>
      <c r="H47" s="2">
        <v>4417.769314250053</v>
      </c>
      <c r="I47" s="2">
        <v>15301.359497126004</v>
      </c>
      <c r="J47" s="2">
        <v>26140.623535113264</v>
      </c>
      <c r="K47" s="2"/>
      <c r="L47" s="2"/>
      <c r="M47" s="2"/>
      <c r="N47" s="2">
        <v>38.700000000000003</v>
      </c>
      <c r="O47" s="2">
        <v>1727.6</v>
      </c>
    </row>
    <row r="48" spans="1:15" hidden="1">
      <c r="A48" s="1">
        <v>2014</v>
      </c>
      <c r="B48" s="9" t="s">
        <v>111</v>
      </c>
      <c r="C48" s="1" t="s">
        <v>112</v>
      </c>
      <c r="D48" s="2">
        <v>168024.3764982658</v>
      </c>
      <c r="E48" s="2">
        <v>52435.501741144821</v>
      </c>
      <c r="F48" s="2">
        <v>94380.497988987394</v>
      </c>
      <c r="G48" s="2">
        <v>16113.07475060734</v>
      </c>
      <c r="H48" s="2">
        <v>5095.3020175262363</v>
      </c>
      <c r="I48" s="2">
        <v>16642.91088381478</v>
      </c>
      <c r="J48" s="2">
        <v>27390.210100201464</v>
      </c>
      <c r="K48" s="2"/>
      <c r="L48" s="2"/>
      <c r="M48" s="2"/>
      <c r="N48" s="2">
        <v>44.7</v>
      </c>
      <c r="O48" s="2">
        <v>2054.9</v>
      </c>
    </row>
    <row r="49" spans="1:15" hidden="1">
      <c r="A49" s="1">
        <v>2014</v>
      </c>
      <c r="B49" s="9" t="s">
        <v>113</v>
      </c>
      <c r="C49" s="1" t="s">
        <v>114</v>
      </c>
      <c r="D49" s="2">
        <v>152131.49076232137</v>
      </c>
      <c r="E49" s="2">
        <v>47933.473300836798</v>
      </c>
      <c r="F49" s="2">
        <v>84761.294375584548</v>
      </c>
      <c r="G49" s="2">
        <v>15397.220384053457</v>
      </c>
      <c r="H49" s="2">
        <v>4039.5027018465466</v>
      </c>
      <c r="I49" s="2">
        <v>12849.267470219835</v>
      </c>
      <c r="J49" s="2">
        <v>22795.042944045214</v>
      </c>
      <c r="K49" s="2"/>
      <c r="L49" s="2"/>
      <c r="M49" s="2"/>
      <c r="N49" s="2">
        <v>31.1</v>
      </c>
      <c r="O49" s="2">
        <v>1329.6</v>
      </c>
    </row>
    <row r="50" spans="1:15" hidden="1">
      <c r="A50" s="1">
        <v>2015</v>
      </c>
      <c r="B50" s="9" t="s">
        <v>205</v>
      </c>
      <c r="C50" s="1" t="s">
        <v>206</v>
      </c>
      <c r="D50" s="2">
        <v>173965.64051782779</v>
      </c>
      <c r="E50" s="2">
        <v>47538.801681966856</v>
      </c>
      <c r="F50" s="2">
        <v>103017.63316124177</v>
      </c>
      <c r="G50" s="2">
        <v>18532.566847305123</v>
      </c>
      <c r="H50" s="2">
        <v>4876.638827314031</v>
      </c>
      <c r="I50" s="2">
        <v>14115.078433318417</v>
      </c>
      <c r="J50" s="2">
        <v>28159.28278445889</v>
      </c>
      <c r="K50" s="2"/>
      <c r="L50" s="2"/>
      <c r="M50" s="2"/>
      <c r="N50" s="2">
        <v>29.1</v>
      </c>
      <c r="O50" s="2">
        <v>1232.0999999999999</v>
      </c>
    </row>
    <row r="51" spans="1:15" hidden="1">
      <c r="A51" s="1">
        <v>2015</v>
      </c>
      <c r="B51" s="9" t="s">
        <v>207</v>
      </c>
      <c r="C51" s="1" t="s">
        <v>22</v>
      </c>
      <c r="D51" s="2">
        <v>192352.74159536092</v>
      </c>
      <c r="E51" s="2">
        <v>59480.643376776221</v>
      </c>
      <c r="F51" s="2">
        <v>108901.17266642477</v>
      </c>
      <c r="G51" s="2">
        <v>19785.123489420799</v>
      </c>
      <c r="H51" s="2">
        <v>4185.8020627391061</v>
      </c>
      <c r="I51" s="2">
        <v>20164.955938422794</v>
      </c>
      <c r="J51" s="2">
        <v>32169.397235785575</v>
      </c>
      <c r="K51" s="2"/>
      <c r="L51" s="2"/>
      <c r="M51" s="2"/>
      <c r="N51" s="2">
        <v>32.799999999999997</v>
      </c>
      <c r="O51" s="2">
        <v>1779.1</v>
      </c>
    </row>
    <row r="52" spans="1:15" hidden="1">
      <c r="A52" s="1">
        <v>2015</v>
      </c>
      <c r="B52" s="9" t="s">
        <v>23</v>
      </c>
      <c r="C52" s="1" t="s">
        <v>24</v>
      </c>
      <c r="D52" s="2">
        <v>175016.350771481</v>
      </c>
      <c r="E52" s="2">
        <v>47881.587038172467</v>
      </c>
      <c r="F52" s="2">
        <v>106984.20380195191</v>
      </c>
      <c r="G52" s="2">
        <v>16692.027244032168</v>
      </c>
      <c r="H52" s="2">
        <v>3458.532687324479</v>
      </c>
      <c r="I52" s="2">
        <v>16672.450833594816</v>
      </c>
      <c r="J52" s="2">
        <v>34135.907511725956</v>
      </c>
      <c r="K52" s="2"/>
      <c r="L52" s="2"/>
      <c r="M52" s="2"/>
      <c r="N52" s="2">
        <v>31.4</v>
      </c>
      <c r="O52" s="2">
        <v>1345.8</v>
      </c>
    </row>
    <row r="53" spans="1:15" hidden="1">
      <c r="A53" s="1">
        <v>2015</v>
      </c>
      <c r="B53" s="9" t="s">
        <v>25</v>
      </c>
      <c r="C53" s="1" t="s">
        <v>26</v>
      </c>
      <c r="D53" s="2">
        <v>171799.6103161739</v>
      </c>
      <c r="E53" s="2">
        <v>46462.047177279317</v>
      </c>
      <c r="F53" s="2">
        <v>103342.32934107243</v>
      </c>
      <c r="G53" s="2">
        <v>18174.32248528066</v>
      </c>
      <c r="H53" s="2">
        <v>3820.9113125414647</v>
      </c>
      <c r="I53" s="2">
        <v>13709.991145537999</v>
      </c>
      <c r="J53" s="2">
        <v>31696.333977023023</v>
      </c>
      <c r="K53" s="2"/>
      <c r="L53" s="2"/>
      <c r="M53" s="2"/>
      <c r="N53" s="2">
        <v>31.3</v>
      </c>
      <c r="O53" s="2">
        <v>1367.3</v>
      </c>
    </row>
    <row r="54" spans="1:15" hidden="1">
      <c r="A54" s="1">
        <v>2015</v>
      </c>
      <c r="B54" s="9" t="s">
        <v>27</v>
      </c>
      <c r="C54" s="1" t="s">
        <v>28</v>
      </c>
      <c r="D54" s="2">
        <v>175514.13365344316</v>
      </c>
      <c r="E54" s="2">
        <v>47503.75164377442</v>
      </c>
      <c r="F54" s="2">
        <v>106172.49009890261</v>
      </c>
      <c r="G54" s="2">
        <v>17447.288745711856</v>
      </c>
      <c r="H54" s="2">
        <v>4390.6031650542673</v>
      </c>
      <c r="I54" s="2">
        <v>14463.925092124773</v>
      </c>
      <c r="J54" s="2">
        <v>32615.769642809279</v>
      </c>
      <c r="K54" s="2"/>
      <c r="L54" s="2"/>
      <c r="M54" s="2"/>
      <c r="N54" s="2">
        <v>25.8</v>
      </c>
      <c r="O54" s="2">
        <v>1080.9000000000001</v>
      </c>
    </row>
    <row r="55" spans="1:15" hidden="1">
      <c r="A55" s="1">
        <v>2015</v>
      </c>
      <c r="B55" s="9" t="s">
        <v>29</v>
      </c>
      <c r="C55" s="1" t="s">
        <v>30</v>
      </c>
      <c r="D55" s="2">
        <v>191584.90577224171</v>
      </c>
      <c r="E55" s="2">
        <v>55738.679799839469</v>
      </c>
      <c r="F55" s="2">
        <v>113233.81349382778</v>
      </c>
      <c r="G55" s="2">
        <v>18635.728327131779</v>
      </c>
      <c r="H55" s="2">
        <v>3976.6841514426983</v>
      </c>
      <c r="I55" s="2">
        <v>17513.367459292036</v>
      </c>
      <c r="J55" s="2">
        <v>34767.977636091644</v>
      </c>
      <c r="K55" s="2"/>
      <c r="L55" s="2"/>
      <c r="M55" s="2"/>
      <c r="N55" s="2">
        <v>31.8</v>
      </c>
      <c r="O55" s="2">
        <v>1486.7</v>
      </c>
    </row>
    <row r="56" spans="1:15" hidden="1">
      <c r="A56" s="1">
        <v>2015</v>
      </c>
      <c r="B56" s="9" t="s">
        <v>31</v>
      </c>
      <c r="C56" s="1" t="s">
        <v>32</v>
      </c>
      <c r="D56" s="2">
        <v>177454.6999521351</v>
      </c>
      <c r="E56" s="2">
        <v>50082.183487381524</v>
      </c>
      <c r="F56" s="2">
        <v>106094.90547057356</v>
      </c>
      <c r="G56" s="2">
        <v>17616.262557526927</v>
      </c>
      <c r="H56" s="2">
        <v>3661.3484366530943</v>
      </c>
      <c r="I56" s="2">
        <v>14430.782534359885</v>
      </c>
      <c r="J56" s="2">
        <v>32962.544344087124</v>
      </c>
      <c r="K56" s="2"/>
      <c r="L56" s="2"/>
      <c r="M56" s="2"/>
      <c r="N56" s="2">
        <v>27.4</v>
      </c>
      <c r="O56" s="2">
        <v>1316.4</v>
      </c>
    </row>
    <row r="57" spans="1:15" hidden="1">
      <c r="A57" s="1">
        <v>2015</v>
      </c>
      <c r="B57" s="9" t="s">
        <v>33</v>
      </c>
      <c r="C57" s="1" t="s">
        <v>34</v>
      </c>
      <c r="D57" s="2">
        <v>172231.83925306119</v>
      </c>
      <c r="E57" s="2">
        <v>46644.606604035813</v>
      </c>
      <c r="F57" s="2">
        <v>104688.75402174768</v>
      </c>
      <c r="G57" s="2">
        <v>17015.108397828593</v>
      </c>
      <c r="H57" s="2">
        <v>3883.3702294490708</v>
      </c>
      <c r="I57" s="2">
        <v>14611.487333779627</v>
      </c>
      <c r="J57" s="2">
        <v>32772.663643462634</v>
      </c>
      <c r="K57" s="2"/>
      <c r="L57" s="2"/>
      <c r="M57" s="2"/>
      <c r="N57" s="2">
        <v>29.9</v>
      </c>
      <c r="O57" s="2">
        <v>1335.9</v>
      </c>
    </row>
    <row r="58" spans="1:15" hidden="1">
      <c r="A58" s="1">
        <v>2015</v>
      </c>
      <c r="B58" s="9" t="s">
        <v>35</v>
      </c>
      <c r="C58" s="1" t="s">
        <v>36</v>
      </c>
      <c r="D58" s="2">
        <v>165846.94653039784</v>
      </c>
      <c r="E58" s="2">
        <v>42500.65771735592</v>
      </c>
      <c r="F58" s="2">
        <v>102556.34841893516</v>
      </c>
      <c r="G58" s="2">
        <v>17298.408155076977</v>
      </c>
      <c r="H58" s="2">
        <v>3491.5322390297661</v>
      </c>
      <c r="I58" s="2">
        <v>12852.118085939299</v>
      </c>
      <c r="J58" s="2">
        <v>28786.555625877641</v>
      </c>
      <c r="K58" s="2"/>
      <c r="L58" s="2"/>
      <c r="M58" s="2"/>
      <c r="N58" s="2">
        <v>28.3</v>
      </c>
      <c r="O58" s="2">
        <v>1095.5</v>
      </c>
    </row>
    <row r="59" spans="1:15" hidden="1">
      <c r="A59" s="1">
        <v>2015</v>
      </c>
      <c r="B59" s="9" t="s">
        <v>37</v>
      </c>
      <c r="C59" s="1" t="s">
        <v>38</v>
      </c>
      <c r="D59" s="2">
        <v>169577.58849571616</v>
      </c>
      <c r="E59" s="2">
        <v>43113.097467506857</v>
      </c>
      <c r="F59" s="2">
        <v>105322.24787547406</v>
      </c>
      <c r="G59" s="2">
        <v>16801.545160897607</v>
      </c>
      <c r="H59" s="2">
        <v>4340.6979918376337</v>
      </c>
      <c r="I59" s="2">
        <v>12907.321615248418</v>
      </c>
      <c r="J59" s="2">
        <v>29261.414979815567</v>
      </c>
      <c r="K59" s="2"/>
      <c r="L59" s="2"/>
      <c r="M59" s="2"/>
      <c r="N59" s="2">
        <v>30.1</v>
      </c>
      <c r="O59" s="2">
        <v>1088.9000000000001</v>
      </c>
    </row>
    <row r="60" spans="1:15" hidden="1">
      <c r="A60" s="1">
        <v>2015</v>
      </c>
      <c r="B60" s="9" t="s">
        <v>39</v>
      </c>
      <c r="C60" s="1" t="s">
        <v>40</v>
      </c>
      <c r="D60" s="2">
        <v>169985.26520200726</v>
      </c>
      <c r="E60" s="2">
        <v>45098.178830242701</v>
      </c>
      <c r="F60" s="2">
        <v>103272.18339052101</v>
      </c>
      <c r="G60" s="2">
        <v>17177.732511281672</v>
      </c>
      <c r="H60" s="2">
        <v>4437.1704699618786</v>
      </c>
      <c r="I60" s="2">
        <v>12774.592941600551</v>
      </c>
      <c r="J60" s="2">
        <v>28416.688345472576</v>
      </c>
      <c r="K60" s="2"/>
      <c r="L60" s="2"/>
      <c r="M60" s="2"/>
      <c r="N60" s="2">
        <v>28.3</v>
      </c>
      <c r="O60" s="2">
        <v>1249.0999999999999</v>
      </c>
    </row>
    <row r="61" spans="1:15" hidden="1">
      <c r="A61" s="1">
        <v>2015</v>
      </c>
      <c r="B61" s="9" t="s">
        <v>41</v>
      </c>
      <c r="C61" s="1" t="s">
        <v>42</v>
      </c>
      <c r="D61" s="2">
        <v>166170.98654258694</v>
      </c>
      <c r="E61" s="2">
        <v>42968.160365464602</v>
      </c>
      <c r="F61" s="2">
        <v>100197.78123343457</v>
      </c>
      <c r="G61" s="2">
        <v>18191.419990700455</v>
      </c>
      <c r="H61" s="2">
        <v>4813.6249529873103</v>
      </c>
      <c r="I61" s="2">
        <v>12898.443663390215</v>
      </c>
      <c r="J61" s="2">
        <v>27759.961534828202</v>
      </c>
      <c r="K61" s="2"/>
      <c r="L61" s="2"/>
      <c r="M61" s="2"/>
      <c r="N61" s="2">
        <v>29.1</v>
      </c>
      <c r="O61" s="2">
        <v>853.8</v>
      </c>
    </row>
    <row r="62" spans="1:15" hidden="1">
      <c r="A62" s="1">
        <v>2015</v>
      </c>
      <c r="B62" s="9" t="s">
        <v>43</v>
      </c>
      <c r="C62" s="1" t="s">
        <v>44</v>
      </c>
      <c r="D62" s="2">
        <v>170410.30621067691</v>
      </c>
      <c r="E62" s="2">
        <v>44374.413280905836</v>
      </c>
      <c r="F62" s="2">
        <v>102864.83561868525</v>
      </c>
      <c r="G62" s="2">
        <v>18824.737822284522</v>
      </c>
      <c r="H62" s="2">
        <v>4346.3194888013068</v>
      </c>
      <c r="I62" s="2">
        <v>13568.68108818283</v>
      </c>
      <c r="J62" s="2">
        <v>28957.522550744441</v>
      </c>
      <c r="K62" s="2"/>
      <c r="L62" s="2"/>
      <c r="M62" s="2"/>
      <c r="N62" s="2">
        <v>26.3</v>
      </c>
      <c r="O62" s="2">
        <v>943.3</v>
      </c>
    </row>
    <row r="63" spans="1:15" hidden="1">
      <c r="A63" s="1">
        <v>2015</v>
      </c>
      <c r="B63" s="9" t="s">
        <v>45</v>
      </c>
      <c r="C63" s="1" t="s">
        <v>46</v>
      </c>
      <c r="D63" s="2">
        <v>168681.85819070903</v>
      </c>
      <c r="E63" s="2">
        <v>42198.906583545504</v>
      </c>
      <c r="F63" s="2">
        <v>102094.42824317473</v>
      </c>
      <c r="G63" s="2">
        <v>19444.624179972776</v>
      </c>
      <c r="H63" s="2">
        <v>4943.8991840160334</v>
      </c>
      <c r="I63" s="2">
        <v>12459.941401033466</v>
      </c>
      <c r="J63" s="2">
        <v>25579.778106612863</v>
      </c>
      <c r="K63" s="2"/>
      <c r="L63" s="2"/>
      <c r="M63" s="2"/>
      <c r="N63" s="2">
        <v>22.6</v>
      </c>
      <c r="O63" s="2">
        <v>948.3</v>
      </c>
    </row>
    <row r="64" spans="1:15" hidden="1">
      <c r="A64" s="1">
        <v>2015</v>
      </c>
      <c r="B64" s="9" t="s">
        <v>47</v>
      </c>
      <c r="C64" s="1" t="s">
        <v>48</v>
      </c>
      <c r="D64" s="2">
        <v>172034.12636858888</v>
      </c>
      <c r="E64" s="2">
        <v>43673.726443956191</v>
      </c>
      <c r="F64" s="2">
        <v>104852.06238449087</v>
      </c>
      <c r="G64" s="2">
        <v>19129.727720572784</v>
      </c>
      <c r="H64" s="2">
        <v>4378.6098195690392</v>
      </c>
      <c r="I64" s="2">
        <v>13277.237585974834</v>
      </c>
      <c r="J64" s="2">
        <v>27732.059893432379</v>
      </c>
      <c r="K64" s="2"/>
      <c r="L64" s="2"/>
      <c r="M64" s="2"/>
      <c r="N64" s="2">
        <v>22.5</v>
      </c>
      <c r="O64" s="2">
        <v>810.5</v>
      </c>
    </row>
    <row r="65" spans="1:15" hidden="1">
      <c r="A65" s="1">
        <v>2015</v>
      </c>
      <c r="B65" s="9" t="s">
        <v>49</v>
      </c>
      <c r="C65" s="1" t="s">
        <v>50</v>
      </c>
      <c r="D65" s="2">
        <v>162056.3659782178</v>
      </c>
      <c r="E65" s="2">
        <v>42816.549118411043</v>
      </c>
      <c r="F65" s="2">
        <v>98576.140344002604</v>
      </c>
      <c r="G65" s="2">
        <v>17266.615472923226</v>
      </c>
      <c r="H65" s="2">
        <v>3397.0610428809214</v>
      </c>
      <c r="I65" s="2">
        <v>13352.87337538592</v>
      </c>
      <c r="J65" s="2">
        <v>28252.726520652221</v>
      </c>
      <c r="K65" s="2"/>
      <c r="L65" s="2"/>
      <c r="M65" s="2"/>
      <c r="N65" s="2">
        <v>31.5</v>
      </c>
      <c r="O65" s="2">
        <v>1249.5999999999999</v>
      </c>
    </row>
    <row r="66" spans="1:15" hidden="1">
      <c r="A66" s="1">
        <v>2015</v>
      </c>
      <c r="B66" s="9" t="s">
        <v>51</v>
      </c>
      <c r="C66" s="1" t="s">
        <v>52</v>
      </c>
      <c r="D66" s="2">
        <v>165007.82615218748</v>
      </c>
      <c r="E66" s="2">
        <v>46956.472464958213</v>
      </c>
      <c r="F66" s="2">
        <v>96910.252731659464</v>
      </c>
      <c r="G66" s="2">
        <v>16289.190050805775</v>
      </c>
      <c r="H66" s="2">
        <v>4851.9109047640331</v>
      </c>
      <c r="I66" s="2">
        <v>13692.091175043428</v>
      </c>
      <c r="J66" s="2">
        <v>28549.074566584623</v>
      </c>
      <c r="K66" s="2"/>
      <c r="L66" s="2"/>
      <c r="M66" s="2"/>
      <c r="N66" s="2">
        <v>34.200000000000003</v>
      </c>
      <c r="O66" s="2">
        <v>1582.5</v>
      </c>
    </row>
    <row r="67" spans="1:15" hidden="1">
      <c r="A67" s="1">
        <v>2015</v>
      </c>
      <c r="B67" s="9" t="s">
        <v>53</v>
      </c>
      <c r="C67" s="1" t="s">
        <v>54</v>
      </c>
      <c r="D67" s="2">
        <v>174728.47380102915</v>
      </c>
      <c r="E67" s="2">
        <v>52434.732380141832</v>
      </c>
      <c r="F67" s="2">
        <v>101535.03772271596</v>
      </c>
      <c r="G67" s="2">
        <v>16247.874972852384</v>
      </c>
      <c r="H67" s="2">
        <v>4510.8287253189656</v>
      </c>
      <c r="I67" s="2">
        <v>15665.872035154149</v>
      </c>
      <c r="J67" s="2">
        <v>29187.208524159654</v>
      </c>
      <c r="K67" s="2"/>
      <c r="L67" s="2"/>
      <c r="M67" s="2"/>
      <c r="N67" s="2">
        <v>32.700000000000003</v>
      </c>
      <c r="O67" s="2">
        <v>1593.7</v>
      </c>
    </row>
    <row r="68" spans="1:15" hidden="1">
      <c r="A68" s="1">
        <v>2015</v>
      </c>
      <c r="B68" s="9" t="s">
        <v>55</v>
      </c>
      <c r="C68" s="1" t="s">
        <v>56</v>
      </c>
      <c r="D68" s="2">
        <v>173143.31525704547</v>
      </c>
      <c r="E68" s="2">
        <v>52944.197660633086</v>
      </c>
      <c r="F68" s="2">
        <v>99972.577353741872</v>
      </c>
      <c r="G68" s="2">
        <v>15693.291357594269</v>
      </c>
      <c r="H68" s="2">
        <v>4533.2488850762165</v>
      </c>
      <c r="I68" s="2">
        <v>15338.790803844076</v>
      </c>
      <c r="J68" s="2">
        <v>29061.627534770454</v>
      </c>
      <c r="K68" s="2"/>
      <c r="L68" s="2"/>
      <c r="M68" s="2"/>
      <c r="N68" s="2">
        <v>29.7</v>
      </c>
      <c r="O68" s="2">
        <v>1410.5</v>
      </c>
    </row>
    <row r="69" spans="1:15" hidden="1">
      <c r="A69" s="1">
        <v>2015</v>
      </c>
      <c r="B69" s="9" t="s">
        <v>57</v>
      </c>
      <c r="C69" s="1" t="s">
        <v>58</v>
      </c>
      <c r="D69" s="2">
        <v>175605.45601935728</v>
      </c>
      <c r="E69" s="2">
        <v>46331.061378095321</v>
      </c>
      <c r="F69" s="2">
        <v>107002.66010229113</v>
      </c>
      <c r="G69" s="2">
        <v>17608.027661096236</v>
      </c>
      <c r="H69" s="2">
        <v>4663.7068778745934</v>
      </c>
      <c r="I69" s="2">
        <v>12205.655099766987</v>
      </c>
      <c r="J69" s="2">
        <v>29478.486729077613</v>
      </c>
      <c r="K69" s="2"/>
      <c r="L69" s="2"/>
      <c r="M69" s="2"/>
      <c r="N69" s="2">
        <v>29.5</v>
      </c>
      <c r="O69" s="2">
        <v>1303.3</v>
      </c>
    </row>
    <row r="70" spans="1:15" hidden="1">
      <c r="A70" s="1">
        <v>2015</v>
      </c>
      <c r="B70" s="9" t="s">
        <v>59</v>
      </c>
      <c r="C70" s="1" t="s">
        <v>60</v>
      </c>
      <c r="D70" s="2">
        <v>160716.68895241487</v>
      </c>
      <c r="E70" s="2">
        <v>45742.150388094211</v>
      </c>
      <c r="F70" s="2">
        <v>94928.222769389889</v>
      </c>
      <c r="G70" s="2">
        <v>15828.83891847317</v>
      </c>
      <c r="H70" s="2">
        <v>4217.4768764576002</v>
      </c>
      <c r="I70" s="2">
        <v>13461.825478956887</v>
      </c>
      <c r="J70" s="2">
        <v>26291.247398819574</v>
      </c>
      <c r="K70" s="2"/>
      <c r="L70" s="2"/>
      <c r="M70" s="2"/>
      <c r="N70" s="2">
        <v>24.1</v>
      </c>
      <c r="O70" s="2">
        <v>1149</v>
      </c>
    </row>
    <row r="71" spans="1:15" hidden="1">
      <c r="A71" s="1">
        <v>2015</v>
      </c>
      <c r="B71" s="9" t="s">
        <v>61</v>
      </c>
      <c r="C71" s="1" t="s">
        <v>62</v>
      </c>
      <c r="D71" s="2">
        <v>170557.88916268526</v>
      </c>
      <c r="E71" s="2">
        <v>43748.698608692081</v>
      </c>
      <c r="F71" s="2">
        <v>102791.86044998806</v>
      </c>
      <c r="G71" s="2">
        <v>19050.753477409333</v>
      </c>
      <c r="H71" s="2">
        <v>4966.5766265957909</v>
      </c>
      <c r="I71" s="2">
        <v>13244.23865619221</v>
      </c>
      <c r="J71" s="2">
        <v>28011.940955936898</v>
      </c>
      <c r="K71" s="2"/>
      <c r="L71" s="2"/>
      <c r="M71" s="2"/>
      <c r="N71" s="2">
        <v>24.8</v>
      </c>
      <c r="O71" s="2">
        <v>1024.5999999999999</v>
      </c>
    </row>
    <row r="72" spans="1:15" hidden="1">
      <c r="A72" s="1">
        <v>2015</v>
      </c>
      <c r="B72" s="9" t="s">
        <v>63</v>
      </c>
      <c r="C72" s="1" t="s">
        <v>64</v>
      </c>
      <c r="D72" s="2">
        <v>165081.44520548961</v>
      </c>
      <c r="E72" s="2">
        <v>41559.16088264608</v>
      </c>
      <c r="F72" s="2">
        <v>103355.85705452276</v>
      </c>
      <c r="G72" s="2">
        <v>16468.341735297472</v>
      </c>
      <c r="H72" s="2">
        <v>3698.0855330232944</v>
      </c>
      <c r="I72" s="2">
        <v>12076.944620756331</v>
      </c>
      <c r="J72" s="2">
        <v>28081.04296940377</v>
      </c>
      <c r="K72" s="2"/>
      <c r="L72" s="2"/>
      <c r="M72" s="2"/>
      <c r="N72" s="2">
        <v>28.4</v>
      </c>
      <c r="O72" s="2">
        <v>1046.2</v>
      </c>
    </row>
    <row r="73" spans="1:15" hidden="1">
      <c r="A73" s="1">
        <v>2015</v>
      </c>
      <c r="B73" s="9" t="s">
        <v>65</v>
      </c>
      <c r="C73" s="1" t="s">
        <v>66</v>
      </c>
      <c r="D73" s="2">
        <v>164995.49954795823</v>
      </c>
      <c r="E73" s="2">
        <v>40757.716810624115</v>
      </c>
      <c r="F73" s="2">
        <v>100346.93751890908</v>
      </c>
      <c r="G73" s="2">
        <v>19597.112686284123</v>
      </c>
      <c r="H73" s="2">
        <v>4293.7325321409189</v>
      </c>
      <c r="I73" s="2">
        <v>12027.415504015644</v>
      </c>
      <c r="J73" s="2">
        <v>26160.273710057547</v>
      </c>
      <c r="K73" s="2"/>
      <c r="L73" s="2"/>
      <c r="M73" s="2"/>
      <c r="N73" s="2">
        <v>24.4</v>
      </c>
      <c r="O73" s="2">
        <v>905.8</v>
      </c>
    </row>
    <row r="74" spans="1:15" hidden="1">
      <c r="A74" s="1">
        <v>2015</v>
      </c>
      <c r="B74" s="9" t="s">
        <v>67</v>
      </c>
      <c r="C74" s="1" t="s">
        <v>68</v>
      </c>
      <c r="D74" s="2">
        <v>166883.31828945337</v>
      </c>
      <c r="E74" s="2">
        <v>44303.321358748777</v>
      </c>
      <c r="F74" s="2">
        <v>101003.2448680352</v>
      </c>
      <c r="G74" s="2">
        <v>17745.898440045617</v>
      </c>
      <c r="H74" s="2">
        <v>3830.8536226237675</v>
      </c>
      <c r="I74" s="2">
        <v>13611.89096611274</v>
      </c>
      <c r="J74" s="2">
        <v>28211.178455356494</v>
      </c>
      <c r="K74" s="2"/>
      <c r="L74" s="2"/>
      <c r="M74" s="2"/>
      <c r="N74" s="2">
        <v>29.7</v>
      </c>
      <c r="O74" s="2">
        <v>1128.3</v>
      </c>
    </row>
    <row r="75" spans="1:15" hidden="1">
      <c r="A75" s="1">
        <v>2015</v>
      </c>
      <c r="B75" s="9" t="s">
        <v>69</v>
      </c>
      <c r="C75" s="1" t="s">
        <v>70</v>
      </c>
      <c r="D75" s="2">
        <v>166688.41076046778</v>
      </c>
      <c r="E75" s="2">
        <v>48371.585187065713</v>
      </c>
      <c r="F75" s="2">
        <v>97051.162161088432</v>
      </c>
      <c r="G75" s="2">
        <v>17029.438197238997</v>
      </c>
      <c r="H75" s="2">
        <v>4236.2252150746681</v>
      </c>
      <c r="I75" s="2">
        <v>13684.24647074612</v>
      </c>
      <c r="J75" s="2">
        <v>28340.901552493808</v>
      </c>
      <c r="K75" s="2"/>
      <c r="L75" s="2"/>
      <c r="M75" s="2"/>
      <c r="N75" s="2">
        <v>25.9</v>
      </c>
      <c r="O75" s="2">
        <v>1026.2</v>
      </c>
    </row>
    <row r="76" spans="1:15" hidden="1">
      <c r="A76" s="1">
        <v>2015</v>
      </c>
      <c r="B76" s="9" t="s">
        <v>71</v>
      </c>
      <c r="C76" s="1" t="s">
        <v>72</v>
      </c>
      <c r="D76" s="2">
        <v>172618.08413064512</v>
      </c>
      <c r="E76" s="2">
        <v>48058.080794512192</v>
      </c>
      <c r="F76" s="2">
        <v>100440.01820172211</v>
      </c>
      <c r="G76" s="2">
        <v>18225.658727458653</v>
      </c>
      <c r="H76" s="2">
        <v>5894.3264069521529</v>
      </c>
      <c r="I76" s="2">
        <v>14242.363412510957</v>
      </c>
      <c r="J76" s="2">
        <v>26159.144292555437</v>
      </c>
      <c r="K76" s="2"/>
      <c r="L76" s="2"/>
      <c r="M76" s="2"/>
      <c r="N76" s="2">
        <v>29.2</v>
      </c>
      <c r="O76" s="2">
        <v>1377.3</v>
      </c>
    </row>
    <row r="77" spans="1:15" hidden="1">
      <c r="A77" s="1">
        <v>2015</v>
      </c>
      <c r="B77" s="9" t="s">
        <v>73</v>
      </c>
      <c r="C77" s="1" t="s">
        <v>74</v>
      </c>
      <c r="D77" s="2">
        <v>178185.9291416592</v>
      </c>
      <c r="E77" s="2">
        <v>46881.879886149392</v>
      </c>
      <c r="F77" s="2">
        <v>102117.39053993096</v>
      </c>
      <c r="G77" s="2">
        <v>21184.141876082795</v>
      </c>
      <c r="H77" s="2">
        <v>8002.5168394960774</v>
      </c>
      <c r="I77" s="2">
        <v>13721.218473191309</v>
      </c>
      <c r="J77" s="2">
        <v>26783.292894179176</v>
      </c>
      <c r="K77" s="2"/>
      <c r="L77" s="2"/>
      <c r="M77" s="2"/>
      <c r="N77" s="2">
        <v>26.9</v>
      </c>
      <c r="O77" s="2">
        <v>1219.9000000000001</v>
      </c>
    </row>
    <row r="78" spans="1:15" hidden="1">
      <c r="A78" s="1">
        <v>2015</v>
      </c>
      <c r="B78" s="9" t="s">
        <v>75</v>
      </c>
      <c r="C78" s="1" t="s">
        <v>76</v>
      </c>
      <c r="D78" s="2">
        <v>176152.35230777823</v>
      </c>
      <c r="E78" s="2">
        <v>47180.104572289056</v>
      </c>
      <c r="F78" s="2">
        <v>104115.74725975082</v>
      </c>
      <c r="G78" s="2">
        <v>19667.275371509182</v>
      </c>
      <c r="H78" s="2">
        <v>5189.2251042291691</v>
      </c>
      <c r="I78" s="2">
        <v>13590.940564042419</v>
      </c>
      <c r="J78" s="2">
        <v>28070.850379907068</v>
      </c>
      <c r="K78" s="2"/>
      <c r="L78" s="2"/>
      <c r="M78" s="2"/>
      <c r="N78" s="2">
        <v>27.1</v>
      </c>
      <c r="O78" s="2">
        <v>1173.3</v>
      </c>
    </row>
    <row r="79" spans="1:15" hidden="1">
      <c r="A79" s="1">
        <v>2015</v>
      </c>
      <c r="B79" s="9" t="s">
        <v>77</v>
      </c>
      <c r="C79" s="1" t="s">
        <v>78</v>
      </c>
      <c r="D79" s="2">
        <v>173957.73957040792</v>
      </c>
      <c r="E79" s="2">
        <v>48992.921756365868</v>
      </c>
      <c r="F79" s="2">
        <v>101581.40311866764</v>
      </c>
      <c r="G79" s="2">
        <v>17739.463326390975</v>
      </c>
      <c r="H79" s="2">
        <v>5643.951368983453</v>
      </c>
      <c r="I79" s="2">
        <v>14325.086798273614</v>
      </c>
      <c r="J79" s="2">
        <v>28650.217717911986</v>
      </c>
      <c r="K79" s="2"/>
      <c r="L79" s="2"/>
      <c r="M79" s="2"/>
      <c r="N79" s="2">
        <v>26.8</v>
      </c>
      <c r="O79" s="2">
        <v>1244.0999999999999</v>
      </c>
    </row>
    <row r="80" spans="1:15" hidden="1">
      <c r="A80" s="1">
        <v>2015</v>
      </c>
      <c r="B80" s="9" t="s">
        <v>79</v>
      </c>
      <c r="C80" s="1" t="s">
        <v>80</v>
      </c>
      <c r="D80" s="2">
        <v>173258.77962315691</v>
      </c>
      <c r="E80" s="2">
        <v>44038.672731475795</v>
      </c>
      <c r="F80" s="2">
        <v>104880.74314250039</v>
      </c>
      <c r="G80" s="2">
        <v>18246.399983500236</v>
      </c>
      <c r="H80" s="2">
        <v>6092.9637656804889</v>
      </c>
      <c r="I80" s="2">
        <v>12749.742131030471</v>
      </c>
      <c r="J80" s="2">
        <v>28349.788560612025</v>
      </c>
      <c r="K80" s="2"/>
      <c r="L80" s="2"/>
      <c r="M80" s="2"/>
      <c r="N80" s="2">
        <v>30.2</v>
      </c>
      <c r="O80" s="2">
        <v>1417.2</v>
      </c>
    </row>
    <row r="81" spans="1:15" hidden="1">
      <c r="A81" s="1">
        <v>2015</v>
      </c>
      <c r="B81" s="9" t="s">
        <v>81</v>
      </c>
      <c r="C81" s="1" t="s">
        <v>82</v>
      </c>
      <c r="D81" s="2">
        <v>173188.26250001692</v>
      </c>
      <c r="E81" s="2">
        <v>52395.271303365764</v>
      </c>
      <c r="F81" s="2">
        <v>100429.8113053675</v>
      </c>
      <c r="G81" s="2">
        <v>17242.116750710804</v>
      </c>
      <c r="H81" s="2">
        <v>3121.0631405728559</v>
      </c>
      <c r="I81" s="2">
        <v>16112.00372669119</v>
      </c>
      <c r="J81" s="2">
        <v>26616.590970556434</v>
      </c>
      <c r="K81" s="2"/>
      <c r="L81" s="2"/>
      <c r="M81" s="2"/>
      <c r="N81" s="2">
        <v>30.1</v>
      </c>
      <c r="O81" s="2">
        <v>1518.2</v>
      </c>
    </row>
    <row r="82" spans="1:15" hidden="1">
      <c r="A82" s="1">
        <v>2015</v>
      </c>
      <c r="B82" s="9" t="s">
        <v>83</v>
      </c>
      <c r="C82" s="1" t="s">
        <v>84</v>
      </c>
      <c r="D82" s="2">
        <v>181981.0204883425</v>
      </c>
      <c r="E82" s="2">
        <v>55993.102294958786</v>
      </c>
      <c r="F82" s="2">
        <v>105968.50886913243</v>
      </c>
      <c r="G82" s="2">
        <v>16335.271925420875</v>
      </c>
      <c r="H82" s="2">
        <v>3684.1373988304022</v>
      </c>
      <c r="I82" s="2">
        <v>15923.987166086212</v>
      </c>
      <c r="J82" s="2">
        <v>28942.271820204955</v>
      </c>
      <c r="K82" s="2"/>
      <c r="L82" s="2"/>
      <c r="M82" s="2"/>
      <c r="N82" s="2">
        <v>29.9</v>
      </c>
      <c r="O82" s="2">
        <v>1551.8</v>
      </c>
    </row>
    <row r="83" spans="1:15" hidden="1">
      <c r="A83" s="1">
        <v>2015</v>
      </c>
      <c r="B83" s="9" t="s">
        <v>85</v>
      </c>
      <c r="C83" s="1" t="s">
        <v>86</v>
      </c>
      <c r="D83" s="2">
        <v>179343.65661833383</v>
      </c>
      <c r="E83" s="2">
        <v>49530.471334139787</v>
      </c>
      <c r="F83" s="2">
        <v>106231.68531197037</v>
      </c>
      <c r="G83" s="2">
        <v>19493.213761051786</v>
      </c>
      <c r="H83" s="2">
        <v>4088.2862111718828</v>
      </c>
      <c r="I83" s="2">
        <v>13835.653925903069</v>
      </c>
      <c r="J83" s="2">
        <v>28527.65585190522</v>
      </c>
      <c r="K83" s="2"/>
      <c r="L83" s="2"/>
      <c r="M83" s="2"/>
      <c r="N83" s="2">
        <v>27.7</v>
      </c>
      <c r="O83" s="2">
        <v>1499.5</v>
      </c>
    </row>
    <row r="84" spans="1:15" hidden="1">
      <c r="A84" s="1">
        <v>2015</v>
      </c>
      <c r="B84" s="9" t="s">
        <v>87</v>
      </c>
      <c r="C84" s="1" t="s">
        <v>88</v>
      </c>
      <c r="D84" s="2">
        <v>176097.92389019704</v>
      </c>
      <c r="E84" s="2">
        <v>47491.755790183393</v>
      </c>
      <c r="F84" s="2">
        <v>105752.4945278954</v>
      </c>
      <c r="G84" s="2">
        <v>18785.362964183154</v>
      </c>
      <c r="H84" s="2">
        <v>4068.3106079350814</v>
      </c>
      <c r="I84" s="2">
        <v>13845.464548280219</v>
      </c>
      <c r="J84" s="2">
        <v>28509.040355268997</v>
      </c>
      <c r="K84" s="2"/>
      <c r="L84" s="2"/>
      <c r="M84" s="2"/>
      <c r="N84" s="2">
        <v>31.9</v>
      </c>
      <c r="O84" s="2">
        <v>1420.3</v>
      </c>
    </row>
    <row r="85" spans="1:15" hidden="1">
      <c r="A85" s="1">
        <v>2015</v>
      </c>
      <c r="B85" s="9" t="s">
        <v>89</v>
      </c>
      <c r="C85" s="1" t="s">
        <v>90</v>
      </c>
      <c r="D85" s="2">
        <v>185390.61821837098</v>
      </c>
      <c r="E85" s="2">
        <v>53580.737917131228</v>
      </c>
      <c r="F85" s="2">
        <v>109211.23098720401</v>
      </c>
      <c r="G85" s="2">
        <v>18411.19110560443</v>
      </c>
      <c r="H85" s="2">
        <v>4187.458208431286</v>
      </c>
      <c r="I85" s="2">
        <v>16598.533828883203</v>
      </c>
      <c r="J85" s="2">
        <v>29369.461595928908</v>
      </c>
      <c r="K85" s="2"/>
      <c r="L85" s="2"/>
      <c r="M85" s="2"/>
      <c r="N85" s="2">
        <v>42.6</v>
      </c>
      <c r="O85" s="2">
        <v>1926.4</v>
      </c>
    </row>
    <row r="86" spans="1:15" hidden="1">
      <c r="A86" s="1">
        <v>2015</v>
      </c>
      <c r="B86" s="9" t="s">
        <v>91</v>
      </c>
      <c r="C86" s="1" t="s">
        <v>92</v>
      </c>
      <c r="D86" s="2">
        <v>186012.033906005</v>
      </c>
      <c r="E86" s="2">
        <v>52029.595843925272</v>
      </c>
      <c r="F86" s="2">
        <v>107973.76625883176</v>
      </c>
      <c r="G86" s="2">
        <v>20140.76983696139</v>
      </c>
      <c r="H86" s="2">
        <v>5867.9019662865794</v>
      </c>
      <c r="I86" s="2">
        <v>14407.041826993047</v>
      </c>
      <c r="J86" s="2">
        <v>30571.728912153427</v>
      </c>
      <c r="K86" s="2"/>
      <c r="L86" s="2"/>
      <c r="M86" s="2"/>
      <c r="N86" s="2">
        <v>39.9</v>
      </c>
      <c r="O86" s="2">
        <v>1964.7</v>
      </c>
    </row>
    <row r="87" spans="1:15" hidden="1">
      <c r="A87" s="1">
        <v>2015</v>
      </c>
      <c r="B87" s="9" t="s">
        <v>93</v>
      </c>
      <c r="C87" s="1" t="s">
        <v>94</v>
      </c>
      <c r="D87" s="2">
        <v>186922.60362723924</v>
      </c>
      <c r="E87" s="2">
        <v>52213.711300922689</v>
      </c>
      <c r="F87" s="2">
        <v>110826.4480344597</v>
      </c>
      <c r="G87" s="2">
        <v>19203.608960873255</v>
      </c>
      <c r="H87" s="2">
        <v>4678.8353309835938</v>
      </c>
      <c r="I87" s="2">
        <v>15148.876604041407</v>
      </c>
      <c r="J87" s="2">
        <v>29576.441592250561</v>
      </c>
      <c r="K87" s="2"/>
      <c r="L87" s="2"/>
      <c r="M87" s="2"/>
      <c r="N87" s="2">
        <v>28.2</v>
      </c>
      <c r="O87" s="2">
        <v>1546.5</v>
      </c>
    </row>
    <row r="88" spans="1:15" hidden="1">
      <c r="A88" s="1">
        <v>2015</v>
      </c>
      <c r="B88" s="9" t="s">
        <v>95</v>
      </c>
      <c r="C88" s="1" t="s">
        <v>96</v>
      </c>
      <c r="D88" s="2">
        <v>176014.38161744442</v>
      </c>
      <c r="E88" s="2">
        <v>51381.249067918732</v>
      </c>
      <c r="F88" s="2">
        <v>103760.68106944741</v>
      </c>
      <c r="G88" s="2">
        <v>16581.731197580157</v>
      </c>
      <c r="H88" s="2">
        <v>4290.720282498115</v>
      </c>
      <c r="I88" s="2">
        <v>14646.41658872384</v>
      </c>
      <c r="J88" s="2">
        <v>28152.2093139444</v>
      </c>
      <c r="K88" s="2"/>
      <c r="L88" s="2"/>
      <c r="M88" s="2"/>
      <c r="N88" s="2">
        <v>32.5</v>
      </c>
      <c r="O88" s="2">
        <v>1620.4</v>
      </c>
    </row>
    <row r="89" spans="1:15" hidden="1">
      <c r="A89" s="1">
        <v>2015</v>
      </c>
      <c r="B89" s="9" t="s">
        <v>97</v>
      </c>
      <c r="C89" s="1" t="s">
        <v>98</v>
      </c>
      <c r="D89" s="2">
        <v>182806.3722031962</v>
      </c>
      <c r="E89" s="2">
        <v>55864.891697928084</v>
      </c>
      <c r="F89" s="2">
        <v>105267.03443873163</v>
      </c>
      <c r="G89" s="2">
        <v>17207.867251268999</v>
      </c>
      <c r="H89" s="2">
        <v>4466.5788152675086</v>
      </c>
      <c r="I89" s="2">
        <v>15732.660326228552</v>
      </c>
      <c r="J89" s="2">
        <v>29230.088790760579</v>
      </c>
      <c r="K89" s="2"/>
      <c r="L89" s="2"/>
      <c r="M89" s="2"/>
      <c r="N89" s="2">
        <v>47.3</v>
      </c>
      <c r="O89" s="2">
        <v>2522.4</v>
      </c>
    </row>
    <row r="90" spans="1:15" hidden="1">
      <c r="A90" s="1">
        <v>2015</v>
      </c>
      <c r="B90" s="9" t="s">
        <v>99</v>
      </c>
      <c r="C90" s="1" t="s">
        <v>100</v>
      </c>
      <c r="D90" s="2">
        <v>182629.83849253034</v>
      </c>
      <c r="E90" s="2">
        <v>53809.910953411818</v>
      </c>
      <c r="F90" s="2">
        <v>103134.65954510766</v>
      </c>
      <c r="G90" s="2">
        <v>19682.409344273707</v>
      </c>
      <c r="H90" s="2">
        <v>6002.8586497371316</v>
      </c>
      <c r="I90" s="2">
        <v>15853.748958376535</v>
      </c>
      <c r="J90" s="2">
        <v>26893.803321508636</v>
      </c>
      <c r="K90" s="2"/>
      <c r="L90" s="2"/>
      <c r="M90" s="2"/>
      <c r="N90" s="2">
        <v>35.5</v>
      </c>
      <c r="O90" s="2">
        <v>1685.3</v>
      </c>
    </row>
    <row r="91" spans="1:15" hidden="1">
      <c r="A91" s="1">
        <v>2015</v>
      </c>
      <c r="B91" s="9" t="s">
        <v>101</v>
      </c>
      <c r="C91" s="1" t="s">
        <v>102</v>
      </c>
      <c r="D91" s="2">
        <v>196004.75766451203</v>
      </c>
      <c r="E91" s="2">
        <v>59546.832466345826</v>
      </c>
      <c r="F91" s="2">
        <v>112749.00404957311</v>
      </c>
      <c r="G91" s="2">
        <v>18048.892741957978</v>
      </c>
      <c r="H91" s="2">
        <v>5660.0284066351378</v>
      </c>
      <c r="I91" s="2">
        <v>15009.428109441313</v>
      </c>
      <c r="J91" s="2">
        <v>32953.834053538674</v>
      </c>
      <c r="K91" s="2"/>
      <c r="L91" s="2"/>
      <c r="M91" s="2"/>
      <c r="N91" s="2">
        <v>42.9</v>
      </c>
      <c r="O91" s="2">
        <v>1808.8</v>
      </c>
    </row>
    <row r="92" spans="1:15" hidden="1">
      <c r="A92" s="1">
        <v>2015</v>
      </c>
      <c r="B92" s="9" t="s">
        <v>103</v>
      </c>
      <c r="C92" s="1" t="s">
        <v>104</v>
      </c>
      <c r="D92" s="2">
        <v>183541.92108209751</v>
      </c>
      <c r="E92" s="2">
        <v>58101.780213485603</v>
      </c>
      <c r="F92" s="2">
        <v>101782.90910463186</v>
      </c>
      <c r="G92" s="2">
        <v>17878.218565054845</v>
      </c>
      <c r="H92" s="2">
        <v>5779.0131989252086</v>
      </c>
      <c r="I92" s="2">
        <v>16974.378175908769</v>
      </c>
      <c r="J92" s="2">
        <v>28793.713837009709</v>
      </c>
      <c r="K92" s="2"/>
      <c r="L92" s="2"/>
      <c r="M92" s="2"/>
      <c r="N92" s="2">
        <v>37.4</v>
      </c>
      <c r="O92" s="2">
        <v>1931.4</v>
      </c>
    </row>
    <row r="93" spans="1:15" hidden="1">
      <c r="A93" s="1">
        <v>2015</v>
      </c>
      <c r="B93" s="9" t="s">
        <v>105</v>
      </c>
      <c r="C93" s="1" t="s">
        <v>106</v>
      </c>
      <c r="D93" s="2">
        <v>180304.48862719847</v>
      </c>
      <c r="E93" s="2">
        <v>53542.115245747285</v>
      </c>
      <c r="F93" s="2">
        <v>105886.61650105582</v>
      </c>
      <c r="G93" s="2">
        <v>16259.491958948547</v>
      </c>
      <c r="H93" s="2">
        <v>4616.2649214468138</v>
      </c>
      <c r="I93" s="2">
        <v>14315.699057558173</v>
      </c>
      <c r="J93" s="2">
        <v>28374.210764141386</v>
      </c>
      <c r="K93" s="2"/>
      <c r="L93" s="2"/>
      <c r="M93" s="2"/>
      <c r="N93" s="2">
        <v>41.2</v>
      </c>
      <c r="O93" s="2">
        <v>1969.2</v>
      </c>
    </row>
    <row r="94" spans="1:15" hidden="1">
      <c r="A94" s="1">
        <v>2015</v>
      </c>
      <c r="B94" s="9" t="s">
        <v>107</v>
      </c>
      <c r="C94" s="1" t="s">
        <v>108</v>
      </c>
      <c r="D94" s="2">
        <v>184336.41702537908</v>
      </c>
      <c r="E94" s="2">
        <v>56216.011917578304</v>
      </c>
      <c r="F94" s="2">
        <v>106903.84569553898</v>
      </c>
      <c r="G94" s="2">
        <v>16505.537996434756</v>
      </c>
      <c r="H94" s="2">
        <v>4711.0214158270419</v>
      </c>
      <c r="I94" s="2">
        <v>16319.396296492345</v>
      </c>
      <c r="J94" s="2">
        <v>29249.378555489875</v>
      </c>
      <c r="K94" s="2"/>
      <c r="L94" s="2"/>
      <c r="M94" s="2"/>
      <c r="N94" s="2">
        <v>32.799999999999997</v>
      </c>
      <c r="O94" s="2">
        <v>1713.1</v>
      </c>
    </row>
    <row r="95" spans="1:15" hidden="1">
      <c r="A95" s="1">
        <v>2015</v>
      </c>
      <c r="B95" s="9" t="s">
        <v>109</v>
      </c>
      <c r="C95" s="1" t="s">
        <v>110</v>
      </c>
      <c r="D95" s="2">
        <v>171674.8006631957</v>
      </c>
      <c r="E95" s="2">
        <v>50961.284165887249</v>
      </c>
      <c r="F95" s="2">
        <v>99491.230698264728</v>
      </c>
      <c r="G95" s="2">
        <v>16617.704256257217</v>
      </c>
      <c r="H95" s="2">
        <v>4604.5815427864973</v>
      </c>
      <c r="I95" s="2">
        <v>14781.842899994137</v>
      </c>
      <c r="J95" s="2">
        <v>26649.930017876744</v>
      </c>
      <c r="K95" s="2"/>
      <c r="L95" s="2"/>
      <c r="M95" s="2"/>
      <c r="N95" s="2">
        <v>37.9</v>
      </c>
      <c r="O95" s="2">
        <v>1739.7</v>
      </c>
    </row>
    <row r="96" spans="1:15" hidden="1">
      <c r="A96" s="1">
        <v>2015</v>
      </c>
      <c r="B96" s="9" t="s">
        <v>111</v>
      </c>
      <c r="C96" s="1" t="s">
        <v>112</v>
      </c>
      <c r="D96" s="2">
        <v>175877.84261899305</v>
      </c>
      <c r="E96" s="2">
        <v>54238.344378554204</v>
      </c>
      <c r="F96" s="2">
        <v>99965.086475121629</v>
      </c>
      <c r="G96" s="2">
        <v>16402.473608260039</v>
      </c>
      <c r="H96" s="2">
        <v>5271.9381570571813</v>
      </c>
      <c r="I96" s="2">
        <v>16442.106068100737</v>
      </c>
      <c r="J96" s="2">
        <v>28372.477756860804</v>
      </c>
      <c r="K96" s="2"/>
      <c r="L96" s="2"/>
      <c r="M96" s="2"/>
      <c r="N96" s="2">
        <v>43.2</v>
      </c>
      <c r="O96" s="2">
        <v>2069.6</v>
      </c>
    </row>
    <row r="97" spans="1:15" hidden="1">
      <c r="A97" s="1">
        <v>2015</v>
      </c>
      <c r="B97" s="9" t="s">
        <v>113</v>
      </c>
      <c r="C97" s="1" t="s">
        <v>114</v>
      </c>
      <c r="D97" s="2">
        <v>158985.35945650074</v>
      </c>
      <c r="E97" s="2">
        <v>51118.140470493767</v>
      </c>
      <c r="F97" s="2">
        <v>87973.561471215507</v>
      </c>
      <c r="G97" s="2">
        <v>15665.239315029392</v>
      </c>
      <c r="H97" s="2">
        <v>4228.4181997620599</v>
      </c>
      <c r="I97" s="2">
        <v>12925.253471150521</v>
      </c>
      <c r="J97" s="2">
        <v>22943.527379753614</v>
      </c>
      <c r="K97" s="2"/>
      <c r="L97" s="2"/>
      <c r="M97" s="2"/>
      <c r="N97" s="2">
        <v>30.5</v>
      </c>
      <c r="O97" s="2">
        <v>1318.5</v>
      </c>
    </row>
    <row r="98" spans="1:15" hidden="1">
      <c r="A98" s="1">
        <v>2016</v>
      </c>
      <c r="B98" s="9" t="s">
        <v>205</v>
      </c>
      <c r="C98" s="1" t="s">
        <v>206</v>
      </c>
      <c r="D98" s="2">
        <v>174047.45573141341</v>
      </c>
      <c r="E98" s="2">
        <v>47978.801023896929</v>
      </c>
      <c r="F98" s="2">
        <v>102332.11189966633</v>
      </c>
      <c r="G98" s="2">
        <v>18876.440177193614</v>
      </c>
      <c r="H98" s="2">
        <v>4860.1026306564554</v>
      </c>
      <c r="I98" s="2">
        <v>15908.470706293672</v>
      </c>
      <c r="J98" s="2">
        <v>28736.323923729935</v>
      </c>
      <c r="K98" s="2"/>
      <c r="L98" s="2"/>
      <c r="M98" s="2"/>
      <c r="N98" s="2">
        <v>28.5</v>
      </c>
      <c r="O98" s="2">
        <v>1229.8</v>
      </c>
    </row>
    <row r="99" spans="1:15" hidden="1">
      <c r="A99" s="1">
        <v>2016</v>
      </c>
      <c r="B99" s="9" t="s">
        <v>207</v>
      </c>
      <c r="C99" s="1" t="s">
        <v>22</v>
      </c>
      <c r="D99" s="2">
        <v>191776.97705613231</v>
      </c>
      <c r="E99" s="2">
        <v>59594.838832670794</v>
      </c>
      <c r="F99" s="2">
        <v>108018.82349295486</v>
      </c>
      <c r="G99" s="2">
        <v>19976.437644374975</v>
      </c>
      <c r="H99" s="2">
        <v>4186.8770861316898</v>
      </c>
      <c r="I99" s="2">
        <v>21715.702366560436</v>
      </c>
      <c r="J99" s="2">
        <v>32624.993377802086</v>
      </c>
      <c r="K99" s="2"/>
      <c r="L99" s="2"/>
      <c r="M99" s="2"/>
      <c r="N99" s="2">
        <v>32.1</v>
      </c>
      <c r="O99" s="2">
        <v>1781.7</v>
      </c>
    </row>
    <row r="100" spans="1:15" hidden="1">
      <c r="A100" s="1">
        <v>2016</v>
      </c>
      <c r="B100" s="9" t="s">
        <v>23</v>
      </c>
      <c r="C100" s="1" t="s">
        <v>24</v>
      </c>
      <c r="D100" s="2">
        <v>175062.49495467104</v>
      </c>
      <c r="E100" s="2">
        <v>47480.774973511572</v>
      </c>
      <c r="F100" s="2">
        <v>107285.29557413913</v>
      </c>
      <c r="G100" s="2">
        <v>16932.36529114758</v>
      </c>
      <c r="H100" s="2">
        <v>3364.0591158727602</v>
      </c>
      <c r="I100" s="2">
        <v>17662.743964507306</v>
      </c>
      <c r="J100" s="2">
        <v>34664.022442420493</v>
      </c>
      <c r="K100" s="2"/>
      <c r="L100" s="2"/>
      <c r="M100" s="2"/>
      <c r="N100" s="2">
        <v>31.4</v>
      </c>
      <c r="O100" s="2">
        <v>1359.2</v>
      </c>
    </row>
    <row r="101" spans="1:15" hidden="1">
      <c r="A101" s="1">
        <v>2016</v>
      </c>
      <c r="B101" s="9" t="s">
        <v>25</v>
      </c>
      <c r="C101" s="1" t="s">
        <v>26</v>
      </c>
      <c r="D101" s="2">
        <v>173322.2921251065</v>
      </c>
      <c r="E101" s="2">
        <v>48735.06670052118</v>
      </c>
      <c r="F101" s="2">
        <v>102496.69150951518</v>
      </c>
      <c r="G101" s="2">
        <v>18173.616227633396</v>
      </c>
      <c r="H101" s="2">
        <v>3916.9176874367281</v>
      </c>
      <c r="I101" s="2">
        <v>16812.585521441113</v>
      </c>
      <c r="J101" s="2">
        <v>32393.957915077914</v>
      </c>
      <c r="K101" s="2"/>
      <c r="L101" s="2"/>
      <c r="M101" s="2"/>
      <c r="N101" s="2">
        <v>30.8</v>
      </c>
      <c r="O101" s="2">
        <v>1377.8</v>
      </c>
    </row>
    <row r="102" spans="1:15" hidden="1">
      <c r="A102" s="1">
        <v>2016</v>
      </c>
      <c r="B102" s="9" t="s">
        <v>27</v>
      </c>
      <c r="C102" s="1" t="s">
        <v>28</v>
      </c>
      <c r="D102" s="2">
        <v>178061.43010199181</v>
      </c>
      <c r="E102" s="2">
        <v>48962.529606003882</v>
      </c>
      <c r="F102" s="2">
        <v>107033.13203279032</v>
      </c>
      <c r="G102" s="2">
        <v>17684.916018200038</v>
      </c>
      <c r="H102" s="2">
        <v>4380.8524449975575</v>
      </c>
      <c r="I102" s="2">
        <v>16862.224110754145</v>
      </c>
      <c r="J102" s="2">
        <v>33755.519028099909</v>
      </c>
      <c r="K102" s="2"/>
      <c r="L102" s="2"/>
      <c r="M102" s="2"/>
      <c r="N102" s="2">
        <v>25.1</v>
      </c>
      <c r="O102" s="2">
        <v>1082.5999999999999</v>
      </c>
    </row>
    <row r="103" spans="1:15" hidden="1">
      <c r="A103" s="1">
        <v>2016</v>
      </c>
      <c r="B103" s="9" t="s">
        <v>29</v>
      </c>
      <c r="C103" s="1" t="s">
        <v>30</v>
      </c>
      <c r="D103" s="2">
        <v>192052.03654898601</v>
      </c>
      <c r="E103" s="2">
        <v>56340.7009463551</v>
      </c>
      <c r="F103" s="2">
        <v>112532.12106226472</v>
      </c>
      <c r="G103" s="2">
        <v>19030.204049483553</v>
      </c>
      <c r="H103" s="2">
        <v>4149.0104908826497</v>
      </c>
      <c r="I103" s="2">
        <v>20480.170412214207</v>
      </c>
      <c r="J103" s="2">
        <v>35233.638572799784</v>
      </c>
      <c r="K103" s="2"/>
      <c r="L103" s="2"/>
      <c r="M103" s="2"/>
      <c r="N103" s="2">
        <v>31.1</v>
      </c>
      <c r="O103" s="2">
        <v>1502.5</v>
      </c>
    </row>
    <row r="104" spans="1:15" hidden="1">
      <c r="A104" s="1">
        <v>2016</v>
      </c>
      <c r="B104" s="9" t="s">
        <v>31</v>
      </c>
      <c r="C104" s="1" t="s">
        <v>32</v>
      </c>
      <c r="D104" s="2">
        <v>178303.51882322028</v>
      </c>
      <c r="E104" s="2">
        <v>50820.388801214074</v>
      </c>
      <c r="F104" s="2">
        <v>105863.94632247378</v>
      </c>
      <c r="G104" s="2">
        <v>17944.583750431942</v>
      </c>
      <c r="H104" s="2">
        <v>3674.5999491004741</v>
      </c>
      <c r="I104" s="2">
        <v>16237.795078973348</v>
      </c>
      <c r="J104" s="2">
        <v>33666.538999027245</v>
      </c>
      <c r="K104" s="2"/>
      <c r="L104" s="2"/>
      <c r="M104" s="2"/>
      <c r="N104" s="2">
        <v>27.3</v>
      </c>
      <c r="O104" s="2">
        <v>1320.6</v>
      </c>
    </row>
    <row r="105" spans="1:15" hidden="1">
      <c r="A105" s="1">
        <v>2016</v>
      </c>
      <c r="B105" s="9" t="s">
        <v>33</v>
      </c>
      <c r="C105" s="1" t="s">
        <v>34</v>
      </c>
      <c r="D105" s="2">
        <v>172167.10605820731</v>
      </c>
      <c r="E105" s="2">
        <v>46494.812031952133</v>
      </c>
      <c r="F105" s="2">
        <v>104607.09366340822</v>
      </c>
      <c r="G105" s="2">
        <v>17141.230841541204</v>
      </c>
      <c r="H105" s="2">
        <v>3923.9695213057398</v>
      </c>
      <c r="I105" s="2">
        <v>15595.259391089883</v>
      </c>
      <c r="J105" s="2">
        <v>33668.657327001238</v>
      </c>
      <c r="K105" s="2"/>
      <c r="L105" s="2"/>
      <c r="M105" s="2"/>
      <c r="N105" s="2">
        <v>29.1</v>
      </c>
      <c r="O105" s="2">
        <v>1345.7</v>
      </c>
    </row>
    <row r="106" spans="1:15" hidden="1">
      <c r="A106" s="1">
        <v>2016</v>
      </c>
      <c r="B106" s="9" t="s">
        <v>35</v>
      </c>
      <c r="C106" s="1" t="s">
        <v>36</v>
      </c>
      <c r="D106" s="2">
        <v>167050.20027500414</v>
      </c>
      <c r="E106" s="2">
        <v>43739.875922869287</v>
      </c>
      <c r="F106" s="2">
        <v>102100.18756313674</v>
      </c>
      <c r="G106" s="2">
        <v>17660.495850376425</v>
      </c>
      <c r="H106" s="2">
        <v>3549.6409386216965</v>
      </c>
      <c r="I106" s="2">
        <v>14875.522242883564</v>
      </c>
      <c r="J106" s="2">
        <v>29794.458247852763</v>
      </c>
      <c r="K106" s="2"/>
      <c r="L106" s="2"/>
      <c r="M106" s="2"/>
      <c r="N106" s="2">
        <v>27.3</v>
      </c>
      <c r="O106" s="2">
        <v>1090.3</v>
      </c>
    </row>
    <row r="107" spans="1:15" hidden="1">
      <c r="A107" s="1">
        <v>2016</v>
      </c>
      <c r="B107" s="9" t="s">
        <v>37</v>
      </c>
      <c r="C107" s="1" t="s">
        <v>38</v>
      </c>
      <c r="D107" s="2">
        <v>169897.87054030568</v>
      </c>
      <c r="E107" s="2">
        <v>43412.598373007742</v>
      </c>
      <c r="F107" s="2">
        <v>105039.93827537648</v>
      </c>
      <c r="G107" s="2">
        <v>17108.547550395651</v>
      </c>
      <c r="H107" s="2">
        <v>4336.7863415257989</v>
      </c>
      <c r="I107" s="2">
        <v>14689.71502951569</v>
      </c>
      <c r="J107" s="2">
        <v>29708.242467092452</v>
      </c>
      <c r="K107" s="2"/>
      <c r="L107" s="2"/>
      <c r="M107" s="2"/>
      <c r="N107" s="2">
        <v>29.7</v>
      </c>
      <c r="O107" s="2">
        <v>1080.9000000000001</v>
      </c>
    </row>
    <row r="108" spans="1:15" hidden="1">
      <c r="A108" s="1">
        <v>2016</v>
      </c>
      <c r="B108" s="9" t="s">
        <v>39</v>
      </c>
      <c r="C108" s="1" t="s">
        <v>40</v>
      </c>
      <c r="D108" s="2">
        <v>169833.41555882074</v>
      </c>
      <c r="E108" s="2">
        <v>46156.973194871156</v>
      </c>
      <c r="F108" s="2">
        <v>101835.39494344719</v>
      </c>
      <c r="G108" s="2">
        <v>17367.799022331204</v>
      </c>
      <c r="H108" s="2">
        <v>4473.2483981711994</v>
      </c>
      <c r="I108" s="2">
        <v>15404.835607475559</v>
      </c>
      <c r="J108" s="2">
        <v>28842.853196621385</v>
      </c>
      <c r="K108" s="2"/>
      <c r="L108" s="2"/>
      <c r="M108" s="2"/>
      <c r="N108" s="2">
        <v>27.9</v>
      </c>
      <c r="O108" s="2">
        <v>1235.5</v>
      </c>
    </row>
    <row r="109" spans="1:15" hidden="1">
      <c r="A109" s="1">
        <v>2016</v>
      </c>
      <c r="B109" s="9" t="s">
        <v>41</v>
      </c>
      <c r="C109" s="1" t="s">
        <v>42</v>
      </c>
      <c r="D109" s="2">
        <v>166120.20734545967</v>
      </c>
      <c r="E109" s="2">
        <v>43135.256450068759</v>
      </c>
      <c r="F109" s="2">
        <v>99668.338284539423</v>
      </c>
      <c r="G109" s="2">
        <v>18550.830222771066</v>
      </c>
      <c r="H109" s="2">
        <v>4765.7823880804126</v>
      </c>
      <c r="I109" s="2">
        <v>14684.730552889487</v>
      </c>
      <c r="J109" s="2">
        <v>28558.405763974184</v>
      </c>
      <c r="K109" s="2"/>
      <c r="L109" s="2"/>
      <c r="M109" s="2"/>
      <c r="N109" s="2">
        <v>28.3</v>
      </c>
      <c r="O109" s="2">
        <v>852.1</v>
      </c>
    </row>
    <row r="110" spans="1:15" hidden="1">
      <c r="A110" s="1">
        <v>2016</v>
      </c>
      <c r="B110" s="9" t="s">
        <v>43</v>
      </c>
      <c r="C110" s="1" t="s">
        <v>44</v>
      </c>
      <c r="D110" s="2">
        <v>170740.64204044983</v>
      </c>
      <c r="E110" s="2">
        <v>45132.173313340274</v>
      </c>
      <c r="F110" s="2">
        <v>102244.69535384246</v>
      </c>
      <c r="G110" s="2">
        <v>19003.680694945426</v>
      </c>
      <c r="H110" s="2">
        <v>4360.0926783216964</v>
      </c>
      <c r="I110" s="2">
        <v>15842.387436993004</v>
      </c>
      <c r="J110" s="2">
        <v>29512.340526628061</v>
      </c>
      <c r="K110" s="2"/>
      <c r="L110" s="2"/>
      <c r="M110" s="2"/>
      <c r="N110" s="2">
        <v>25.8</v>
      </c>
      <c r="O110" s="2">
        <v>944.5</v>
      </c>
    </row>
    <row r="111" spans="1:15" hidden="1">
      <c r="A111" s="1">
        <v>2016</v>
      </c>
      <c r="B111" s="9" t="s">
        <v>45</v>
      </c>
      <c r="C111" s="1" t="s">
        <v>46</v>
      </c>
      <c r="D111" s="2">
        <v>168714.25106223783</v>
      </c>
      <c r="E111" s="2">
        <v>42753.47828810363</v>
      </c>
      <c r="F111" s="2">
        <v>101391.24230736571</v>
      </c>
      <c r="G111" s="2">
        <v>19660.70243778413</v>
      </c>
      <c r="H111" s="2">
        <v>4908.8280289843397</v>
      </c>
      <c r="I111" s="2">
        <v>14396.039469599773</v>
      </c>
      <c r="J111" s="2">
        <v>26185.713073625724</v>
      </c>
      <c r="K111" s="2"/>
      <c r="L111" s="2"/>
      <c r="M111" s="2"/>
      <c r="N111" s="2">
        <v>22.3</v>
      </c>
      <c r="O111" s="2">
        <v>942.1</v>
      </c>
    </row>
    <row r="112" spans="1:15" hidden="1">
      <c r="A112" s="1">
        <v>2016</v>
      </c>
      <c r="B112" s="9" t="s">
        <v>47</v>
      </c>
      <c r="C112" s="1" t="s">
        <v>48</v>
      </c>
      <c r="D112" s="2">
        <v>172355.47986824071</v>
      </c>
      <c r="E112" s="2">
        <v>44561.826708957029</v>
      </c>
      <c r="F112" s="2">
        <v>103868.19572172158</v>
      </c>
      <c r="G112" s="2">
        <v>19473.837517171989</v>
      </c>
      <c r="H112" s="2">
        <v>4451.6199203901197</v>
      </c>
      <c r="I112" s="2">
        <v>15288.054388798275</v>
      </c>
      <c r="J112" s="2">
        <v>28338.733720861197</v>
      </c>
      <c r="K112" s="2"/>
      <c r="L112" s="2"/>
      <c r="M112" s="2"/>
      <c r="N112" s="2">
        <v>22.3</v>
      </c>
      <c r="O112" s="2">
        <v>808.9</v>
      </c>
    </row>
    <row r="113" spans="1:15" hidden="1">
      <c r="A113" s="1">
        <v>2016</v>
      </c>
      <c r="B113" s="9" t="s">
        <v>49</v>
      </c>
      <c r="C113" s="1" t="s">
        <v>50</v>
      </c>
      <c r="D113" s="2">
        <v>162408.9705722481</v>
      </c>
      <c r="E113" s="2">
        <v>43126.121600546889</v>
      </c>
      <c r="F113" s="2">
        <v>98372.174839804982</v>
      </c>
      <c r="G113" s="2">
        <v>17562.714554625898</v>
      </c>
      <c r="H113" s="2">
        <v>3347.9595772703442</v>
      </c>
      <c r="I113" s="2">
        <v>14807.47686615465</v>
      </c>
      <c r="J113" s="2">
        <v>28873.858968239325</v>
      </c>
      <c r="K113" s="2"/>
      <c r="L113" s="2"/>
      <c r="M113" s="2"/>
      <c r="N113" s="2">
        <v>30.9</v>
      </c>
      <c r="O113" s="2">
        <v>1250.9000000000001</v>
      </c>
    </row>
    <row r="114" spans="1:15" hidden="1">
      <c r="A114" s="1">
        <v>2016</v>
      </c>
      <c r="B114" s="9" t="s">
        <v>51</v>
      </c>
      <c r="C114" s="1" t="s">
        <v>52</v>
      </c>
      <c r="D114" s="2">
        <v>165489.43430092305</v>
      </c>
      <c r="E114" s="2">
        <v>48325.242739965819</v>
      </c>
      <c r="F114" s="2">
        <v>95946.218586619463</v>
      </c>
      <c r="G114" s="2">
        <v>16554.094714992945</v>
      </c>
      <c r="H114" s="2">
        <v>4663.8782593447995</v>
      </c>
      <c r="I114" s="2">
        <v>15827.173925772247</v>
      </c>
      <c r="J114" s="2">
        <v>29001.950468714927</v>
      </c>
      <c r="K114" s="2"/>
      <c r="L114" s="2"/>
      <c r="M114" s="2"/>
      <c r="N114" s="2">
        <v>33.4</v>
      </c>
      <c r="O114" s="2">
        <v>1577</v>
      </c>
    </row>
    <row r="115" spans="1:15" hidden="1">
      <c r="A115" s="1">
        <v>2016</v>
      </c>
      <c r="B115" s="9" t="s">
        <v>53</v>
      </c>
      <c r="C115" s="1" t="s">
        <v>54</v>
      </c>
      <c r="D115" s="2">
        <v>174914.25003527975</v>
      </c>
      <c r="E115" s="2">
        <v>53123.7523370407</v>
      </c>
      <c r="F115" s="2">
        <v>100664.36183044706</v>
      </c>
      <c r="G115" s="2">
        <v>16672.823379673846</v>
      </c>
      <c r="H115" s="2">
        <v>4453.3124881181357</v>
      </c>
      <c r="I115" s="2">
        <v>17918.239224459921</v>
      </c>
      <c r="J115" s="2">
        <v>29543.343702698978</v>
      </c>
      <c r="K115" s="2"/>
      <c r="L115" s="2"/>
      <c r="M115" s="2"/>
      <c r="N115" s="2">
        <v>32</v>
      </c>
      <c r="O115" s="2">
        <v>1582.3</v>
      </c>
    </row>
    <row r="116" spans="1:15" hidden="1">
      <c r="A116" s="1">
        <v>2016</v>
      </c>
      <c r="B116" s="9" t="s">
        <v>55</v>
      </c>
      <c r="C116" s="1" t="s">
        <v>56</v>
      </c>
      <c r="D116" s="2">
        <v>174123.20092302936</v>
      </c>
      <c r="E116" s="2">
        <v>53976.40101808936</v>
      </c>
      <c r="F116" s="2">
        <v>99575.237747198495</v>
      </c>
      <c r="G116" s="2">
        <v>16011.168512318212</v>
      </c>
      <c r="H116" s="2">
        <v>4560.3936454232744</v>
      </c>
      <c r="I116" s="2">
        <v>18337.77861274602</v>
      </c>
      <c r="J116" s="2">
        <v>29967.356204608317</v>
      </c>
      <c r="K116" s="2"/>
      <c r="L116" s="2"/>
      <c r="M116" s="2"/>
      <c r="N116" s="2">
        <v>29.6</v>
      </c>
      <c r="O116" s="2">
        <v>1404.1</v>
      </c>
    </row>
    <row r="117" spans="1:15" hidden="1">
      <c r="A117" s="1">
        <v>2016</v>
      </c>
      <c r="B117" s="9" t="s">
        <v>57</v>
      </c>
      <c r="C117" s="1" t="s">
        <v>58</v>
      </c>
      <c r="D117" s="2">
        <v>174319.91325391401</v>
      </c>
      <c r="E117" s="2">
        <v>47184.778345503604</v>
      </c>
      <c r="F117" s="2">
        <v>104627.95781031175</v>
      </c>
      <c r="G117" s="2">
        <v>17948.761408057151</v>
      </c>
      <c r="H117" s="2">
        <v>4558.4156900415092</v>
      </c>
      <c r="I117" s="2">
        <v>13951.971524010567</v>
      </c>
      <c r="J117" s="2">
        <v>29714.688579770889</v>
      </c>
      <c r="K117" s="2"/>
      <c r="L117" s="2"/>
      <c r="M117" s="2"/>
      <c r="N117" s="2">
        <v>29.4</v>
      </c>
      <c r="O117" s="2">
        <v>1310</v>
      </c>
    </row>
    <row r="118" spans="1:15" hidden="1">
      <c r="A118" s="1">
        <v>2016</v>
      </c>
      <c r="B118" s="9" t="s">
        <v>59</v>
      </c>
      <c r="C118" s="1" t="s">
        <v>60</v>
      </c>
      <c r="D118" s="2">
        <v>161703.75784451471</v>
      </c>
      <c r="E118" s="2">
        <v>46626.119963957484</v>
      </c>
      <c r="F118" s="2">
        <v>94781.947279069325</v>
      </c>
      <c r="G118" s="2">
        <v>16094.619013916845</v>
      </c>
      <c r="H118" s="2">
        <v>4201.0715875710603</v>
      </c>
      <c r="I118" s="2">
        <v>14531.216429572762</v>
      </c>
      <c r="J118" s="2">
        <v>26911.763142044132</v>
      </c>
      <c r="K118" s="2"/>
      <c r="L118" s="2"/>
      <c r="M118" s="2"/>
      <c r="N118" s="2">
        <v>23.9</v>
      </c>
      <c r="O118" s="2">
        <v>1152.0999999999999</v>
      </c>
    </row>
    <row r="119" spans="1:15" hidden="1">
      <c r="A119" s="1">
        <v>2016</v>
      </c>
      <c r="B119" s="9" t="s">
        <v>61</v>
      </c>
      <c r="C119" s="1" t="s">
        <v>62</v>
      </c>
      <c r="D119" s="2">
        <v>169448.3198817482</v>
      </c>
      <c r="E119" s="2">
        <v>43894.574857753993</v>
      </c>
      <c r="F119" s="2">
        <v>101188.05321763597</v>
      </c>
      <c r="G119" s="2">
        <v>19489.172744770254</v>
      </c>
      <c r="H119" s="2">
        <v>4876.5190615880083</v>
      </c>
      <c r="I119" s="2">
        <v>15062.720212681614</v>
      </c>
      <c r="J119" s="2">
        <v>28154.152855089818</v>
      </c>
      <c r="K119" s="2"/>
      <c r="L119" s="2"/>
      <c r="M119" s="2"/>
      <c r="N119" s="2">
        <v>24.6</v>
      </c>
      <c r="O119" s="2">
        <v>1026.7</v>
      </c>
    </row>
    <row r="120" spans="1:15" hidden="1">
      <c r="A120" s="1">
        <v>2016</v>
      </c>
      <c r="B120" s="9" t="s">
        <v>63</v>
      </c>
      <c r="C120" s="1" t="s">
        <v>64</v>
      </c>
      <c r="D120" s="2">
        <v>165223.00150231208</v>
      </c>
      <c r="E120" s="2">
        <v>42472.236180341562</v>
      </c>
      <c r="F120" s="2">
        <v>102175.96632439955</v>
      </c>
      <c r="G120" s="2">
        <v>16918.631328724216</v>
      </c>
      <c r="H120" s="2">
        <v>3656.1676688467505</v>
      </c>
      <c r="I120" s="2">
        <v>13862.963349789759</v>
      </c>
      <c r="J120" s="2">
        <v>28537.449713372036</v>
      </c>
      <c r="K120" s="2"/>
      <c r="L120" s="2"/>
      <c r="M120" s="2"/>
      <c r="N120" s="2">
        <v>28</v>
      </c>
      <c r="O120" s="2">
        <v>1052.2</v>
      </c>
    </row>
    <row r="121" spans="1:15" hidden="1">
      <c r="A121" s="1">
        <v>2016</v>
      </c>
      <c r="B121" s="9" t="s">
        <v>65</v>
      </c>
      <c r="C121" s="1" t="s">
        <v>66</v>
      </c>
      <c r="D121" s="2">
        <v>164872.73834592171</v>
      </c>
      <c r="E121" s="2">
        <v>41246.876029255516</v>
      </c>
      <c r="F121" s="2">
        <v>99407.135756134085</v>
      </c>
      <c r="G121" s="2">
        <v>19983.195887120386</v>
      </c>
      <c r="H121" s="2">
        <v>4235.5306734117476</v>
      </c>
      <c r="I121" s="2">
        <v>13493.264134887066</v>
      </c>
      <c r="J121" s="2">
        <v>26508.713343738506</v>
      </c>
      <c r="K121" s="2"/>
      <c r="L121" s="2"/>
      <c r="M121" s="2"/>
      <c r="N121" s="2">
        <v>24</v>
      </c>
      <c r="O121" s="2">
        <v>903.4</v>
      </c>
    </row>
    <row r="122" spans="1:15" hidden="1">
      <c r="A122" s="1">
        <v>2016</v>
      </c>
      <c r="B122" s="9" t="s">
        <v>67</v>
      </c>
      <c r="C122" s="1" t="s">
        <v>68</v>
      </c>
      <c r="D122" s="2">
        <v>167636.63970672622</v>
      </c>
      <c r="E122" s="2">
        <v>45346.167443765946</v>
      </c>
      <c r="F122" s="2">
        <v>100313.32751732126</v>
      </c>
      <c r="G122" s="2">
        <v>18085.663405696534</v>
      </c>
      <c r="H122" s="2">
        <v>3891.4813399424584</v>
      </c>
      <c r="I122" s="2">
        <v>15173.680114443103</v>
      </c>
      <c r="J122" s="2">
        <v>28404.709379530923</v>
      </c>
      <c r="K122" s="2"/>
      <c r="L122" s="2"/>
      <c r="M122" s="2"/>
      <c r="N122" s="2">
        <v>28.8</v>
      </c>
      <c r="O122" s="2">
        <v>1122.4000000000001</v>
      </c>
    </row>
    <row r="123" spans="1:15" hidden="1">
      <c r="A123" s="1">
        <v>2016</v>
      </c>
      <c r="B123" s="9" t="s">
        <v>69</v>
      </c>
      <c r="C123" s="1" t="s">
        <v>70</v>
      </c>
      <c r="D123" s="2">
        <v>165631.40364459527</v>
      </c>
      <c r="E123" s="2">
        <v>48462.106848129268</v>
      </c>
      <c r="F123" s="2">
        <v>95479.947128979504</v>
      </c>
      <c r="G123" s="2">
        <v>17429.145936327786</v>
      </c>
      <c r="H123" s="2">
        <v>4260.2037311587137</v>
      </c>
      <c r="I123" s="2">
        <v>14961.930730018274</v>
      </c>
      <c r="J123" s="2">
        <v>28209.666007121181</v>
      </c>
      <c r="K123" s="2"/>
      <c r="L123" s="2"/>
      <c r="M123" s="2"/>
      <c r="N123" s="2">
        <v>25.5</v>
      </c>
      <c r="O123" s="2">
        <v>1025.5999999999999</v>
      </c>
    </row>
    <row r="124" spans="1:15" hidden="1">
      <c r="A124" s="1">
        <v>2016</v>
      </c>
      <c r="B124" s="9" t="s">
        <v>71</v>
      </c>
      <c r="C124" s="1" t="s">
        <v>72</v>
      </c>
      <c r="D124" s="2">
        <v>171939.67689312182</v>
      </c>
      <c r="E124" s="2">
        <v>48215.480768872563</v>
      </c>
      <c r="F124" s="2">
        <v>99339.914611958215</v>
      </c>
      <c r="G124" s="2">
        <v>18570.266540792778</v>
      </c>
      <c r="H124" s="2">
        <v>5814.0149714982672</v>
      </c>
      <c r="I124" s="2">
        <v>15855.798703924345</v>
      </c>
      <c r="J124" s="2">
        <v>26528.799107126913</v>
      </c>
      <c r="K124" s="2"/>
      <c r="L124" s="2"/>
      <c r="M124" s="2"/>
      <c r="N124" s="2">
        <v>28.8</v>
      </c>
      <c r="O124" s="2">
        <v>1373.7</v>
      </c>
    </row>
    <row r="125" spans="1:15" hidden="1">
      <c r="A125" s="1">
        <v>2016</v>
      </c>
      <c r="B125" s="9" t="s">
        <v>73</v>
      </c>
      <c r="C125" s="1" t="s">
        <v>74</v>
      </c>
      <c r="D125" s="2">
        <v>177795.25194214034</v>
      </c>
      <c r="E125" s="2">
        <v>47014.562066296312</v>
      </c>
      <c r="F125" s="2">
        <v>101295.00683518598</v>
      </c>
      <c r="G125" s="2">
        <v>21638.920761513658</v>
      </c>
      <c r="H125" s="2">
        <v>7846.7622791443891</v>
      </c>
      <c r="I125" s="2">
        <v>15312.258797326065</v>
      </c>
      <c r="J125" s="2">
        <v>27353.763363155358</v>
      </c>
      <c r="K125" s="2"/>
      <c r="L125" s="2"/>
      <c r="M125" s="2"/>
      <c r="N125" s="2">
        <v>26.5</v>
      </c>
      <c r="O125" s="2">
        <v>1211.4000000000001</v>
      </c>
    </row>
    <row r="126" spans="1:15" hidden="1">
      <c r="A126" s="1">
        <v>2016</v>
      </c>
      <c r="B126" s="9" t="s">
        <v>75</v>
      </c>
      <c r="C126" s="1" t="s">
        <v>76</v>
      </c>
      <c r="D126" s="2">
        <v>177157.323611589</v>
      </c>
      <c r="E126" s="2">
        <v>47916.603576645233</v>
      </c>
      <c r="F126" s="2">
        <v>103853.87665530341</v>
      </c>
      <c r="G126" s="2">
        <v>20211.362495074289</v>
      </c>
      <c r="H126" s="2">
        <v>5175.4808845660773</v>
      </c>
      <c r="I126" s="2">
        <v>15390.247677246476</v>
      </c>
      <c r="J126" s="2">
        <v>28686.062411912721</v>
      </c>
      <c r="K126" s="2"/>
      <c r="L126" s="2"/>
      <c r="M126" s="2"/>
      <c r="N126" s="2">
        <v>26.5</v>
      </c>
      <c r="O126" s="2">
        <v>1177.5</v>
      </c>
    </row>
    <row r="127" spans="1:15" hidden="1">
      <c r="A127" s="1">
        <v>2016</v>
      </c>
      <c r="B127" s="9" t="s">
        <v>77</v>
      </c>
      <c r="C127" s="1" t="s">
        <v>78</v>
      </c>
      <c r="D127" s="2">
        <v>174409.74066387708</v>
      </c>
      <c r="E127" s="2">
        <v>50004.424420867741</v>
      </c>
      <c r="F127" s="2">
        <v>100641.39251595987</v>
      </c>
      <c r="G127" s="2">
        <v>18201.481290960328</v>
      </c>
      <c r="H127" s="2">
        <v>5562.4424360891462</v>
      </c>
      <c r="I127" s="2">
        <v>15821.298830227623</v>
      </c>
      <c r="J127" s="2">
        <v>29552.861255418946</v>
      </c>
      <c r="K127" s="2"/>
      <c r="L127" s="2"/>
      <c r="M127" s="2"/>
      <c r="N127" s="2">
        <v>26.2</v>
      </c>
      <c r="O127" s="2">
        <v>1237</v>
      </c>
    </row>
    <row r="128" spans="1:15" hidden="1">
      <c r="A128" s="1">
        <v>2016</v>
      </c>
      <c r="B128" s="9" t="s">
        <v>79</v>
      </c>
      <c r="C128" s="1" t="s">
        <v>80</v>
      </c>
      <c r="D128" s="2">
        <v>175682.57824511113</v>
      </c>
      <c r="E128" s="2">
        <v>46401.06634749061</v>
      </c>
      <c r="F128" s="2">
        <v>104379.99238071412</v>
      </c>
      <c r="G128" s="2">
        <v>18827.433670989001</v>
      </c>
      <c r="H128" s="2">
        <v>6074.085845917406</v>
      </c>
      <c r="I128" s="2">
        <v>14757.031139566554</v>
      </c>
      <c r="J128" s="2">
        <v>28897.662450539243</v>
      </c>
      <c r="K128" s="2"/>
      <c r="L128" s="2"/>
      <c r="M128" s="2"/>
      <c r="N128" s="2">
        <v>29.8</v>
      </c>
      <c r="O128" s="2">
        <v>1415.6</v>
      </c>
    </row>
    <row r="129" spans="1:15" hidden="1">
      <c r="A129" s="1">
        <v>2016</v>
      </c>
      <c r="B129" s="9" t="s">
        <v>81</v>
      </c>
      <c r="C129" s="1" t="s">
        <v>82</v>
      </c>
      <c r="D129" s="2">
        <v>172857.5633522943</v>
      </c>
      <c r="E129" s="2">
        <v>52452.443893313663</v>
      </c>
      <c r="F129" s="2">
        <v>99687.015280519117</v>
      </c>
      <c r="G129" s="2">
        <v>17539.531433404471</v>
      </c>
      <c r="H129" s="2">
        <v>3178.5727450570485</v>
      </c>
      <c r="I129" s="2">
        <v>18468.450558142617</v>
      </c>
      <c r="J129" s="2">
        <v>27350.920234666562</v>
      </c>
      <c r="K129" s="2"/>
      <c r="L129" s="2"/>
      <c r="M129" s="2"/>
      <c r="N129" s="2">
        <v>29.4</v>
      </c>
      <c r="O129" s="2">
        <v>1518.6</v>
      </c>
    </row>
    <row r="130" spans="1:15" hidden="1">
      <c r="A130" s="1">
        <v>2016</v>
      </c>
      <c r="B130" s="9" t="s">
        <v>83</v>
      </c>
      <c r="C130" s="1" t="s">
        <v>84</v>
      </c>
      <c r="D130" s="2">
        <v>182774.62493859819</v>
      </c>
      <c r="E130" s="2">
        <v>56567.751892182525</v>
      </c>
      <c r="F130" s="2">
        <v>105978.65035145456</v>
      </c>
      <c r="G130" s="2">
        <v>16823.404727157424</v>
      </c>
      <c r="H130" s="2">
        <v>3404.8179678036745</v>
      </c>
      <c r="I130" s="2">
        <v>17873.267394982147</v>
      </c>
      <c r="J130" s="2">
        <v>30247.706888491553</v>
      </c>
      <c r="K130" s="2"/>
      <c r="L130" s="2"/>
      <c r="M130" s="2"/>
      <c r="N130" s="2">
        <v>29.3</v>
      </c>
      <c r="O130" s="2">
        <v>1543.8</v>
      </c>
    </row>
    <row r="131" spans="1:15" hidden="1">
      <c r="A131" s="1">
        <v>2016</v>
      </c>
      <c r="B131" s="9" t="s">
        <v>85</v>
      </c>
      <c r="C131" s="1" t="s">
        <v>86</v>
      </c>
      <c r="D131" s="2">
        <v>178641.20335330503</v>
      </c>
      <c r="E131" s="2">
        <v>49267.371135652123</v>
      </c>
      <c r="F131" s="2">
        <v>105426.71104187166</v>
      </c>
      <c r="G131" s="2">
        <v>20004.516286837505</v>
      </c>
      <c r="H131" s="2">
        <v>3942.6048889437388</v>
      </c>
      <c r="I131" s="2">
        <v>15470.276812469803</v>
      </c>
      <c r="J131" s="2">
        <v>29131.593756274313</v>
      </c>
      <c r="K131" s="2"/>
      <c r="L131" s="2"/>
      <c r="M131" s="2"/>
      <c r="N131" s="2">
        <v>27</v>
      </c>
      <c r="O131" s="2">
        <v>1494.3</v>
      </c>
    </row>
    <row r="132" spans="1:15" hidden="1">
      <c r="A132" s="1">
        <v>2016</v>
      </c>
      <c r="B132" s="9" t="s">
        <v>87</v>
      </c>
      <c r="C132" s="1" t="s">
        <v>88</v>
      </c>
      <c r="D132" s="2">
        <v>174581.20851123071</v>
      </c>
      <c r="E132" s="2">
        <v>47839.359216601013</v>
      </c>
      <c r="F132" s="2">
        <v>103747.00210221119</v>
      </c>
      <c r="G132" s="2">
        <v>19021.4515587432</v>
      </c>
      <c r="H132" s="2">
        <v>3973.3956336753113</v>
      </c>
      <c r="I132" s="2">
        <v>15871.824316295051</v>
      </c>
      <c r="J132" s="2">
        <v>29220.091594982412</v>
      </c>
      <c r="K132" s="2"/>
      <c r="L132" s="2"/>
      <c r="M132" s="2"/>
      <c r="N132" s="2">
        <v>31.4</v>
      </c>
      <c r="O132" s="2">
        <v>1424.2</v>
      </c>
    </row>
    <row r="133" spans="1:15" hidden="1">
      <c r="A133" s="1">
        <v>2016</v>
      </c>
      <c r="B133" s="9" t="s">
        <v>89</v>
      </c>
      <c r="C133" s="1" t="s">
        <v>90</v>
      </c>
      <c r="D133" s="2">
        <v>187165.62323314269</v>
      </c>
      <c r="E133" s="2">
        <v>54770.699000607041</v>
      </c>
      <c r="F133" s="2">
        <v>109406.88171006597</v>
      </c>
      <c r="G133" s="2">
        <v>18847.025811723641</v>
      </c>
      <c r="H133" s="2">
        <v>4141.0167107460438</v>
      </c>
      <c r="I133" s="2">
        <v>19191.43708593569</v>
      </c>
      <c r="J133" s="2">
        <v>30699.790532078401</v>
      </c>
      <c r="K133" s="2"/>
      <c r="L133" s="2"/>
      <c r="M133" s="2"/>
      <c r="N133" s="2">
        <v>41.8</v>
      </c>
      <c r="O133" s="2">
        <v>1925.5</v>
      </c>
    </row>
    <row r="134" spans="1:15" hidden="1">
      <c r="A134" s="1">
        <v>2016</v>
      </c>
      <c r="B134" s="9" t="s">
        <v>91</v>
      </c>
      <c r="C134" s="1" t="s">
        <v>92</v>
      </c>
      <c r="D134" s="2">
        <v>187754.73348362083</v>
      </c>
      <c r="E134" s="2">
        <v>53117.425817544972</v>
      </c>
      <c r="F134" s="2">
        <v>108296.45645248231</v>
      </c>
      <c r="G134" s="2">
        <v>20537.448159129006</v>
      </c>
      <c r="H134" s="2">
        <v>5803.403054464532</v>
      </c>
      <c r="I134" s="2">
        <v>16091.859616947018</v>
      </c>
      <c r="J134" s="2">
        <v>31824.611034781505</v>
      </c>
      <c r="K134" s="2"/>
      <c r="L134" s="2"/>
      <c r="M134" s="2"/>
      <c r="N134" s="2">
        <v>38.6</v>
      </c>
      <c r="O134" s="2">
        <v>1978.4</v>
      </c>
    </row>
    <row r="135" spans="1:15" hidden="1">
      <c r="A135" s="1">
        <v>2016</v>
      </c>
      <c r="B135" s="9" t="s">
        <v>93</v>
      </c>
      <c r="C135" s="1" t="s">
        <v>94</v>
      </c>
      <c r="D135" s="2">
        <v>185340.74869211472</v>
      </c>
      <c r="E135" s="2">
        <v>52821.521353331809</v>
      </c>
      <c r="F135" s="2">
        <v>108008.88359493723</v>
      </c>
      <c r="G135" s="2">
        <v>19852.676088223659</v>
      </c>
      <c r="H135" s="2">
        <v>4657.6676556220218</v>
      </c>
      <c r="I135" s="2">
        <v>16887.815303828298</v>
      </c>
      <c r="J135" s="2">
        <v>29606.618516041381</v>
      </c>
      <c r="K135" s="2"/>
      <c r="L135" s="2"/>
      <c r="M135" s="2"/>
      <c r="N135" s="2">
        <v>28.2</v>
      </c>
      <c r="O135" s="2">
        <v>1541.9</v>
      </c>
    </row>
    <row r="136" spans="1:15" hidden="1">
      <c r="A136" s="1">
        <v>2016</v>
      </c>
      <c r="B136" s="9" t="s">
        <v>95</v>
      </c>
      <c r="C136" s="1" t="s">
        <v>96</v>
      </c>
      <c r="D136" s="2">
        <v>174400.50756185796</v>
      </c>
      <c r="E136" s="2">
        <v>50336.725524768444</v>
      </c>
      <c r="F136" s="2">
        <v>102662.9711677149</v>
      </c>
      <c r="G136" s="2">
        <v>17052.70739606518</v>
      </c>
      <c r="H136" s="2">
        <v>4348.1034733094048</v>
      </c>
      <c r="I136" s="2">
        <v>15556.507166817073</v>
      </c>
      <c r="J136" s="2">
        <v>28557.582452768882</v>
      </c>
      <c r="K136" s="2"/>
      <c r="L136" s="2"/>
      <c r="M136" s="2"/>
      <c r="N136" s="2">
        <v>31.3</v>
      </c>
      <c r="O136" s="2">
        <v>1607.2</v>
      </c>
    </row>
    <row r="137" spans="1:15" hidden="1">
      <c r="A137" s="1">
        <v>2016</v>
      </c>
      <c r="B137" s="9" t="s">
        <v>97</v>
      </c>
      <c r="C137" s="1" t="s">
        <v>98</v>
      </c>
      <c r="D137" s="2">
        <v>182305.11091823658</v>
      </c>
      <c r="E137" s="2">
        <v>55230.742703304539</v>
      </c>
      <c r="F137" s="2">
        <v>105131.56702591729</v>
      </c>
      <c r="G137" s="2">
        <v>17479.68133811287</v>
      </c>
      <c r="H137" s="2">
        <v>4463.1198509018805</v>
      </c>
      <c r="I137" s="2">
        <v>17630.551875339344</v>
      </c>
      <c r="J137" s="2">
        <v>29481.373262859037</v>
      </c>
      <c r="K137" s="2"/>
      <c r="L137" s="2"/>
      <c r="M137" s="2"/>
      <c r="N137" s="2">
        <v>46.4</v>
      </c>
      <c r="O137" s="2">
        <v>2530.4</v>
      </c>
    </row>
    <row r="138" spans="1:15" hidden="1">
      <c r="A138" s="1">
        <v>2016</v>
      </c>
      <c r="B138" s="9" t="s">
        <v>99</v>
      </c>
      <c r="C138" s="1" t="s">
        <v>100</v>
      </c>
      <c r="D138" s="2">
        <v>182507.30450985345</v>
      </c>
      <c r="E138" s="2">
        <v>53975.442374204613</v>
      </c>
      <c r="F138" s="2">
        <v>102469.02940323173</v>
      </c>
      <c r="G138" s="2">
        <v>20014.622906459041</v>
      </c>
      <c r="H138" s="2">
        <v>6048.2098259580662</v>
      </c>
      <c r="I138" s="2">
        <v>17988.434175342067</v>
      </c>
      <c r="J138" s="2">
        <v>27685.464435998787</v>
      </c>
      <c r="K138" s="2"/>
      <c r="L138" s="2"/>
      <c r="M138" s="2"/>
      <c r="N138" s="2">
        <v>34.799999999999997</v>
      </c>
      <c r="O138" s="2">
        <v>1682.7</v>
      </c>
    </row>
    <row r="139" spans="1:15" hidden="1">
      <c r="A139" s="1">
        <v>2016</v>
      </c>
      <c r="B139" s="9" t="s">
        <v>101</v>
      </c>
      <c r="C139" s="1" t="s">
        <v>102</v>
      </c>
      <c r="D139" s="2">
        <v>198638.98867699286</v>
      </c>
      <c r="E139" s="2">
        <v>61659.911967330721</v>
      </c>
      <c r="F139" s="2">
        <v>112623.3162080672</v>
      </c>
      <c r="G139" s="2">
        <v>18564.226264746314</v>
      </c>
      <c r="H139" s="2">
        <v>5791.5342368486254</v>
      </c>
      <c r="I139" s="2">
        <v>18982.26496204258</v>
      </c>
      <c r="J139" s="2">
        <v>33618.470812875348</v>
      </c>
      <c r="K139" s="2"/>
      <c r="L139" s="2"/>
      <c r="M139" s="2"/>
      <c r="N139" s="2">
        <v>42.1</v>
      </c>
      <c r="O139" s="2">
        <v>1810.4</v>
      </c>
    </row>
    <row r="140" spans="1:15" hidden="1">
      <c r="A140" s="1">
        <v>2016</v>
      </c>
      <c r="B140" s="9" t="s">
        <v>103</v>
      </c>
      <c r="C140" s="1" t="s">
        <v>104</v>
      </c>
      <c r="D140" s="2">
        <v>184607.76148003287</v>
      </c>
      <c r="E140" s="2">
        <v>58110.86261963367</v>
      </c>
      <c r="F140" s="2">
        <v>102381.87245379595</v>
      </c>
      <c r="G140" s="2">
        <v>18341.728300315015</v>
      </c>
      <c r="H140" s="2">
        <v>5773.2981062882363</v>
      </c>
      <c r="I140" s="2">
        <v>18592.938797084789</v>
      </c>
      <c r="J140" s="2">
        <v>29915.314253039</v>
      </c>
      <c r="K140" s="2"/>
      <c r="L140" s="2"/>
      <c r="M140" s="2"/>
      <c r="N140" s="2">
        <v>36.6</v>
      </c>
      <c r="O140" s="2">
        <v>1941.3</v>
      </c>
    </row>
    <row r="141" spans="1:15" hidden="1">
      <c r="A141" s="1">
        <v>2016</v>
      </c>
      <c r="B141" s="9" t="s">
        <v>105</v>
      </c>
      <c r="C141" s="1" t="s">
        <v>106</v>
      </c>
      <c r="D141" s="2">
        <v>181230.70129409761</v>
      </c>
      <c r="E141" s="2">
        <v>53024.288430995985</v>
      </c>
      <c r="F141" s="2">
        <v>106081.6439184206</v>
      </c>
      <c r="G141" s="2">
        <v>16779.59182437669</v>
      </c>
      <c r="H141" s="2">
        <v>5345.1771203043345</v>
      </c>
      <c r="I141" s="2">
        <v>15222.859179959232</v>
      </c>
      <c r="J141" s="2">
        <v>29077.053887303991</v>
      </c>
      <c r="K141" s="2"/>
      <c r="L141" s="2"/>
      <c r="M141" s="2"/>
      <c r="N141" s="2">
        <v>40.799999999999997</v>
      </c>
      <c r="O141" s="2">
        <v>1957.6</v>
      </c>
    </row>
    <row r="142" spans="1:15" hidden="1">
      <c r="A142" s="1">
        <v>2016</v>
      </c>
      <c r="B142" s="9" t="s">
        <v>107</v>
      </c>
      <c r="C142" s="1" t="s">
        <v>108</v>
      </c>
      <c r="D142" s="2">
        <v>184969.83170992468</v>
      </c>
      <c r="E142" s="2">
        <v>56891.19763589387</v>
      </c>
      <c r="F142" s="2">
        <v>106714.90288361268</v>
      </c>
      <c r="G142" s="2">
        <v>16531.400986280954</v>
      </c>
      <c r="H142" s="2">
        <v>4832.3302041371589</v>
      </c>
      <c r="I142" s="2">
        <v>18069.287247420427</v>
      </c>
      <c r="J142" s="2">
        <v>30067.444863240238</v>
      </c>
      <c r="K142" s="2"/>
      <c r="L142" s="2"/>
      <c r="M142" s="2"/>
      <c r="N142" s="2">
        <v>32.6</v>
      </c>
      <c r="O142" s="2">
        <v>1723.4</v>
      </c>
    </row>
    <row r="143" spans="1:15" hidden="1">
      <c r="A143" s="1">
        <v>2016</v>
      </c>
      <c r="B143" s="9" t="s">
        <v>109</v>
      </c>
      <c r="C143" s="1" t="s">
        <v>110</v>
      </c>
      <c r="D143" s="2">
        <v>172636.54319658535</v>
      </c>
      <c r="E143" s="2">
        <v>51237.182840986425</v>
      </c>
      <c r="F143" s="2">
        <v>99897.870076925072</v>
      </c>
      <c r="G143" s="2">
        <v>16825.490987777888</v>
      </c>
      <c r="H143" s="2">
        <v>4675.9992908959912</v>
      </c>
      <c r="I143" s="2">
        <v>16057.851332865361</v>
      </c>
      <c r="J143" s="2">
        <v>27777.805759005583</v>
      </c>
      <c r="K143" s="2"/>
      <c r="L143" s="2"/>
      <c r="M143" s="2"/>
      <c r="N143" s="2">
        <v>36.799999999999997</v>
      </c>
      <c r="O143" s="2">
        <v>1750.8</v>
      </c>
    </row>
    <row r="144" spans="1:15" hidden="1">
      <c r="A144" s="1">
        <v>2016</v>
      </c>
      <c r="B144" s="9" t="s">
        <v>111</v>
      </c>
      <c r="C144" s="1" t="s">
        <v>112</v>
      </c>
      <c r="D144" s="2">
        <v>176694.10607392728</v>
      </c>
      <c r="E144" s="2">
        <v>54706.921336097454</v>
      </c>
      <c r="F144" s="2">
        <v>100093.56610476274</v>
      </c>
      <c r="G144" s="2">
        <v>16658.794376234087</v>
      </c>
      <c r="H144" s="2">
        <v>5234.8242568329779</v>
      </c>
      <c r="I144" s="2">
        <v>18030.482570886314</v>
      </c>
      <c r="J144" s="2">
        <v>28883.22564302156</v>
      </c>
      <c r="K144" s="2"/>
      <c r="L144" s="2"/>
      <c r="M144" s="2"/>
      <c r="N144" s="2">
        <v>42</v>
      </c>
      <c r="O144" s="2">
        <v>2083.6</v>
      </c>
    </row>
    <row r="145" spans="1:15" hidden="1">
      <c r="A145" s="1">
        <v>2016</v>
      </c>
      <c r="B145" s="9" t="s">
        <v>113</v>
      </c>
      <c r="C145" s="1" t="s">
        <v>114</v>
      </c>
      <c r="D145" s="2">
        <v>159792.77372529765</v>
      </c>
      <c r="E145" s="2">
        <v>51849.763614351199</v>
      </c>
      <c r="F145" s="2">
        <v>87801.218596700826</v>
      </c>
      <c r="G145" s="2">
        <v>16009.882844198126</v>
      </c>
      <c r="H145" s="2">
        <v>4131.9086700475118</v>
      </c>
      <c r="I145" s="2">
        <v>14782.435354804926</v>
      </c>
      <c r="J145" s="2">
        <v>22894.145586633407</v>
      </c>
      <c r="K145" s="2"/>
      <c r="L145" s="2"/>
      <c r="M145" s="2"/>
      <c r="N145" s="2">
        <v>30</v>
      </c>
      <c r="O145" s="2">
        <v>1314.5</v>
      </c>
    </row>
    <row r="146" spans="1:15" hidden="1">
      <c r="A146" s="1">
        <v>2017</v>
      </c>
      <c r="B146" s="9" t="s">
        <v>205</v>
      </c>
      <c r="C146" s="1" t="s">
        <v>206</v>
      </c>
      <c r="D146" s="2">
        <v>178343.70878350432</v>
      </c>
      <c r="E146" s="2">
        <v>49036.609653737767</v>
      </c>
      <c r="F146" s="2">
        <v>105161.32091436441</v>
      </c>
      <c r="G146" s="2">
        <v>19216.994927197848</v>
      </c>
      <c r="H146" s="2">
        <v>4928.7832882043058</v>
      </c>
      <c r="I146" s="2">
        <v>6657.1238180830169</v>
      </c>
      <c r="J146" s="2">
        <v>22245.877105961405</v>
      </c>
      <c r="K146" s="2">
        <v>9321.050890292383</v>
      </c>
      <c r="L146" s="2">
        <v>4578.4612149885761</v>
      </c>
      <c r="M146" s="2">
        <v>6326.2960419003484</v>
      </c>
      <c r="N146" s="2">
        <v>28.2</v>
      </c>
      <c r="O146" s="2">
        <v>1227.2</v>
      </c>
    </row>
    <row r="147" spans="1:15" hidden="1">
      <c r="A147" s="1">
        <v>2017</v>
      </c>
      <c r="B147" s="9" t="s">
        <v>207</v>
      </c>
      <c r="C147" s="1" t="s">
        <v>22</v>
      </c>
      <c r="D147" s="2">
        <v>196888.82314832328</v>
      </c>
      <c r="E147" s="2">
        <v>60973.559558558365</v>
      </c>
      <c r="F147" s="2">
        <v>111329.96251303575</v>
      </c>
      <c r="G147" s="2">
        <v>20208.726473492967</v>
      </c>
      <c r="H147" s="2">
        <v>4376.5746032362149</v>
      </c>
      <c r="I147" s="2">
        <v>8582.9754868711116</v>
      </c>
      <c r="J147" s="2">
        <v>24935.192056093503</v>
      </c>
      <c r="K147" s="2">
        <v>10397.185495087899</v>
      </c>
      <c r="L147" s="2">
        <v>4205.7319646856913</v>
      </c>
      <c r="M147" s="2">
        <v>7504.7763943697482</v>
      </c>
      <c r="N147" s="2">
        <v>31.6</v>
      </c>
      <c r="O147" s="2">
        <v>1776.7</v>
      </c>
    </row>
    <row r="148" spans="1:15" hidden="1">
      <c r="A148" s="1">
        <v>2017</v>
      </c>
      <c r="B148" s="9" t="s">
        <v>23</v>
      </c>
      <c r="C148" s="1" t="s">
        <v>24</v>
      </c>
      <c r="D148" s="2">
        <v>179198.59427065557</v>
      </c>
      <c r="E148" s="2">
        <v>48297.340362147486</v>
      </c>
      <c r="F148" s="2">
        <v>110482.55019481551</v>
      </c>
      <c r="G148" s="2">
        <v>17011.769004234044</v>
      </c>
      <c r="H148" s="2">
        <v>3406.9347094585441</v>
      </c>
      <c r="I148" s="2">
        <v>7044.4594898268424</v>
      </c>
      <c r="J148" s="2">
        <v>27159.053182685679</v>
      </c>
      <c r="K148" s="2">
        <v>12548.248868791752</v>
      </c>
      <c r="L148" s="2">
        <v>4325.7722967516584</v>
      </c>
      <c r="M148" s="2">
        <v>7844.0162347708902</v>
      </c>
      <c r="N148" s="2">
        <v>31.2</v>
      </c>
      <c r="O148" s="2">
        <v>1349.9</v>
      </c>
    </row>
    <row r="149" spans="1:15" hidden="1">
      <c r="A149" s="1">
        <v>2017</v>
      </c>
      <c r="B149" s="9" t="s">
        <v>25</v>
      </c>
      <c r="C149" s="1" t="s">
        <v>26</v>
      </c>
      <c r="D149" s="2">
        <v>177508.68810782669</v>
      </c>
      <c r="E149" s="2">
        <v>49049.696066310185</v>
      </c>
      <c r="F149" s="2">
        <v>106336.68523406312</v>
      </c>
      <c r="G149" s="2">
        <v>18233.554471224932</v>
      </c>
      <c r="H149" s="2">
        <v>3888.7523362284542</v>
      </c>
      <c r="I149" s="2">
        <v>7014.5176094467079</v>
      </c>
      <c r="J149" s="2">
        <v>25557.042760862743</v>
      </c>
      <c r="K149" s="2">
        <v>11768.445053254343</v>
      </c>
      <c r="L149" s="2">
        <v>4281.7559537157595</v>
      </c>
      <c r="M149" s="2">
        <v>7311.2727741732197</v>
      </c>
      <c r="N149" s="2">
        <v>30.1</v>
      </c>
      <c r="O149" s="2">
        <v>1378.8</v>
      </c>
    </row>
    <row r="150" spans="1:15" hidden="1">
      <c r="A150" s="1">
        <v>2017</v>
      </c>
      <c r="B150" s="9" t="s">
        <v>27</v>
      </c>
      <c r="C150" s="1" t="s">
        <v>28</v>
      </c>
      <c r="D150" s="2">
        <v>183901.26059015107</v>
      </c>
      <c r="E150" s="2">
        <v>50256.508530397652</v>
      </c>
      <c r="F150" s="2">
        <v>111249.60384354214</v>
      </c>
      <c r="G150" s="2">
        <v>17990.699295377628</v>
      </c>
      <c r="H150" s="2">
        <v>4404.4489208336372</v>
      </c>
      <c r="I150" s="2">
        <v>7019.5854669834353</v>
      </c>
      <c r="J150" s="2">
        <v>27196.648698923193</v>
      </c>
      <c r="K150" s="2">
        <v>12451.878757943436</v>
      </c>
      <c r="L150" s="2">
        <v>5191.5665421417407</v>
      </c>
      <c r="M150" s="2">
        <v>7420.7281847632557</v>
      </c>
      <c r="N150" s="2">
        <v>24.8</v>
      </c>
      <c r="O150" s="2">
        <v>1100</v>
      </c>
    </row>
    <row r="151" spans="1:15" hidden="1">
      <c r="A151" s="1">
        <v>2017</v>
      </c>
      <c r="B151" s="9" t="s">
        <v>29</v>
      </c>
      <c r="C151" s="1" t="s">
        <v>30</v>
      </c>
      <c r="D151" s="2">
        <v>196995.95810248106</v>
      </c>
      <c r="E151" s="2">
        <v>57284.2925026796</v>
      </c>
      <c r="F151" s="2">
        <v>116196.57801810253</v>
      </c>
      <c r="G151" s="2">
        <v>19341.705894821342</v>
      </c>
      <c r="H151" s="2">
        <v>4173.381686877583</v>
      </c>
      <c r="I151" s="2">
        <v>7046.4943905016607</v>
      </c>
      <c r="J151" s="2">
        <v>27416.53431476932</v>
      </c>
      <c r="K151" s="2">
        <v>12290.334002383614</v>
      </c>
      <c r="L151" s="2">
        <v>5472.3441249979514</v>
      </c>
      <c r="M151" s="2">
        <v>7228.6109276032776</v>
      </c>
      <c r="N151" s="2">
        <v>30.8</v>
      </c>
      <c r="O151" s="2">
        <v>1511.9</v>
      </c>
    </row>
    <row r="152" spans="1:15" hidden="1">
      <c r="A152" s="1">
        <v>2017</v>
      </c>
      <c r="B152" s="9" t="s">
        <v>31</v>
      </c>
      <c r="C152" s="1" t="s">
        <v>32</v>
      </c>
      <c r="D152" s="2">
        <v>183945.50359876381</v>
      </c>
      <c r="E152" s="2">
        <v>52046.054528499648</v>
      </c>
      <c r="F152" s="2">
        <v>110011.8108510717</v>
      </c>
      <c r="G152" s="2">
        <v>18132.520216935463</v>
      </c>
      <c r="H152" s="2">
        <v>3755.1180022570093</v>
      </c>
      <c r="I152" s="2">
        <v>6623.1496373523623</v>
      </c>
      <c r="J152" s="2">
        <v>27430.044540328869</v>
      </c>
      <c r="K152" s="2">
        <v>12609.01581828849</v>
      </c>
      <c r="L152" s="2">
        <v>6213.070487675921</v>
      </c>
      <c r="M152" s="2">
        <v>6538.3161071879667</v>
      </c>
      <c r="N152" s="2">
        <v>27.2</v>
      </c>
      <c r="O152" s="2">
        <v>1323.9</v>
      </c>
    </row>
    <row r="153" spans="1:15" hidden="1">
      <c r="A153" s="1">
        <v>2017</v>
      </c>
      <c r="B153" s="9" t="s">
        <v>33</v>
      </c>
      <c r="C153" s="1" t="s">
        <v>34</v>
      </c>
      <c r="D153" s="2">
        <v>177174.18449171438</v>
      </c>
      <c r="E153" s="2">
        <v>48673.318320753773</v>
      </c>
      <c r="F153" s="2">
        <v>107145.56421329641</v>
      </c>
      <c r="G153" s="2">
        <v>17329.976375044771</v>
      </c>
      <c r="H153" s="2">
        <v>4025.3255826194281</v>
      </c>
      <c r="I153" s="2">
        <v>5958.5871200381562</v>
      </c>
      <c r="J153" s="2">
        <v>27264.369758719073</v>
      </c>
      <c r="K153" s="2">
        <v>12669.688541254607</v>
      </c>
      <c r="L153" s="2">
        <v>4725.3499104805978</v>
      </c>
      <c r="M153" s="2">
        <v>7626.0343327685905</v>
      </c>
      <c r="N153" s="2">
        <v>28.7</v>
      </c>
      <c r="O153" s="2">
        <v>1357.4</v>
      </c>
    </row>
    <row r="154" spans="1:15" hidden="1">
      <c r="A154" s="1">
        <v>2017</v>
      </c>
      <c r="B154" s="9" t="s">
        <v>35</v>
      </c>
      <c r="C154" s="1" t="s">
        <v>36</v>
      </c>
      <c r="D154" s="2">
        <v>171060.30930109994</v>
      </c>
      <c r="E154" s="2">
        <v>44944.59046797076</v>
      </c>
      <c r="F154" s="2">
        <v>104401.74563810053</v>
      </c>
      <c r="G154" s="2">
        <v>17996.724730961909</v>
      </c>
      <c r="H154" s="2">
        <v>3717.248464066759</v>
      </c>
      <c r="I154" s="2">
        <v>6372.7697848384869</v>
      </c>
      <c r="J154" s="2">
        <v>23590.148347468636</v>
      </c>
      <c r="K154" s="2">
        <v>10079.517531618127</v>
      </c>
      <c r="L154" s="2">
        <v>4470.3974560663291</v>
      </c>
      <c r="M154" s="2">
        <v>6986.2353538552779</v>
      </c>
      <c r="N154" s="2">
        <v>26.9</v>
      </c>
      <c r="O154" s="2">
        <v>1092.5</v>
      </c>
    </row>
    <row r="155" spans="1:15" hidden="1">
      <c r="A155" s="1">
        <v>2017</v>
      </c>
      <c r="B155" s="9" t="s">
        <v>37</v>
      </c>
      <c r="C155" s="1" t="s">
        <v>38</v>
      </c>
      <c r="D155" s="2">
        <v>175540.04127123934</v>
      </c>
      <c r="E155" s="2">
        <v>45563.215603398683</v>
      </c>
      <c r="F155" s="2">
        <v>108145.87366611903</v>
      </c>
      <c r="G155" s="2">
        <v>17393.375533278333</v>
      </c>
      <c r="H155" s="2">
        <v>4437.5764684433116</v>
      </c>
      <c r="I155" s="2">
        <v>6496.6343089270467</v>
      </c>
      <c r="J155" s="2">
        <v>23581.620460913033</v>
      </c>
      <c r="K155" s="2">
        <v>10407.730185182947</v>
      </c>
      <c r="L155" s="2">
        <v>4627.3973599262836</v>
      </c>
      <c r="M155" s="2">
        <v>6553.6710263463865</v>
      </c>
      <c r="N155" s="2">
        <v>29.5</v>
      </c>
      <c r="O155" s="2">
        <v>1078.4000000000001</v>
      </c>
    </row>
    <row r="156" spans="1:15" hidden="1">
      <c r="A156" s="1">
        <v>2017</v>
      </c>
      <c r="B156" s="9" t="s">
        <v>39</v>
      </c>
      <c r="C156" s="1" t="s">
        <v>40</v>
      </c>
      <c r="D156" s="2">
        <v>173032.67133530017</v>
      </c>
      <c r="E156" s="2">
        <v>47160.948044865727</v>
      </c>
      <c r="F156" s="2">
        <v>103829.78219756231</v>
      </c>
      <c r="G156" s="2">
        <v>17497.832866151344</v>
      </c>
      <c r="H156" s="2">
        <v>4544.1082267207776</v>
      </c>
      <c r="I156" s="2">
        <v>6483.5845442273294</v>
      </c>
      <c r="J156" s="2">
        <v>22469.430234006868</v>
      </c>
      <c r="K156" s="2">
        <v>9475.284412651421</v>
      </c>
      <c r="L156" s="2">
        <v>3981.0926644951901</v>
      </c>
      <c r="M156" s="2">
        <v>6873.6008511172822</v>
      </c>
      <c r="N156" s="2">
        <v>27.4</v>
      </c>
      <c r="O156" s="2">
        <v>1235.5999999999999</v>
      </c>
    </row>
    <row r="157" spans="1:15" hidden="1">
      <c r="A157" s="1">
        <v>2017</v>
      </c>
      <c r="B157" s="9" t="s">
        <v>41</v>
      </c>
      <c r="C157" s="1" t="s">
        <v>42</v>
      </c>
      <c r="D157" s="2">
        <v>170662.18070789127</v>
      </c>
      <c r="E157" s="2">
        <v>44408.644059286511</v>
      </c>
      <c r="F157" s="2">
        <v>102733.92028868792</v>
      </c>
      <c r="G157" s="2">
        <v>18682.052328569742</v>
      </c>
      <c r="H157" s="2">
        <v>4837.5640313470849</v>
      </c>
      <c r="I157" s="2">
        <v>6530.7375151702627</v>
      </c>
      <c r="J157" s="2">
        <v>22479.140739517454</v>
      </c>
      <c r="K157" s="2">
        <v>9839.4202956539757</v>
      </c>
      <c r="L157" s="2">
        <v>4004.6526432616574</v>
      </c>
      <c r="M157" s="2">
        <v>6539.4386038543435</v>
      </c>
      <c r="N157" s="2">
        <v>28</v>
      </c>
      <c r="O157" s="2">
        <v>852.9</v>
      </c>
    </row>
    <row r="158" spans="1:15" hidden="1">
      <c r="A158" s="1">
        <v>2017</v>
      </c>
      <c r="B158" s="9" t="s">
        <v>43</v>
      </c>
      <c r="C158" s="1" t="s">
        <v>44</v>
      </c>
      <c r="D158" s="2">
        <v>174126.41749454371</v>
      </c>
      <c r="E158" s="2">
        <v>46087.199209383871</v>
      </c>
      <c r="F158" s="2">
        <v>104416.07062780068</v>
      </c>
      <c r="G158" s="2">
        <v>19238.547031371934</v>
      </c>
      <c r="H158" s="2">
        <v>4384.6006259872238</v>
      </c>
      <c r="I158" s="2">
        <v>7192.3628439095937</v>
      </c>
      <c r="J158" s="2">
        <v>23014.934379828992</v>
      </c>
      <c r="K158" s="2">
        <v>9708.2959984502104</v>
      </c>
      <c r="L158" s="2">
        <v>4204.3320000673239</v>
      </c>
      <c r="M158" s="2">
        <v>7062.3423370317942</v>
      </c>
      <c r="N158" s="2">
        <v>25.6</v>
      </c>
      <c r="O158" s="2">
        <v>953.2</v>
      </c>
    </row>
    <row r="159" spans="1:15" hidden="1">
      <c r="A159" s="1">
        <v>2017</v>
      </c>
      <c r="B159" s="9" t="s">
        <v>45</v>
      </c>
      <c r="C159" s="1" t="s">
        <v>46</v>
      </c>
      <c r="D159" s="2">
        <v>173246.65234539224</v>
      </c>
      <c r="E159" s="2">
        <v>43725.312993801541</v>
      </c>
      <c r="F159" s="2">
        <v>104458.31788130112</v>
      </c>
      <c r="G159" s="2">
        <v>19968.997135299342</v>
      </c>
      <c r="H159" s="2">
        <v>5094.024334990213</v>
      </c>
      <c r="I159" s="2">
        <v>5965.1257230290494</v>
      </c>
      <c r="J159" s="2">
        <v>19956.110141125013</v>
      </c>
      <c r="K159" s="2">
        <v>8197.2817449434406</v>
      </c>
      <c r="L159" s="2">
        <v>4173.6445303360788</v>
      </c>
      <c r="M159" s="2">
        <v>5706.5505686306678</v>
      </c>
      <c r="N159" s="2">
        <v>22.1</v>
      </c>
      <c r="O159" s="2">
        <v>934.7</v>
      </c>
    </row>
    <row r="160" spans="1:15" hidden="1">
      <c r="A160" s="1">
        <v>2017</v>
      </c>
      <c r="B160" s="9" t="s">
        <v>47</v>
      </c>
      <c r="C160" s="1" t="s">
        <v>48</v>
      </c>
      <c r="D160" s="2">
        <v>176927.04272178153</v>
      </c>
      <c r="E160" s="2">
        <v>45455.58558370106</v>
      </c>
      <c r="F160" s="2">
        <v>106984.61262995021</v>
      </c>
      <c r="G160" s="2">
        <v>19858.986421174657</v>
      </c>
      <c r="H160" s="2">
        <v>4627.8580869556035</v>
      </c>
      <c r="I160" s="2">
        <v>6594.2136778705481</v>
      </c>
      <c r="J160" s="2">
        <v>22127.87709761547</v>
      </c>
      <c r="K160" s="2">
        <v>9063.3709620233676</v>
      </c>
      <c r="L160" s="2">
        <v>4476.0081273329306</v>
      </c>
      <c r="M160" s="2">
        <v>6513.6945254237289</v>
      </c>
      <c r="N160" s="2">
        <v>22.1</v>
      </c>
      <c r="O160" s="2">
        <v>806.2</v>
      </c>
    </row>
    <row r="161" spans="1:15" hidden="1">
      <c r="A161" s="1">
        <v>2017</v>
      </c>
      <c r="B161" s="9" t="s">
        <v>49</v>
      </c>
      <c r="C161" s="1" t="s">
        <v>50</v>
      </c>
      <c r="D161" s="2">
        <v>167304.36271946362</v>
      </c>
      <c r="E161" s="2">
        <v>45243.881574638377</v>
      </c>
      <c r="F161" s="2">
        <v>100816.2843368559</v>
      </c>
      <c r="G161" s="2">
        <v>17753.945670170302</v>
      </c>
      <c r="H161" s="2">
        <v>3490.2511377990359</v>
      </c>
      <c r="I161" s="2">
        <v>5340.8569160374691</v>
      </c>
      <c r="J161" s="2">
        <v>21237.27642206927</v>
      </c>
      <c r="K161" s="2">
        <v>9005.4797844508921</v>
      </c>
      <c r="L161" s="2">
        <v>4616.1086003718665</v>
      </c>
      <c r="M161" s="2">
        <v>5699.730682691008</v>
      </c>
      <c r="N161" s="2">
        <v>30.9</v>
      </c>
      <c r="O161" s="2">
        <v>1253</v>
      </c>
    </row>
    <row r="162" spans="1:15" hidden="1">
      <c r="A162" s="1">
        <v>2017</v>
      </c>
      <c r="B162" s="9" t="s">
        <v>51</v>
      </c>
      <c r="C162" s="1" t="s">
        <v>52</v>
      </c>
      <c r="D162" s="2">
        <v>168489.42442818338</v>
      </c>
      <c r="E162" s="2">
        <v>48860.130436887332</v>
      </c>
      <c r="F162" s="2">
        <v>98114.354011860094</v>
      </c>
      <c r="G162" s="2">
        <v>16870.768655452015</v>
      </c>
      <c r="H162" s="2">
        <v>4644.1713239839492</v>
      </c>
      <c r="I162" s="2">
        <v>6318.64773084836</v>
      </c>
      <c r="J162" s="2">
        <v>21502.895974283972</v>
      </c>
      <c r="K162" s="2">
        <v>8734.8423626414587</v>
      </c>
      <c r="L162" s="2">
        <v>4528.1263153875852</v>
      </c>
      <c r="M162" s="2">
        <v>6259.7175951490208</v>
      </c>
      <c r="N162" s="2">
        <v>32.799999999999997</v>
      </c>
      <c r="O162" s="2">
        <v>1575.1</v>
      </c>
    </row>
    <row r="163" spans="1:15" hidden="1">
      <c r="A163" s="1">
        <v>2017</v>
      </c>
      <c r="B163" s="9" t="s">
        <v>53</v>
      </c>
      <c r="C163" s="1" t="s">
        <v>54</v>
      </c>
      <c r="D163" s="2">
        <v>177735.29873474329</v>
      </c>
      <c r="E163" s="2">
        <v>54951.680662030267</v>
      </c>
      <c r="F163" s="2">
        <v>101516.02254056136</v>
      </c>
      <c r="G163" s="2">
        <v>16760.202452555914</v>
      </c>
      <c r="H163" s="2">
        <v>4507.3930795957413</v>
      </c>
      <c r="I163" s="2">
        <v>7840.9132412228983</v>
      </c>
      <c r="J163" s="2">
        <v>22736.718226888144</v>
      </c>
      <c r="K163" s="2">
        <v>8619.9376960798672</v>
      </c>
      <c r="L163" s="2">
        <v>5325.2369587395297</v>
      </c>
      <c r="M163" s="2">
        <v>6728.3272850872927</v>
      </c>
      <c r="N163" s="2">
        <v>31.6</v>
      </c>
      <c r="O163" s="2">
        <v>1561</v>
      </c>
    </row>
    <row r="164" spans="1:15" hidden="1">
      <c r="A164" s="1">
        <v>2017</v>
      </c>
      <c r="B164" s="9" t="s">
        <v>55</v>
      </c>
      <c r="C164" s="1" t="s">
        <v>56</v>
      </c>
      <c r="D164" s="2">
        <v>175597.26815353954</v>
      </c>
      <c r="E164" s="2">
        <v>53819.358061338076</v>
      </c>
      <c r="F164" s="2">
        <v>100948.11557932537</v>
      </c>
      <c r="G164" s="2">
        <v>16238.206072392748</v>
      </c>
      <c r="H164" s="2">
        <v>4591.5884404833496</v>
      </c>
      <c r="I164" s="2">
        <v>7140.8842202233964</v>
      </c>
      <c r="J164" s="2">
        <v>22701.73686249584</v>
      </c>
      <c r="K164" s="2">
        <v>9507.3338888313119</v>
      </c>
      <c r="L164" s="2">
        <v>4422.9330222785193</v>
      </c>
      <c r="M164" s="2">
        <v>6644.2689044903727</v>
      </c>
      <c r="N164" s="2">
        <v>28.7</v>
      </c>
      <c r="O164" s="2">
        <v>1400.8</v>
      </c>
    </row>
    <row r="165" spans="1:15" hidden="1">
      <c r="A165" s="1">
        <v>2017</v>
      </c>
      <c r="B165" s="9" t="s">
        <v>57</v>
      </c>
      <c r="C165" s="1" t="s">
        <v>58</v>
      </c>
      <c r="D165" s="2">
        <v>178643.50756812288</v>
      </c>
      <c r="E165" s="2">
        <v>48928.204984787</v>
      </c>
      <c r="F165" s="2">
        <v>106713.85906452932</v>
      </c>
      <c r="G165" s="2">
        <v>18329.875479497157</v>
      </c>
      <c r="H165" s="2">
        <v>4671.5680393094317</v>
      </c>
      <c r="I165" s="2">
        <v>6307.7618837940872</v>
      </c>
      <c r="J165" s="2">
        <v>22798.256144744304</v>
      </c>
      <c r="K165" s="2">
        <v>9609.5760505248254</v>
      </c>
      <c r="L165" s="2">
        <v>4406.4794232036675</v>
      </c>
      <c r="M165" s="2">
        <v>6720.2665824537926</v>
      </c>
      <c r="N165" s="2">
        <v>28.9</v>
      </c>
      <c r="O165" s="2">
        <v>1317.5</v>
      </c>
    </row>
    <row r="166" spans="1:15" hidden="1">
      <c r="A166" s="1">
        <v>2017</v>
      </c>
      <c r="B166" s="9" t="s">
        <v>59</v>
      </c>
      <c r="C166" s="1" t="s">
        <v>60</v>
      </c>
      <c r="D166" s="2">
        <v>166155.7765015722</v>
      </c>
      <c r="E166" s="2">
        <v>47394.577985742435</v>
      </c>
      <c r="F166" s="2">
        <v>97933.79438657283</v>
      </c>
      <c r="G166" s="2">
        <v>16540.472491524382</v>
      </c>
      <c r="H166" s="2">
        <v>4286.9316377325522</v>
      </c>
      <c r="I166" s="2">
        <v>6166.2904434478733</v>
      </c>
      <c r="J166" s="2">
        <v>20568.229807796833</v>
      </c>
      <c r="K166" s="2">
        <v>8321.7487645395631</v>
      </c>
      <c r="L166" s="2">
        <v>4603.557360967623</v>
      </c>
      <c r="M166" s="2">
        <v>5846.6482618379951</v>
      </c>
      <c r="N166" s="2">
        <v>23.7</v>
      </c>
      <c r="O166" s="2">
        <v>1150.2</v>
      </c>
    </row>
    <row r="167" spans="1:15" hidden="1">
      <c r="A167" s="1">
        <v>2017</v>
      </c>
      <c r="B167" s="9" t="s">
        <v>61</v>
      </c>
      <c r="C167" s="1" t="s">
        <v>62</v>
      </c>
      <c r="D167" s="2">
        <v>173380.55183036585</v>
      </c>
      <c r="E167" s="2">
        <v>44739.748453420623</v>
      </c>
      <c r="F167" s="2">
        <v>103877.37669405255</v>
      </c>
      <c r="G167" s="2">
        <v>19908.191895072723</v>
      </c>
      <c r="H167" s="2">
        <v>4855.2347878199544</v>
      </c>
      <c r="I167" s="2">
        <v>6021.823715468141</v>
      </c>
      <c r="J167" s="2">
        <v>21959.07731945203</v>
      </c>
      <c r="K167" s="2">
        <v>9128.6013720715382</v>
      </c>
      <c r="L167" s="2">
        <v>4767.9940865038961</v>
      </c>
      <c r="M167" s="2">
        <v>6081.5011491319401</v>
      </c>
      <c r="N167" s="2">
        <v>24.5</v>
      </c>
      <c r="O167" s="2">
        <v>1018.7</v>
      </c>
    </row>
    <row r="168" spans="1:15" hidden="1">
      <c r="A168" s="1">
        <v>2017</v>
      </c>
      <c r="B168" s="9" t="s">
        <v>63</v>
      </c>
      <c r="C168" s="1" t="s">
        <v>64</v>
      </c>
      <c r="D168" s="2">
        <v>169649.16306394682</v>
      </c>
      <c r="E168" s="2">
        <v>43877.521324703142</v>
      </c>
      <c r="F168" s="2">
        <v>104917.98867792398</v>
      </c>
      <c r="G168" s="2">
        <v>17202.720614465619</v>
      </c>
      <c r="H168" s="2">
        <v>3650.9324468540822</v>
      </c>
      <c r="I168" s="2">
        <v>6291.6369160503154</v>
      </c>
      <c r="J168" s="2">
        <v>22187.257336699571</v>
      </c>
      <c r="K168" s="2">
        <v>8990.8336000257696</v>
      </c>
      <c r="L168" s="2">
        <v>4867.1877178450895</v>
      </c>
      <c r="M168" s="2">
        <v>6355.3637445901859</v>
      </c>
      <c r="N168" s="2">
        <v>28</v>
      </c>
      <c r="O168" s="2">
        <v>1052.3</v>
      </c>
    </row>
    <row r="169" spans="1:15" hidden="1">
      <c r="A169" s="1">
        <v>2017</v>
      </c>
      <c r="B169" s="9" t="s">
        <v>65</v>
      </c>
      <c r="C169" s="1" t="s">
        <v>66</v>
      </c>
      <c r="D169" s="2">
        <v>168492.20956653258</v>
      </c>
      <c r="E169" s="2">
        <v>41711.516845204023</v>
      </c>
      <c r="F169" s="2">
        <v>102095.27397988389</v>
      </c>
      <c r="G169" s="2">
        <v>20393.961010712243</v>
      </c>
      <c r="H169" s="2">
        <v>4291.457730732438</v>
      </c>
      <c r="I169" s="2">
        <v>5795.9137010385157</v>
      </c>
      <c r="J169" s="2">
        <v>20730.949601828252</v>
      </c>
      <c r="K169" s="2">
        <v>8191.2578248926129</v>
      </c>
      <c r="L169" s="2">
        <v>4736.6727480342697</v>
      </c>
      <c r="M169" s="2">
        <v>5959.2867179217737</v>
      </c>
      <c r="N169" s="2">
        <v>23.9</v>
      </c>
      <c r="O169" s="2">
        <v>899.4</v>
      </c>
    </row>
    <row r="170" spans="1:15" hidden="1">
      <c r="A170" s="1">
        <v>2017</v>
      </c>
      <c r="B170" s="9" t="s">
        <v>67</v>
      </c>
      <c r="C170" s="1" t="s">
        <v>68</v>
      </c>
      <c r="D170" s="2">
        <v>171427.63057637573</v>
      </c>
      <c r="E170" s="2">
        <v>46092.059097784324</v>
      </c>
      <c r="F170" s="2">
        <v>102899.9671635229</v>
      </c>
      <c r="G170" s="2">
        <v>18496.489285819745</v>
      </c>
      <c r="H170" s="2">
        <v>3939.1150292487573</v>
      </c>
      <c r="I170" s="2">
        <v>6418.1672993572474</v>
      </c>
      <c r="J170" s="2">
        <v>22222.736277533506</v>
      </c>
      <c r="K170" s="2">
        <v>8626.6950480561045</v>
      </c>
      <c r="L170" s="2">
        <v>5096.1539842937409</v>
      </c>
      <c r="M170" s="2">
        <v>6618.1906143449769</v>
      </c>
      <c r="N170" s="2">
        <v>28.4</v>
      </c>
      <c r="O170" s="2">
        <v>1120.7</v>
      </c>
    </row>
    <row r="171" spans="1:15" hidden="1">
      <c r="A171" s="1">
        <v>2017</v>
      </c>
      <c r="B171" s="9" t="s">
        <v>69</v>
      </c>
      <c r="C171" s="1" t="s">
        <v>70</v>
      </c>
      <c r="D171" s="2">
        <v>170060.90784548729</v>
      </c>
      <c r="E171" s="2">
        <v>48850.346331176952</v>
      </c>
      <c r="F171" s="2">
        <v>99040.687286893735</v>
      </c>
      <c r="G171" s="2">
        <v>17758.500847063868</v>
      </c>
      <c r="H171" s="2">
        <v>4411.3733803527248</v>
      </c>
      <c r="I171" s="2">
        <v>6935.2509525000896</v>
      </c>
      <c r="J171" s="2">
        <v>21493.602288019869</v>
      </c>
      <c r="K171" s="2">
        <v>8936.9792453864229</v>
      </c>
      <c r="L171" s="2">
        <v>4569.9009851719884</v>
      </c>
      <c r="M171" s="2">
        <v>6046.4554519290796</v>
      </c>
      <c r="N171" s="2">
        <v>25.2</v>
      </c>
      <c r="O171" s="2">
        <v>1015.6</v>
      </c>
    </row>
    <row r="172" spans="1:15" hidden="1">
      <c r="A172" s="1">
        <v>2017</v>
      </c>
      <c r="B172" s="9" t="s">
        <v>71</v>
      </c>
      <c r="C172" s="1" t="s">
        <v>72</v>
      </c>
      <c r="D172" s="2">
        <v>176595.28837254102</v>
      </c>
      <c r="E172" s="2">
        <v>49339.678915558485</v>
      </c>
      <c r="F172" s="2">
        <v>102440.36073470826</v>
      </c>
      <c r="G172" s="2">
        <v>18923.553808716944</v>
      </c>
      <c r="H172" s="2">
        <v>5891.6949135573632</v>
      </c>
      <c r="I172" s="2">
        <v>6829.8904710359693</v>
      </c>
      <c r="J172" s="2">
        <v>19513.764021649953</v>
      </c>
      <c r="K172" s="2">
        <v>7493.979610198684</v>
      </c>
      <c r="L172" s="2">
        <v>4928.9297009740258</v>
      </c>
      <c r="M172" s="2">
        <v>5098.2887736794364</v>
      </c>
      <c r="N172" s="2">
        <v>28.4</v>
      </c>
      <c r="O172" s="2">
        <v>1359.2</v>
      </c>
    </row>
    <row r="173" spans="1:15" hidden="1">
      <c r="A173" s="1">
        <v>2017</v>
      </c>
      <c r="B173" s="9" t="s">
        <v>73</v>
      </c>
      <c r="C173" s="1" t="s">
        <v>74</v>
      </c>
      <c r="D173" s="2">
        <v>181803.27400730728</v>
      </c>
      <c r="E173" s="2">
        <v>48116.664776551072</v>
      </c>
      <c r="F173" s="2">
        <v>103890.33075526355</v>
      </c>
      <c r="G173" s="2">
        <v>22114.72163595715</v>
      </c>
      <c r="H173" s="2">
        <v>7681.556839535504</v>
      </c>
      <c r="I173" s="2">
        <v>6413.0182571996866</v>
      </c>
      <c r="J173" s="2">
        <v>20583.954459753873</v>
      </c>
      <c r="K173" s="2">
        <v>8300.7487243357446</v>
      </c>
      <c r="L173" s="2">
        <v>4891.3314684397292</v>
      </c>
      <c r="M173" s="2">
        <v>5612.785924596581</v>
      </c>
      <c r="N173" s="2">
        <v>25.9</v>
      </c>
      <c r="O173" s="2">
        <v>1211.8</v>
      </c>
    </row>
    <row r="174" spans="1:15" hidden="1">
      <c r="A174" s="1">
        <v>2017</v>
      </c>
      <c r="B174" s="9" t="s">
        <v>75</v>
      </c>
      <c r="C174" s="1" t="s">
        <v>76</v>
      </c>
      <c r="D174" s="2">
        <v>181478.30944726925</v>
      </c>
      <c r="E174" s="2">
        <v>48884.269701435725</v>
      </c>
      <c r="F174" s="2">
        <v>106752.02477954829</v>
      </c>
      <c r="G174" s="2">
        <v>20630.158657530108</v>
      </c>
      <c r="H174" s="2">
        <v>5211.8563087551247</v>
      </c>
      <c r="I174" s="2">
        <v>6552.2262831977841</v>
      </c>
      <c r="J174" s="2">
        <v>21490.708412038803</v>
      </c>
      <c r="K174" s="2">
        <v>8467.7719160464967</v>
      </c>
      <c r="L174" s="2">
        <v>4916.2433409391615</v>
      </c>
      <c r="M174" s="2">
        <v>6229.9265477617782</v>
      </c>
      <c r="N174" s="2">
        <v>26.4</v>
      </c>
      <c r="O174" s="2">
        <v>1181.5999999999999</v>
      </c>
    </row>
    <row r="175" spans="1:15" hidden="1">
      <c r="A175" s="1">
        <v>2017</v>
      </c>
      <c r="B175" s="9" t="s">
        <v>77</v>
      </c>
      <c r="C175" s="1" t="s">
        <v>78</v>
      </c>
      <c r="D175" s="2">
        <v>179303.51823870718</v>
      </c>
      <c r="E175" s="2">
        <v>51155.667191825101</v>
      </c>
      <c r="F175" s="2">
        <v>103972.23915213066</v>
      </c>
      <c r="G175" s="2">
        <v>18580.200261114634</v>
      </c>
      <c r="H175" s="2">
        <v>5595.4116336367815</v>
      </c>
      <c r="I175" s="2">
        <v>6624.0160497624229</v>
      </c>
      <c r="J175" s="2">
        <v>22557.717373267475</v>
      </c>
      <c r="K175" s="2">
        <v>8795.0322597257527</v>
      </c>
      <c r="L175" s="2">
        <v>5275.7967326248126</v>
      </c>
      <c r="M175" s="2">
        <v>6282.2386963158515</v>
      </c>
      <c r="N175" s="2">
        <v>26.2</v>
      </c>
      <c r="O175" s="2">
        <v>1258.3</v>
      </c>
    </row>
    <row r="176" spans="1:15" hidden="1">
      <c r="A176" s="1">
        <v>2017</v>
      </c>
      <c r="B176" s="9" t="s">
        <v>79</v>
      </c>
      <c r="C176" s="1" t="s">
        <v>80</v>
      </c>
      <c r="D176" s="2">
        <v>180965.83721232499</v>
      </c>
      <c r="E176" s="2">
        <v>47995.39189953357</v>
      </c>
      <c r="F176" s="2">
        <v>107500.96663700856</v>
      </c>
      <c r="G176" s="2">
        <v>19215.763846687136</v>
      </c>
      <c r="H176" s="2">
        <v>6253.7148290957439</v>
      </c>
      <c r="I176" s="2">
        <v>6546.5370566516995</v>
      </c>
      <c r="J176" s="2">
        <v>22160.252786093253</v>
      </c>
      <c r="K176" s="2">
        <v>9402.7965435202605</v>
      </c>
      <c r="L176" s="2">
        <v>4764.1149224168821</v>
      </c>
      <c r="M176" s="2">
        <v>6074.4353170656977</v>
      </c>
      <c r="N176" s="2">
        <v>29.2</v>
      </c>
      <c r="O176" s="2">
        <v>1425.7</v>
      </c>
    </row>
    <row r="177" spans="1:15" hidden="1">
      <c r="A177" s="1">
        <v>2017</v>
      </c>
      <c r="B177" s="9" t="s">
        <v>81</v>
      </c>
      <c r="C177" s="1" t="s">
        <v>82</v>
      </c>
      <c r="D177" s="2">
        <v>178000.49823044415</v>
      </c>
      <c r="E177" s="2">
        <v>53745.832042735157</v>
      </c>
      <c r="F177" s="2">
        <v>102736.92861804024</v>
      </c>
      <c r="G177" s="2">
        <v>17992.300827639356</v>
      </c>
      <c r="H177" s="2">
        <v>3525.4367420293756</v>
      </c>
      <c r="I177" s="2">
        <v>7324.0235053162323</v>
      </c>
      <c r="J177" s="2">
        <v>20093.511823419401</v>
      </c>
      <c r="K177" s="2">
        <v>8174.7931444534588</v>
      </c>
      <c r="L177" s="2">
        <v>4669.995506658367</v>
      </c>
      <c r="M177" s="2">
        <v>5506.2605544588996</v>
      </c>
      <c r="N177" s="2">
        <v>29.8</v>
      </c>
      <c r="O177" s="2">
        <v>1512.6</v>
      </c>
    </row>
    <row r="178" spans="1:15" hidden="1">
      <c r="A178" s="1">
        <v>2017</v>
      </c>
      <c r="B178" s="9" t="s">
        <v>83</v>
      </c>
      <c r="C178" s="1" t="s">
        <v>84</v>
      </c>
      <c r="D178" s="2">
        <v>187912.1068925088</v>
      </c>
      <c r="E178" s="2">
        <v>58627.173413795601</v>
      </c>
      <c r="F178" s="2">
        <v>109048.56067248581</v>
      </c>
      <c r="G178" s="2">
        <v>16817.268193696422</v>
      </c>
      <c r="H178" s="2">
        <v>3419.1046125309836</v>
      </c>
      <c r="I178" s="2">
        <v>7550.2575020148142</v>
      </c>
      <c r="J178" s="2">
        <v>23607.212090559518</v>
      </c>
      <c r="K178" s="2">
        <v>10074.152289515403</v>
      </c>
      <c r="L178" s="2">
        <v>5646.5183216171808</v>
      </c>
      <c r="M178" s="2">
        <v>6002.8729015399849</v>
      </c>
      <c r="N178" s="2">
        <v>29</v>
      </c>
      <c r="O178" s="2">
        <v>1541.2</v>
      </c>
    </row>
    <row r="179" spans="1:15" hidden="1">
      <c r="A179" s="1">
        <v>2017</v>
      </c>
      <c r="B179" s="9" t="s">
        <v>85</v>
      </c>
      <c r="C179" s="1" t="s">
        <v>86</v>
      </c>
      <c r="D179" s="2">
        <v>183498.24081601703</v>
      </c>
      <c r="E179" s="2">
        <v>51356.622842976547</v>
      </c>
      <c r="F179" s="2">
        <v>107785.37484560756</v>
      </c>
      <c r="G179" s="2">
        <v>20401.930622219603</v>
      </c>
      <c r="H179" s="2">
        <v>3954.3125052133287</v>
      </c>
      <c r="I179" s="2">
        <v>6043.9535431413979</v>
      </c>
      <c r="J179" s="2">
        <v>22682.322961485701</v>
      </c>
      <c r="K179" s="2">
        <v>9012.9828152741375</v>
      </c>
      <c r="L179" s="2">
        <v>5532.9920616768832</v>
      </c>
      <c r="M179" s="2">
        <v>6477.7527989817181</v>
      </c>
      <c r="N179" s="2">
        <v>27.1</v>
      </c>
      <c r="O179" s="2">
        <v>1480.1</v>
      </c>
    </row>
    <row r="180" spans="1:15" hidden="1">
      <c r="A180" s="1">
        <v>2017</v>
      </c>
      <c r="B180" s="9" t="s">
        <v>87</v>
      </c>
      <c r="C180" s="1" t="s">
        <v>88</v>
      </c>
      <c r="D180" s="2">
        <v>178321.2063587353</v>
      </c>
      <c r="E180" s="2">
        <v>48468.9736351514</v>
      </c>
      <c r="F180" s="2">
        <v>106536.17218658785</v>
      </c>
      <c r="G180" s="2">
        <v>19394.996410809246</v>
      </c>
      <c r="H180" s="2">
        <v>3921.0641261867872</v>
      </c>
      <c r="I180" s="2">
        <v>5972.8116285608257</v>
      </c>
      <c r="J180" s="2">
        <v>21988.448044179713</v>
      </c>
      <c r="K180" s="2">
        <v>8636.0274703056421</v>
      </c>
      <c r="L180" s="2">
        <v>4957.042518243049</v>
      </c>
      <c r="M180" s="2">
        <v>6481.1677160050258</v>
      </c>
      <c r="N180" s="2">
        <v>31.2</v>
      </c>
      <c r="O180" s="2">
        <v>1411.9</v>
      </c>
    </row>
    <row r="181" spans="1:15" hidden="1">
      <c r="A181" s="1">
        <v>2017</v>
      </c>
      <c r="B181" s="9" t="s">
        <v>89</v>
      </c>
      <c r="C181" s="1" t="s">
        <v>90</v>
      </c>
      <c r="D181" s="2">
        <v>190678.50182574571</v>
      </c>
      <c r="E181" s="2">
        <v>55531.077643050579</v>
      </c>
      <c r="F181" s="2">
        <v>111699.8915102638</v>
      </c>
      <c r="G181" s="2">
        <v>19163.624625435848</v>
      </c>
      <c r="H181" s="2">
        <v>4283.9080469954997</v>
      </c>
      <c r="I181" s="2">
        <v>7798.6341206430634</v>
      </c>
      <c r="J181" s="2">
        <v>23829.775688921349</v>
      </c>
      <c r="K181" s="2">
        <v>9903.0316322393337</v>
      </c>
      <c r="L181" s="2">
        <v>4863.092341140783</v>
      </c>
      <c r="M181" s="2">
        <v>6720.1944593552153</v>
      </c>
      <c r="N181" s="2">
        <v>41.1</v>
      </c>
      <c r="O181" s="2">
        <v>1930.6</v>
      </c>
    </row>
    <row r="182" spans="1:15" hidden="1">
      <c r="A182" s="1">
        <v>2017</v>
      </c>
      <c r="B182" s="9" t="s">
        <v>91</v>
      </c>
      <c r="C182" s="1" t="s">
        <v>92</v>
      </c>
      <c r="D182" s="2">
        <v>191509.22318989222</v>
      </c>
      <c r="E182" s="2">
        <v>53586.921958240833</v>
      </c>
      <c r="F182" s="2">
        <v>111197.00147168864</v>
      </c>
      <c r="G182" s="2">
        <v>20991.850511734974</v>
      </c>
      <c r="H182" s="2">
        <v>5733.4492482277747</v>
      </c>
      <c r="I182" s="2">
        <v>6965.6049709266917</v>
      </c>
      <c r="J182" s="2">
        <v>24907.39765531032</v>
      </c>
      <c r="K182" s="2">
        <v>10763.206587353972</v>
      </c>
      <c r="L182" s="2">
        <v>4231.6462972276095</v>
      </c>
      <c r="M182" s="2">
        <v>7845.2896382856397</v>
      </c>
      <c r="N182" s="2">
        <v>38.299999999999997</v>
      </c>
      <c r="O182" s="2">
        <v>1942.1</v>
      </c>
    </row>
    <row r="183" spans="1:15" hidden="1">
      <c r="A183" s="1">
        <v>2017</v>
      </c>
      <c r="B183" s="9" t="s">
        <v>93</v>
      </c>
      <c r="C183" s="1" t="s">
        <v>94</v>
      </c>
      <c r="D183" s="2">
        <v>190650.4641811311</v>
      </c>
      <c r="E183" s="2">
        <v>53877.177186370725</v>
      </c>
      <c r="F183" s="2">
        <v>111974.22275614632</v>
      </c>
      <c r="G183" s="2">
        <v>20220.229221364283</v>
      </c>
      <c r="H183" s="2">
        <v>4578.8350172497567</v>
      </c>
      <c r="I183" s="2">
        <v>7054.5874693612604</v>
      </c>
      <c r="J183" s="2">
        <v>22933.762067645661</v>
      </c>
      <c r="K183" s="2">
        <v>9030.9138929602141</v>
      </c>
      <c r="L183" s="2">
        <v>4674.4678287204706</v>
      </c>
      <c r="M183" s="2">
        <v>7063.9850745558688</v>
      </c>
      <c r="N183" s="2">
        <v>27.7</v>
      </c>
      <c r="O183" s="2">
        <v>1537</v>
      </c>
    </row>
    <row r="184" spans="1:15" hidden="1">
      <c r="A184" s="1">
        <v>2017</v>
      </c>
      <c r="B184" s="9" t="s">
        <v>95</v>
      </c>
      <c r="C184" s="1" t="s">
        <v>96</v>
      </c>
      <c r="D184" s="2">
        <v>178038.67396764568</v>
      </c>
      <c r="E184" s="2">
        <v>50773.796937912317</v>
      </c>
      <c r="F184" s="2">
        <v>105416.40175585066</v>
      </c>
      <c r="G184" s="2">
        <v>17412.739091377734</v>
      </c>
      <c r="H184" s="2">
        <v>4435.7361825049702</v>
      </c>
      <c r="I184" s="2">
        <v>6455.1434182977009</v>
      </c>
      <c r="J184" s="2">
        <v>22370.824541462418</v>
      </c>
      <c r="K184" s="2">
        <v>8454.0649096077614</v>
      </c>
      <c r="L184" s="2">
        <v>4904.8527021508262</v>
      </c>
      <c r="M184" s="2">
        <v>6443.3671384606714</v>
      </c>
      <c r="N184" s="2">
        <v>30.8</v>
      </c>
      <c r="O184" s="2">
        <v>1611.4</v>
      </c>
    </row>
    <row r="185" spans="1:15" hidden="1">
      <c r="A185" s="1">
        <v>2017</v>
      </c>
      <c r="B185" s="9" t="s">
        <v>97</v>
      </c>
      <c r="C185" s="1" t="s">
        <v>98</v>
      </c>
      <c r="D185" s="2">
        <v>187569.28731790849</v>
      </c>
      <c r="E185" s="2">
        <v>57086.32491390557</v>
      </c>
      <c r="F185" s="2">
        <v>108045.86488170097</v>
      </c>
      <c r="G185" s="2">
        <v>17873.415059374791</v>
      </c>
      <c r="H185" s="2">
        <v>4563.6824629271741</v>
      </c>
      <c r="I185" s="2">
        <v>7944.9457967505477</v>
      </c>
      <c r="J185" s="2">
        <v>23568.479231842481</v>
      </c>
      <c r="K185" s="2">
        <v>10372.840494779841</v>
      </c>
      <c r="L185" s="2">
        <v>4409.6083920767287</v>
      </c>
      <c r="M185" s="2">
        <v>6188.1892997205432</v>
      </c>
      <c r="N185" s="2">
        <v>45.9</v>
      </c>
      <c r="O185" s="2">
        <v>2544.8000000000002</v>
      </c>
    </row>
    <row r="186" spans="1:15" hidden="1">
      <c r="A186" s="1">
        <v>2017</v>
      </c>
      <c r="B186" s="9" t="s">
        <v>99</v>
      </c>
      <c r="C186" s="1" t="s">
        <v>100</v>
      </c>
      <c r="D186" s="2">
        <v>186335.64621145802</v>
      </c>
      <c r="E186" s="2">
        <v>55131.598402369971</v>
      </c>
      <c r="F186" s="2">
        <v>104701.66629758129</v>
      </c>
      <c r="G186" s="2">
        <v>20330.240294895964</v>
      </c>
      <c r="H186" s="2">
        <v>6172.1412166108084</v>
      </c>
      <c r="I186" s="2">
        <v>7435.0229943421245</v>
      </c>
      <c r="J186" s="2">
        <v>21706.25033118693</v>
      </c>
      <c r="K186" s="2">
        <v>9422.7225953991783</v>
      </c>
      <c r="L186" s="2">
        <v>4240.5625369573718</v>
      </c>
      <c r="M186" s="2">
        <v>6055.4398526733858</v>
      </c>
      <c r="N186" s="2">
        <v>34.299999999999997</v>
      </c>
      <c r="O186" s="2">
        <v>1672.2</v>
      </c>
    </row>
    <row r="187" spans="1:15" hidden="1">
      <c r="A187" s="1">
        <v>2017</v>
      </c>
      <c r="B187" s="9" t="s">
        <v>101</v>
      </c>
      <c r="C187" s="1" t="s">
        <v>102</v>
      </c>
      <c r="D187" s="2">
        <v>203823.58072661608</v>
      </c>
      <c r="E187" s="2">
        <v>64029.205887020194</v>
      </c>
      <c r="F187" s="2">
        <v>114932.52042145141</v>
      </c>
      <c r="G187" s="2">
        <v>18934.502710685822</v>
      </c>
      <c r="H187" s="2">
        <v>5927.3517074586607</v>
      </c>
      <c r="I187" s="2">
        <v>8147.3894042704324</v>
      </c>
      <c r="J187" s="2">
        <v>26415.342772281274</v>
      </c>
      <c r="K187" s="2">
        <v>11619.109286083996</v>
      </c>
      <c r="L187" s="2">
        <v>5698.3408049830177</v>
      </c>
      <c r="M187" s="2">
        <v>7114.1627495390421</v>
      </c>
      <c r="N187" s="2">
        <v>41.4</v>
      </c>
      <c r="O187" s="2">
        <v>1818</v>
      </c>
    </row>
    <row r="188" spans="1:15" hidden="1">
      <c r="A188" s="1">
        <v>2017</v>
      </c>
      <c r="B188" s="9" t="s">
        <v>103</v>
      </c>
      <c r="C188" s="1" t="s">
        <v>104</v>
      </c>
      <c r="D188" s="2">
        <v>188896.08361765463</v>
      </c>
      <c r="E188" s="2">
        <v>58638.702129171819</v>
      </c>
      <c r="F188" s="2">
        <v>105613.12483078882</v>
      </c>
      <c r="G188" s="2">
        <v>18841.915131535756</v>
      </c>
      <c r="H188" s="2">
        <v>5802.341526158245</v>
      </c>
      <c r="I188" s="2">
        <v>7419.8648263723671</v>
      </c>
      <c r="J188" s="2">
        <v>23883.56041028419</v>
      </c>
      <c r="K188" s="2">
        <v>11158.6132614652</v>
      </c>
      <c r="L188" s="2">
        <v>4082.8111817465151</v>
      </c>
      <c r="M188" s="2">
        <v>6429.1524156335336</v>
      </c>
      <c r="N188" s="2">
        <v>36.200000000000003</v>
      </c>
      <c r="O188" s="2">
        <v>1942.5</v>
      </c>
    </row>
    <row r="189" spans="1:15" hidden="1">
      <c r="A189" s="1">
        <v>2017</v>
      </c>
      <c r="B189" s="9" t="s">
        <v>105</v>
      </c>
      <c r="C189" s="1" t="s">
        <v>106</v>
      </c>
      <c r="D189" s="2">
        <v>187598.10990037236</v>
      </c>
      <c r="E189" s="2">
        <v>55769.242222804656</v>
      </c>
      <c r="F189" s="2">
        <v>109064.95020756098</v>
      </c>
      <c r="G189" s="2">
        <v>17507.033769873648</v>
      </c>
      <c r="H189" s="2">
        <v>5256.8837001330803</v>
      </c>
      <c r="I189" s="2">
        <v>6786.3432491957537</v>
      </c>
      <c r="J189" s="2">
        <v>23720.7866326187</v>
      </c>
      <c r="K189" s="2">
        <v>10998.484196503823</v>
      </c>
      <c r="L189" s="2">
        <v>4322.776079224941</v>
      </c>
      <c r="M189" s="2">
        <v>6738.7528677421969</v>
      </c>
      <c r="N189" s="2">
        <v>39.799999999999997</v>
      </c>
      <c r="O189" s="2">
        <v>1961.8</v>
      </c>
    </row>
    <row r="190" spans="1:15" hidden="1">
      <c r="A190" s="1">
        <v>2017</v>
      </c>
      <c r="B190" s="9" t="s">
        <v>107</v>
      </c>
      <c r="C190" s="1" t="s">
        <v>108</v>
      </c>
      <c r="D190" s="2">
        <v>188731.50240536654</v>
      </c>
      <c r="E190" s="2">
        <v>57177.373488110985</v>
      </c>
      <c r="F190" s="2">
        <v>109711.65237839131</v>
      </c>
      <c r="G190" s="2">
        <v>16845.034330332783</v>
      </c>
      <c r="H190" s="2">
        <v>4997.4422085314654</v>
      </c>
      <c r="I190" s="2">
        <v>7379.7978102390352</v>
      </c>
      <c r="J190" s="2">
        <v>24173.60517576295</v>
      </c>
      <c r="K190" s="2">
        <v>10232.698826446427</v>
      </c>
      <c r="L190" s="2">
        <v>4450.5641977452451</v>
      </c>
      <c r="M190" s="2">
        <v>7381.1061680566436</v>
      </c>
      <c r="N190" s="2">
        <v>32.5</v>
      </c>
      <c r="O190" s="2">
        <v>1736.6</v>
      </c>
    </row>
    <row r="191" spans="1:15" hidden="1">
      <c r="A191" s="1">
        <v>2017</v>
      </c>
      <c r="B191" s="9" t="s">
        <v>109</v>
      </c>
      <c r="C191" s="1" t="s">
        <v>110</v>
      </c>
      <c r="D191" s="2">
        <v>177620.67600523331</v>
      </c>
      <c r="E191" s="2">
        <v>53105.722455820091</v>
      </c>
      <c r="F191" s="2">
        <v>102610.80336663435</v>
      </c>
      <c r="G191" s="2">
        <v>17123.017997675975</v>
      </c>
      <c r="H191" s="2">
        <v>4781.1321851028888</v>
      </c>
      <c r="I191" s="2">
        <v>7240.0071872716317</v>
      </c>
      <c r="J191" s="2">
        <v>22658.586720969826</v>
      </c>
      <c r="K191" s="2">
        <v>10845.248204057501</v>
      </c>
      <c r="L191" s="2">
        <v>4044.6483067379413</v>
      </c>
      <c r="M191" s="2">
        <v>5809.9364283746845</v>
      </c>
      <c r="N191" s="2">
        <v>36.1</v>
      </c>
      <c r="O191" s="2">
        <v>1754.5</v>
      </c>
    </row>
    <row r="192" spans="1:15" hidden="1">
      <c r="A192" s="1">
        <v>2017</v>
      </c>
      <c r="B192" s="9" t="s">
        <v>111</v>
      </c>
      <c r="C192" s="1" t="s">
        <v>112</v>
      </c>
      <c r="D192" s="2">
        <v>181880.66347449875</v>
      </c>
      <c r="E192" s="2">
        <v>56232.483643336418</v>
      </c>
      <c r="F192" s="2">
        <v>103330.56265077666</v>
      </c>
      <c r="G192" s="2">
        <v>17019.045459491124</v>
      </c>
      <c r="H192" s="2">
        <v>5298.5717208945498</v>
      </c>
      <c r="I192" s="2">
        <v>7552.4992938544856</v>
      </c>
      <c r="J192" s="2">
        <v>23228.320729360988</v>
      </c>
      <c r="K192" s="2">
        <v>10434.926044095922</v>
      </c>
      <c r="L192" s="2">
        <v>3723.0460818998035</v>
      </c>
      <c r="M192" s="2">
        <v>6609.312470821149</v>
      </c>
      <c r="N192" s="2">
        <v>41.3</v>
      </c>
      <c r="O192" s="2">
        <v>2072.9</v>
      </c>
    </row>
    <row r="193" spans="1:15" hidden="1">
      <c r="A193" s="1">
        <v>2017</v>
      </c>
      <c r="B193" s="9" t="s">
        <v>113</v>
      </c>
      <c r="C193" s="1" t="s">
        <v>114</v>
      </c>
      <c r="D193" s="2">
        <v>164373.34841245241</v>
      </c>
      <c r="E193" s="2">
        <v>52764.022262062841</v>
      </c>
      <c r="F193" s="2">
        <v>91132.694736241043</v>
      </c>
      <c r="G193" s="2">
        <v>16203.661126981971</v>
      </c>
      <c r="H193" s="2">
        <v>4272.9702871665377</v>
      </c>
      <c r="I193" s="2">
        <v>8157.8969377427848</v>
      </c>
      <c r="J193" s="2">
        <v>19005.963760504434</v>
      </c>
      <c r="K193" s="2">
        <v>8891.5079965005334</v>
      </c>
      <c r="L193" s="2">
        <v>3449.5649229426945</v>
      </c>
      <c r="M193" s="2">
        <v>4967.1272558682549</v>
      </c>
      <c r="N193" s="2">
        <v>29.3</v>
      </c>
      <c r="O193" s="2">
        <v>1315.6</v>
      </c>
    </row>
    <row r="194" spans="1:15" hidden="1">
      <c r="A194" s="1">
        <v>2018</v>
      </c>
      <c r="B194" s="9" t="s">
        <v>205</v>
      </c>
      <c r="C194" s="1" t="s">
        <v>206</v>
      </c>
      <c r="D194" s="2">
        <v>181074.70301760273</v>
      </c>
      <c r="E194" s="2">
        <v>50270.045933603229</v>
      </c>
      <c r="F194" s="2">
        <v>106214.35479133904</v>
      </c>
      <c r="G194" s="2">
        <v>19662.216911439929</v>
      </c>
      <c r="H194" s="2">
        <v>4928.0853812205369</v>
      </c>
      <c r="I194" s="2">
        <v>6131.5200506124693</v>
      </c>
      <c r="J194" s="2">
        <v>20163.639206839962</v>
      </c>
      <c r="K194" s="2">
        <v>9022.1105965990355</v>
      </c>
      <c r="L194" s="2">
        <v>2835.0436822122042</v>
      </c>
      <c r="M194" s="2">
        <v>6352.9280012698164</v>
      </c>
      <c r="N194" s="2">
        <v>27.8</v>
      </c>
      <c r="O194" s="2">
        <v>1223.0999999999999</v>
      </c>
    </row>
    <row r="195" spans="1:15">
      <c r="A195" s="1">
        <v>2018</v>
      </c>
      <c r="B195" s="9" t="s">
        <v>207</v>
      </c>
      <c r="C195" s="1" t="s">
        <v>22</v>
      </c>
      <c r="D195" s="2">
        <v>200328.13842484597</v>
      </c>
      <c r="E195" s="2">
        <v>63191.903068920721</v>
      </c>
      <c r="F195" s="2">
        <v>112323.35697301815</v>
      </c>
      <c r="G195" s="2">
        <v>20528.229833526268</v>
      </c>
      <c r="H195" s="2">
        <v>4284.6485493808104</v>
      </c>
      <c r="I195" s="2">
        <v>8101.2156058804112</v>
      </c>
      <c r="J195" s="2">
        <v>23206.538448812094</v>
      </c>
      <c r="K195" s="2">
        <v>10011.968771458161</v>
      </c>
      <c r="L195" s="2">
        <v>2923.4700744090992</v>
      </c>
      <c r="M195" s="2">
        <v>7544.9319117587984</v>
      </c>
      <c r="N195" s="2">
        <v>31.1</v>
      </c>
      <c r="O195" s="2">
        <v>1775.8</v>
      </c>
    </row>
    <row r="196" spans="1:15">
      <c r="A196" s="1">
        <v>2018</v>
      </c>
      <c r="B196" s="9" t="s">
        <v>23</v>
      </c>
      <c r="C196" s="1" t="s">
        <v>24</v>
      </c>
      <c r="D196" s="2">
        <v>183584.04864537908</v>
      </c>
      <c r="E196" s="2">
        <v>50845.923199383411</v>
      </c>
      <c r="F196" s="2">
        <v>111752.0528067376</v>
      </c>
      <c r="G196" s="2">
        <v>17539.418609567245</v>
      </c>
      <c r="H196" s="2">
        <v>3446.6540296908506</v>
      </c>
      <c r="I196" s="2">
        <v>6228.4656975080106</v>
      </c>
      <c r="J196" s="2">
        <v>25714.879262786231</v>
      </c>
      <c r="K196" s="2">
        <v>12247.943340750253</v>
      </c>
      <c r="L196" s="2">
        <v>3190.8701904564145</v>
      </c>
      <c r="M196" s="2">
        <v>7988.3622758857182</v>
      </c>
      <c r="N196" s="2">
        <v>30.8</v>
      </c>
      <c r="O196" s="2">
        <v>1366.2</v>
      </c>
    </row>
    <row r="197" spans="1:15">
      <c r="A197" s="1">
        <v>2018</v>
      </c>
      <c r="B197" s="9" t="s">
        <v>25</v>
      </c>
      <c r="C197" s="1" t="s">
        <v>26</v>
      </c>
      <c r="D197" s="2">
        <v>180918.61114933717</v>
      </c>
      <c r="E197" s="2">
        <v>50928.679134681646</v>
      </c>
      <c r="F197" s="2">
        <v>107802.0992245356</v>
      </c>
      <c r="G197" s="2">
        <v>18324.028057547461</v>
      </c>
      <c r="H197" s="2">
        <v>3863.804732572471</v>
      </c>
      <c r="I197" s="2">
        <v>6540.3978249683278</v>
      </c>
      <c r="J197" s="2">
        <v>24283.541441139751</v>
      </c>
      <c r="K197" s="2">
        <v>11535.901970565395</v>
      </c>
      <c r="L197" s="2">
        <v>3148.6519196458557</v>
      </c>
      <c r="M197" s="2">
        <v>7526.7807714292294</v>
      </c>
      <c r="N197" s="2">
        <v>29.7</v>
      </c>
      <c r="O197" s="2">
        <v>1376.4</v>
      </c>
    </row>
    <row r="198" spans="1:15">
      <c r="A198" s="1">
        <v>2018</v>
      </c>
      <c r="B198" s="9" t="s">
        <v>27</v>
      </c>
      <c r="C198" s="1" t="s">
        <v>28</v>
      </c>
      <c r="D198" s="2">
        <v>186421.82995245687</v>
      </c>
      <c r="E198" s="2">
        <v>51405.359141418579</v>
      </c>
      <c r="F198" s="2">
        <v>112299.01727242164</v>
      </c>
      <c r="G198" s="2">
        <v>18218.806653428881</v>
      </c>
      <c r="H198" s="2">
        <v>4498.6468851877698</v>
      </c>
      <c r="I198" s="2">
        <v>6601.4962766218014</v>
      </c>
      <c r="J198" s="2">
        <v>24977.514865600337</v>
      </c>
      <c r="K198" s="2">
        <v>12058.216957990388</v>
      </c>
      <c r="L198" s="2">
        <v>3470.8319062502501</v>
      </c>
      <c r="M198" s="2">
        <v>7403.4664689629972</v>
      </c>
      <c r="N198" s="2">
        <v>24.4</v>
      </c>
      <c r="O198" s="2">
        <v>1099.4000000000001</v>
      </c>
    </row>
    <row r="199" spans="1:15">
      <c r="A199" s="1">
        <v>2018</v>
      </c>
      <c r="B199" s="9" t="s">
        <v>29</v>
      </c>
      <c r="C199" s="1" t="s">
        <v>30</v>
      </c>
      <c r="D199" s="2">
        <v>201895.20689506727</v>
      </c>
      <c r="E199" s="2">
        <v>59700.083611445218</v>
      </c>
      <c r="F199" s="2">
        <v>118296.64468769089</v>
      </c>
      <c r="G199" s="2">
        <v>19756.071306650236</v>
      </c>
      <c r="H199" s="2">
        <v>4142.4072892809208</v>
      </c>
      <c r="I199" s="2">
        <v>6739.7889806382664</v>
      </c>
      <c r="J199" s="2">
        <v>25547.624212939318</v>
      </c>
      <c r="K199" s="2">
        <v>12097.667606322755</v>
      </c>
      <c r="L199" s="2">
        <v>3823.2138641895599</v>
      </c>
      <c r="M199" s="2">
        <v>7313.9411571739547</v>
      </c>
      <c r="N199" s="2">
        <v>30.9</v>
      </c>
      <c r="O199" s="2">
        <v>1516.2</v>
      </c>
    </row>
    <row r="200" spans="1:15">
      <c r="A200" s="1">
        <v>2018</v>
      </c>
      <c r="B200" s="9" t="s">
        <v>31</v>
      </c>
      <c r="C200" s="1" t="s">
        <v>32</v>
      </c>
      <c r="D200" s="2">
        <v>187418.28125584536</v>
      </c>
      <c r="E200" s="2">
        <v>53041.724981840809</v>
      </c>
      <c r="F200" s="2">
        <v>112224.63063992414</v>
      </c>
      <c r="G200" s="2">
        <v>18428.092385926142</v>
      </c>
      <c r="H200" s="2">
        <v>3723.8332481542407</v>
      </c>
      <c r="I200" s="2">
        <v>5834.3728891314995</v>
      </c>
      <c r="J200" s="2">
        <v>25132.778631424117</v>
      </c>
      <c r="K200" s="2">
        <v>12383.792353263161</v>
      </c>
      <c r="L200" s="2">
        <v>4242.7469348034283</v>
      </c>
      <c r="M200" s="2">
        <v>6403.3534582607481</v>
      </c>
      <c r="N200" s="2">
        <v>27.1</v>
      </c>
      <c r="O200" s="2">
        <v>1315.8</v>
      </c>
    </row>
    <row r="201" spans="1:15">
      <c r="A201" s="1">
        <v>2018</v>
      </c>
      <c r="B201" s="9" t="s">
        <v>33</v>
      </c>
      <c r="C201" s="1" t="s">
        <v>34</v>
      </c>
      <c r="D201" s="2">
        <v>180158.69527141209</v>
      </c>
      <c r="E201" s="2">
        <v>50487.212900750892</v>
      </c>
      <c r="F201" s="2">
        <v>107946.44513942057</v>
      </c>
      <c r="G201" s="2">
        <v>17707.75390293372</v>
      </c>
      <c r="H201" s="2">
        <v>4017.2833283068953</v>
      </c>
      <c r="I201" s="2">
        <v>6007.8744403025921</v>
      </c>
      <c r="J201" s="2">
        <v>24988.804591420612</v>
      </c>
      <c r="K201" s="2">
        <v>12182.560375761455</v>
      </c>
      <c r="L201" s="2">
        <v>3070.6954579289541</v>
      </c>
      <c r="M201" s="2">
        <v>7601.4871074016537</v>
      </c>
      <c r="N201" s="2">
        <v>28.3</v>
      </c>
      <c r="O201" s="2">
        <v>1347.7</v>
      </c>
    </row>
    <row r="202" spans="1:15">
      <c r="A202" s="1">
        <v>2018</v>
      </c>
      <c r="B202" s="9" t="s">
        <v>35</v>
      </c>
      <c r="C202" s="1" t="s">
        <v>36</v>
      </c>
      <c r="D202" s="2">
        <v>173353.01744875067</v>
      </c>
      <c r="E202" s="2">
        <v>46261.680976787567</v>
      </c>
      <c r="F202" s="2">
        <v>105209.57425961045</v>
      </c>
      <c r="G202" s="2">
        <v>18282.891283398079</v>
      </c>
      <c r="H202" s="2">
        <v>3598.8709289545973</v>
      </c>
      <c r="I202" s="2">
        <v>6068.3295787985244</v>
      </c>
      <c r="J202" s="2">
        <v>21607.896961390783</v>
      </c>
      <c r="K202" s="2">
        <v>9712.3565859228893</v>
      </c>
      <c r="L202" s="2">
        <v>2840.9785146133936</v>
      </c>
      <c r="M202" s="2">
        <v>7096.773251589666</v>
      </c>
      <c r="N202" s="2">
        <v>26.8</v>
      </c>
      <c r="O202" s="2">
        <v>1072.5</v>
      </c>
    </row>
    <row r="203" spans="1:15">
      <c r="A203" s="1">
        <v>2018</v>
      </c>
      <c r="B203" s="9" t="s">
        <v>37</v>
      </c>
      <c r="C203" s="1" t="s">
        <v>38</v>
      </c>
      <c r="D203" s="2">
        <v>177157.54360052946</v>
      </c>
      <c r="E203" s="2">
        <v>46438.623140139905</v>
      </c>
      <c r="F203" s="2">
        <v>108328.47711437917</v>
      </c>
      <c r="G203" s="2">
        <v>17861.900325908216</v>
      </c>
      <c r="H203" s="2">
        <v>4528.5430201021745</v>
      </c>
      <c r="I203" s="2">
        <v>5948.5169410073922</v>
      </c>
      <c r="J203" s="2">
        <v>21907.605418906503</v>
      </c>
      <c r="K203" s="2">
        <v>10105.905573464106</v>
      </c>
      <c r="L203" s="2">
        <v>3198.7728270266321</v>
      </c>
      <c r="M203" s="2">
        <v>6667.7740783455865</v>
      </c>
      <c r="N203" s="2">
        <v>29.2</v>
      </c>
      <c r="O203" s="2">
        <v>1077.3</v>
      </c>
    </row>
    <row r="204" spans="1:15">
      <c r="A204" s="1">
        <v>2018</v>
      </c>
      <c r="B204" s="9" t="s">
        <v>39</v>
      </c>
      <c r="C204" s="1" t="s">
        <v>40</v>
      </c>
      <c r="D204" s="2">
        <v>174276.51116383472</v>
      </c>
      <c r="E204" s="2">
        <v>47982.377641172498</v>
      </c>
      <c r="F204" s="2">
        <v>103988.05813679103</v>
      </c>
      <c r="G204" s="2">
        <v>17748.75041894805</v>
      </c>
      <c r="H204" s="2">
        <v>4557.3249669231473</v>
      </c>
      <c r="I204" s="2">
        <v>5995.0741148097632</v>
      </c>
      <c r="J204" s="2">
        <v>20526.547906792424</v>
      </c>
      <c r="K204" s="2">
        <v>9079.2866231597927</v>
      </c>
      <c r="L204" s="2">
        <v>2476.8747309892879</v>
      </c>
      <c r="M204" s="2">
        <v>6890.3913651513531</v>
      </c>
      <c r="N204" s="2">
        <v>27.2</v>
      </c>
      <c r="O204" s="2">
        <v>1232.4000000000001</v>
      </c>
    </row>
    <row r="205" spans="1:15">
      <c r="A205" s="1">
        <v>2018</v>
      </c>
      <c r="B205" s="9" t="s">
        <v>41</v>
      </c>
      <c r="C205" s="1" t="s">
        <v>42</v>
      </c>
      <c r="D205" s="2">
        <v>173420.95145355331</v>
      </c>
      <c r="E205" s="2">
        <v>46132.467781731641</v>
      </c>
      <c r="F205" s="2">
        <v>103391.76343718852</v>
      </c>
      <c r="G205" s="2">
        <v>18988.599985965739</v>
      </c>
      <c r="H205" s="2">
        <v>4908.1202486674101</v>
      </c>
      <c r="I205" s="2">
        <v>6208.0956790779292</v>
      </c>
      <c r="J205" s="2">
        <v>20537.230287107515</v>
      </c>
      <c r="K205" s="2">
        <v>9526.401068700332</v>
      </c>
      <c r="L205" s="2">
        <v>2441.664110035877</v>
      </c>
      <c r="M205" s="2">
        <v>6558.3746784946006</v>
      </c>
      <c r="N205" s="2">
        <v>27.5</v>
      </c>
      <c r="O205" s="2">
        <v>856.8</v>
      </c>
    </row>
    <row r="206" spans="1:15">
      <c r="A206" s="1">
        <v>2018</v>
      </c>
      <c r="B206" s="9" t="s">
        <v>43</v>
      </c>
      <c r="C206" s="1" t="s">
        <v>44</v>
      </c>
      <c r="D206" s="2">
        <v>176894.05828610004</v>
      </c>
      <c r="E206" s="2">
        <v>47850.993305556854</v>
      </c>
      <c r="F206" s="2">
        <v>104961.47397385682</v>
      </c>
      <c r="G206" s="2">
        <v>19662.36822038086</v>
      </c>
      <c r="H206" s="2">
        <v>4419.2227863054914</v>
      </c>
      <c r="I206" s="2">
        <v>6803.5629210034904</v>
      </c>
      <c r="J206" s="2">
        <v>21108.187310575067</v>
      </c>
      <c r="K206" s="2">
        <v>9368.0256617207106</v>
      </c>
      <c r="L206" s="2">
        <v>2648.6847392658187</v>
      </c>
      <c r="M206" s="2">
        <v>7107.890769163705</v>
      </c>
      <c r="N206" s="2">
        <v>25.5</v>
      </c>
      <c r="O206" s="2">
        <v>954.4</v>
      </c>
    </row>
    <row r="207" spans="1:15">
      <c r="A207" s="1">
        <v>2018</v>
      </c>
      <c r="B207" s="9" t="s">
        <v>45</v>
      </c>
      <c r="C207" s="1" t="s">
        <v>46</v>
      </c>
      <c r="D207" s="2">
        <v>176545.57551723442</v>
      </c>
      <c r="E207" s="2">
        <v>44900.862841260787</v>
      </c>
      <c r="F207" s="2">
        <v>106029.65103297262</v>
      </c>
      <c r="G207" s="2">
        <v>20488.230360131383</v>
      </c>
      <c r="H207" s="2">
        <v>5126.8312828696289</v>
      </c>
      <c r="I207" s="2">
        <v>5600.6469265243686</v>
      </c>
      <c r="J207" s="2">
        <v>17865.11743432987</v>
      </c>
      <c r="K207" s="2">
        <v>7830.0682590439046</v>
      </c>
      <c r="L207" s="2">
        <v>2555.4815984544671</v>
      </c>
      <c r="M207" s="2">
        <v>5668.2930703704787</v>
      </c>
      <c r="N207" s="2">
        <v>21.8</v>
      </c>
      <c r="O207" s="2">
        <v>927.4</v>
      </c>
    </row>
    <row r="208" spans="1:15">
      <c r="A208" s="1">
        <v>2018</v>
      </c>
      <c r="B208" s="9" t="s">
        <v>47</v>
      </c>
      <c r="C208" s="1" t="s">
        <v>48</v>
      </c>
      <c r="D208" s="2">
        <v>180117.83674599064</v>
      </c>
      <c r="E208" s="2">
        <v>47412.128186673639</v>
      </c>
      <c r="F208" s="2">
        <v>107754.64110093167</v>
      </c>
      <c r="G208" s="2">
        <v>20326.831093627701</v>
      </c>
      <c r="H208" s="2">
        <v>4624.2363647576294</v>
      </c>
      <c r="I208" s="2">
        <v>6375.384132953759</v>
      </c>
      <c r="J208" s="2">
        <v>20026.082621548223</v>
      </c>
      <c r="K208" s="2">
        <v>8746.5623795260744</v>
      </c>
      <c r="L208" s="2">
        <v>2822.8043574296066</v>
      </c>
      <c r="M208" s="2">
        <v>6475.9405661894752</v>
      </c>
      <c r="N208" s="2">
        <v>21.8</v>
      </c>
      <c r="O208" s="2">
        <v>811.4</v>
      </c>
    </row>
    <row r="209" spans="1:15">
      <c r="A209" s="1">
        <v>2018</v>
      </c>
      <c r="B209" s="9" t="s">
        <v>49</v>
      </c>
      <c r="C209" s="1" t="s">
        <v>50</v>
      </c>
      <c r="D209" s="2">
        <v>170367.91597181055</v>
      </c>
      <c r="E209" s="2">
        <v>46521.551824080649</v>
      </c>
      <c r="F209" s="2">
        <v>102125.89279983405</v>
      </c>
      <c r="G209" s="2">
        <v>18180.153734612719</v>
      </c>
      <c r="H209" s="2">
        <v>3540.3176132831254</v>
      </c>
      <c r="I209" s="2">
        <v>4787.460292757165</v>
      </c>
      <c r="J209" s="2">
        <v>19392.177497480548</v>
      </c>
      <c r="K209" s="2">
        <v>8646.0046159750673</v>
      </c>
      <c r="L209" s="2">
        <v>3301.8484432892028</v>
      </c>
      <c r="M209" s="2">
        <v>5640.1639798644683</v>
      </c>
      <c r="N209" s="2">
        <v>30.6</v>
      </c>
      <c r="O209" s="2">
        <v>1259.3</v>
      </c>
    </row>
    <row r="210" spans="1:15">
      <c r="A210" s="1">
        <v>2018</v>
      </c>
      <c r="B210" s="9" t="s">
        <v>51</v>
      </c>
      <c r="C210" s="1" t="s">
        <v>52</v>
      </c>
      <c r="D210" s="2">
        <v>170325.99193442581</v>
      </c>
      <c r="E210" s="2">
        <v>49060.545540172025</v>
      </c>
      <c r="F210" s="2">
        <v>99176.629878613516</v>
      </c>
      <c r="G210" s="2">
        <v>17544.699293419606</v>
      </c>
      <c r="H210" s="2">
        <v>4544.1172222206542</v>
      </c>
      <c r="I210" s="2">
        <v>5948.84001809658</v>
      </c>
      <c r="J210" s="2">
        <v>19487.744108242969</v>
      </c>
      <c r="K210" s="2">
        <v>8462.4095948350405</v>
      </c>
      <c r="L210" s="2">
        <v>2786.0592214372987</v>
      </c>
      <c r="M210" s="2">
        <v>6335.4506651751817</v>
      </c>
      <c r="N210" s="2">
        <v>31.9</v>
      </c>
      <c r="O210" s="2">
        <v>1560.9</v>
      </c>
    </row>
    <row r="211" spans="1:15">
      <c r="A211" s="1">
        <v>2018</v>
      </c>
      <c r="B211" s="9" t="s">
        <v>53</v>
      </c>
      <c r="C211" s="1" t="s">
        <v>54</v>
      </c>
      <c r="D211" s="2">
        <v>181402.31947230172</v>
      </c>
      <c r="E211" s="2">
        <v>54866.361039295109</v>
      </c>
      <c r="F211" s="2">
        <v>104564.34147841761</v>
      </c>
      <c r="G211" s="2">
        <v>17379.332641165824</v>
      </c>
      <c r="H211" s="2">
        <v>4592.2843134231771</v>
      </c>
      <c r="I211" s="2">
        <v>6504.5635187957032</v>
      </c>
      <c r="J211" s="2">
        <v>20082.446608414368</v>
      </c>
      <c r="K211" s="2">
        <v>8300.7448800876482</v>
      </c>
      <c r="L211" s="2">
        <v>3034.1661665566248</v>
      </c>
      <c r="M211" s="2">
        <v>6707.8590768164795</v>
      </c>
      <c r="N211" s="2">
        <v>31.3</v>
      </c>
      <c r="O211" s="2">
        <v>1556</v>
      </c>
    </row>
    <row r="212" spans="1:15">
      <c r="A212" s="1">
        <v>2018</v>
      </c>
      <c r="B212" s="9" t="s">
        <v>55</v>
      </c>
      <c r="C212" s="1" t="s">
        <v>56</v>
      </c>
      <c r="D212" s="2">
        <v>181296.40741054088</v>
      </c>
      <c r="E212" s="2">
        <v>55395.53715846932</v>
      </c>
      <c r="F212" s="2">
        <v>104302.11041581299</v>
      </c>
      <c r="G212" s="2">
        <v>16989.380156799623</v>
      </c>
      <c r="H212" s="2">
        <v>4609.379679458938</v>
      </c>
      <c r="I212" s="2">
        <v>6588.6441270515106</v>
      </c>
      <c r="J212" s="2">
        <v>21257.865900563451</v>
      </c>
      <c r="K212" s="2">
        <v>9350.5893233690131</v>
      </c>
      <c r="L212" s="2">
        <v>3087.8242916020963</v>
      </c>
      <c r="M212" s="2">
        <v>6774.4608940212038</v>
      </c>
      <c r="N212" s="2">
        <v>28.4</v>
      </c>
      <c r="O212" s="2">
        <v>1385.4</v>
      </c>
    </row>
    <row r="213" spans="1:15">
      <c r="A213" s="1">
        <v>2018</v>
      </c>
      <c r="B213" s="9" t="s">
        <v>57</v>
      </c>
      <c r="C213" s="1" t="s">
        <v>58</v>
      </c>
      <c r="D213" s="2">
        <v>178931.18880099157</v>
      </c>
      <c r="E213" s="2">
        <v>49099.93436184802</v>
      </c>
      <c r="F213" s="2">
        <v>106418.5933051446</v>
      </c>
      <c r="G213" s="2">
        <v>18870.464051503124</v>
      </c>
      <c r="H213" s="2">
        <v>4542.197082495828</v>
      </c>
      <c r="I213" s="2">
        <v>5826.001247439699</v>
      </c>
      <c r="J213" s="2">
        <v>20906.550496157815</v>
      </c>
      <c r="K213" s="2">
        <v>9330.2989521180716</v>
      </c>
      <c r="L213" s="2">
        <v>2860.5959204093706</v>
      </c>
      <c r="M213" s="2">
        <v>6702.0435360577449</v>
      </c>
      <c r="N213" s="2">
        <v>28.7</v>
      </c>
      <c r="O213" s="2">
        <v>1326.8</v>
      </c>
    </row>
    <row r="214" spans="1:15">
      <c r="A214" s="1">
        <v>2018</v>
      </c>
      <c r="B214" s="9" t="s">
        <v>59</v>
      </c>
      <c r="C214" s="1" t="s">
        <v>60</v>
      </c>
      <c r="D214" s="2">
        <v>169786.52025813877</v>
      </c>
      <c r="E214" s="2">
        <v>48785.337860332605</v>
      </c>
      <c r="F214" s="2">
        <v>99664.243376121362</v>
      </c>
      <c r="G214" s="2">
        <v>17071.470752754627</v>
      </c>
      <c r="H214" s="2">
        <v>4265.4682689301881</v>
      </c>
      <c r="I214" s="2">
        <v>5836.5480684962859</v>
      </c>
      <c r="J214" s="2">
        <v>18478.193764182452</v>
      </c>
      <c r="K214" s="2">
        <v>8066.3137551883774</v>
      </c>
      <c r="L214" s="2">
        <v>2853.1472643719371</v>
      </c>
      <c r="M214" s="2">
        <v>5772.4200110496813</v>
      </c>
      <c r="N214" s="2">
        <v>23.6</v>
      </c>
      <c r="O214" s="2">
        <v>1150.3</v>
      </c>
    </row>
    <row r="215" spans="1:15">
      <c r="A215" s="1">
        <v>2018</v>
      </c>
      <c r="B215" s="9" t="s">
        <v>61</v>
      </c>
      <c r="C215" s="1" t="s">
        <v>62</v>
      </c>
      <c r="D215" s="2">
        <v>176404.28461893514</v>
      </c>
      <c r="E215" s="2">
        <v>46436.48803050899</v>
      </c>
      <c r="F215" s="2">
        <v>104736.14606899276</v>
      </c>
      <c r="G215" s="2">
        <v>20456.255482036035</v>
      </c>
      <c r="H215" s="2">
        <v>4775.3950373973448</v>
      </c>
      <c r="I215" s="2">
        <v>5642.0232702830517</v>
      </c>
      <c r="J215" s="2">
        <v>19910.901711601451</v>
      </c>
      <c r="K215" s="2">
        <v>8944.7798039529389</v>
      </c>
      <c r="L215" s="2">
        <v>3000.5125678842633</v>
      </c>
      <c r="M215" s="2">
        <v>6069.9936280429192</v>
      </c>
      <c r="N215" s="2">
        <v>24.4</v>
      </c>
      <c r="O215" s="2">
        <v>1017.5</v>
      </c>
    </row>
    <row r="216" spans="1:15">
      <c r="A216" s="1">
        <v>2018</v>
      </c>
      <c r="B216" s="9" t="s">
        <v>63</v>
      </c>
      <c r="C216" s="1" t="s">
        <v>64</v>
      </c>
      <c r="D216" s="2">
        <v>172633.80306953381</v>
      </c>
      <c r="E216" s="2">
        <v>44989.784615284654</v>
      </c>
      <c r="F216" s="2">
        <v>106480.40528214326</v>
      </c>
      <c r="G216" s="2">
        <v>17570.856986689872</v>
      </c>
      <c r="H216" s="2">
        <v>3592.756185416029</v>
      </c>
      <c r="I216" s="2">
        <v>5589.020760094877</v>
      </c>
      <c r="J216" s="2">
        <v>20040.322113131955</v>
      </c>
      <c r="K216" s="2">
        <v>8602.9647890859378</v>
      </c>
      <c r="L216" s="2">
        <v>3103.7797958674573</v>
      </c>
      <c r="M216" s="2">
        <v>6399.4300403351699</v>
      </c>
      <c r="N216" s="2">
        <v>27.5</v>
      </c>
      <c r="O216" s="2">
        <v>1049.2</v>
      </c>
    </row>
    <row r="217" spans="1:15">
      <c r="A217" s="1">
        <v>2018</v>
      </c>
      <c r="B217" s="9" t="s">
        <v>65</v>
      </c>
      <c r="C217" s="1" t="s">
        <v>66</v>
      </c>
      <c r="D217" s="2">
        <v>170814.24731478363</v>
      </c>
      <c r="E217" s="2">
        <v>42586.584550755768</v>
      </c>
      <c r="F217" s="2">
        <v>103053.34166729436</v>
      </c>
      <c r="G217" s="2">
        <v>20940.531940483215</v>
      </c>
      <c r="H217" s="2">
        <v>4233.7891562502837</v>
      </c>
      <c r="I217" s="2">
        <v>5161.6197520920841</v>
      </c>
      <c r="J217" s="2">
        <v>18570.766001488395</v>
      </c>
      <c r="K217" s="2">
        <v>7928.2673691269629</v>
      </c>
      <c r="L217" s="2">
        <v>2834.4820096739436</v>
      </c>
      <c r="M217" s="2">
        <v>6014.3343882939325</v>
      </c>
      <c r="N217" s="2">
        <v>23.5</v>
      </c>
      <c r="O217" s="2">
        <v>895.7</v>
      </c>
    </row>
    <row r="218" spans="1:15">
      <c r="A218" s="1">
        <v>2018</v>
      </c>
      <c r="B218" s="9" t="s">
        <v>67</v>
      </c>
      <c r="C218" s="1" t="s">
        <v>68</v>
      </c>
      <c r="D218" s="2">
        <v>172643.04111975271</v>
      </c>
      <c r="E218" s="2">
        <v>46640.340854376613</v>
      </c>
      <c r="F218" s="2">
        <v>103244.23227625563</v>
      </c>
      <c r="G218" s="2">
        <v>18872.435848575795</v>
      </c>
      <c r="H218" s="2">
        <v>3886.0321405446944</v>
      </c>
      <c r="I218" s="2">
        <v>5593.2007860490212</v>
      </c>
      <c r="J218" s="2">
        <v>19956.444132512985</v>
      </c>
      <c r="K218" s="2">
        <v>8433.1292055475224</v>
      </c>
      <c r="L218" s="2">
        <v>3060.2385293248021</v>
      </c>
      <c r="M218" s="2">
        <v>6643.6502006684204</v>
      </c>
      <c r="N218" s="2">
        <v>28</v>
      </c>
      <c r="O218" s="2">
        <v>1101.0999999999999</v>
      </c>
    </row>
    <row r="219" spans="1:15">
      <c r="A219" s="1">
        <v>2018</v>
      </c>
      <c r="B219" s="9" t="s">
        <v>69</v>
      </c>
      <c r="C219" s="1" t="s">
        <v>70</v>
      </c>
      <c r="D219" s="2">
        <v>171754.93009281764</v>
      </c>
      <c r="E219" s="2">
        <v>49425.871212442617</v>
      </c>
      <c r="F219" s="2">
        <v>99745.415786332698</v>
      </c>
      <c r="G219" s="2">
        <v>18167.700044405603</v>
      </c>
      <c r="H219" s="2">
        <v>4415.9430496367168</v>
      </c>
      <c r="I219" s="2">
        <v>6007.1225170339321</v>
      </c>
      <c r="J219" s="2">
        <v>19323.848732359478</v>
      </c>
      <c r="K219" s="2">
        <v>8534.4946602836808</v>
      </c>
      <c r="L219" s="2">
        <v>2831.5175626038836</v>
      </c>
      <c r="M219" s="2">
        <v>6048.3708597029463</v>
      </c>
      <c r="N219" s="2">
        <v>25.3</v>
      </c>
      <c r="O219" s="2">
        <v>1015.4</v>
      </c>
    </row>
    <row r="220" spans="1:15">
      <c r="A220" s="1">
        <v>2018</v>
      </c>
      <c r="B220" s="9" t="s">
        <v>71</v>
      </c>
      <c r="C220" s="1" t="s">
        <v>72</v>
      </c>
      <c r="D220" s="2">
        <v>178716.02920727149</v>
      </c>
      <c r="E220" s="2">
        <v>50115.685966766992</v>
      </c>
      <c r="F220" s="2">
        <v>103285.81161809243</v>
      </c>
      <c r="G220" s="2">
        <v>19457.099206689156</v>
      </c>
      <c r="H220" s="2">
        <v>5857.4324157229094</v>
      </c>
      <c r="I220" s="2">
        <v>6241.03995172543</v>
      </c>
      <c r="J220" s="2">
        <v>17149.419953795619</v>
      </c>
      <c r="K220" s="2">
        <v>7201.6926570799305</v>
      </c>
      <c r="L220" s="2">
        <v>2906.5025566257987</v>
      </c>
      <c r="M220" s="2">
        <v>5092.9873766159963</v>
      </c>
      <c r="N220" s="2">
        <v>28.1</v>
      </c>
      <c r="O220" s="2">
        <v>1354.7</v>
      </c>
    </row>
    <row r="221" spans="1:15">
      <c r="A221" s="1">
        <v>2018</v>
      </c>
      <c r="B221" s="9" t="s">
        <v>73</v>
      </c>
      <c r="C221" s="1" t="s">
        <v>74</v>
      </c>
      <c r="D221" s="2">
        <v>183788.60682368971</v>
      </c>
      <c r="E221" s="2">
        <v>48694.681633515902</v>
      </c>
      <c r="F221" s="2">
        <v>105025.26318755405</v>
      </c>
      <c r="G221" s="2">
        <v>22413.79396167666</v>
      </c>
      <c r="H221" s="2">
        <v>7654.8680409430863</v>
      </c>
      <c r="I221" s="2">
        <v>5762.7965217828014</v>
      </c>
      <c r="J221" s="2">
        <v>18141.91081279183</v>
      </c>
      <c r="K221" s="2">
        <v>7974.0388375768744</v>
      </c>
      <c r="L221" s="2">
        <v>2801.3665932917093</v>
      </c>
      <c r="M221" s="2">
        <v>5646.8531335804209</v>
      </c>
      <c r="N221" s="2">
        <v>25.4</v>
      </c>
      <c r="O221" s="2">
        <v>1202.7</v>
      </c>
    </row>
    <row r="222" spans="1:15">
      <c r="A222" s="1">
        <v>2018</v>
      </c>
      <c r="B222" s="9" t="s">
        <v>75</v>
      </c>
      <c r="C222" s="1" t="s">
        <v>76</v>
      </c>
      <c r="D222" s="2">
        <v>184724.16701878709</v>
      </c>
      <c r="E222" s="2">
        <v>50298.803847895295</v>
      </c>
      <c r="F222" s="2">
        <v>108005.14877886875</v>
      </c>
      <c r="G222" s="2">
        <v>21235.707899254623</v>
      </c>
      <c r="H222" s="2">
        <v>5184.506492768428</v>
      </c>
      <c r="I222" s="2">
        <v>5961.7602034540287</v>
      </c>
      <c r="J222" s="2">
        <v>19385.838920159935</v>
      </c>
      <c r="K222" s="2">
        <v>8220.3367021873928</v>
      </c>
      <c r="L222" s="2">
        <v>3024.8413279822944</v>
      </c>
      <c r="M222" s="2">
        <v>6315.8494170566291</v>
      </c>
      <c r="N222" s="2">
        <v>26.2</v>
      </c>
      <c r="O222" s="2">
        <v>1189.0999999999999</v>
      </c>
    </row>
    <row r="223" spans="1:15">
      <c r="A223" s="1">
        <v>2018</v>
      </c>
      <c r="B223" s="9" t="s">
        <v>77</v>
      </c>
      <c r="C223" s="1" t="s">
        <v>78</v>
      </c>
      <c r="D223" s="2">
        <v>182840.59223571353</v>
      </c>
      <c r="E223" s="2">
        <v>53063.738410397025</v>
      </c>
      <c r="F223" s="2">
        <v>105305.71116590293</v>
      </c>
      <c r="G223" s="2">
        <v>18857.364357058505</v>
      </c>
      <c r="H223" s="2">
        <v>5613.7783023550646</v>
      </c>
      <c r="I223" s="2">
        <v>6475.9131853954023</v>
      </c>
      <c r="J223" s="2">
        <v>19978.599246652586</v>
      </c>
      <c r="K223" s="2">
        <v>8583.7035013656841</v>
      </c>
      <c r="L223" s="2">
        <v>3039.7595103654794</v>
      </c>
      <c r="M223" s="2">
        <v>6296.8647408651768</v>
      </c>
      <c r="N223" s="2">
        <v>25.7</v>
      </c>
      <c r="O223" s="2">
        <v>1262.0999999999999</v>
      </c>
    </row>
    <row r="224" spans="1:15">
      <c r="A224" s="1">
        <v>2018</v>
      </c>
      <c r="B224" s="9" t="s">
        <v>79</v>
      </c>
      <c r="C224" s="1" t="s">
        <v>80</v>
      </c>
      <c r="D224" s="2">
        <v>183371.94580241051</v>
      </c>
      <c r="E224" s="2">
        <v>48924.955562066607</v>
      </c>
      <c r="F224" s="2">
        <v>108400.718887553</v>
      </c>
      <c r="G224" s="2">
        <v>19789.436569438691</v>
      </c>
      <c r="H224" s="2">
        <v>6256.8347833522139</v>
      </c>
      <c r="I224" s="2">
        <v>5413.3679878490284</v>
      </c>
      <c r="J224" s="2">
        <v>19817.578181419296</v>
      </c>
      <c r="K224" s="2">
        <v>9055.717663683612</v>
      </c>
      <c r="L224" s="2">
        <v>2714.2304275078936</v>
      </c>
      <c r="M224" s="2">
        <v>6159.1513653725187</v>
      </c>
      <c r="N224" s="2">
        <v>28.5</v>
      </c>
      <c r="O224" s="2">
        <v>1433.8</v>
      </c>
    </row>
    <row r="225" spans="1:15">
      <c r="A225" s="1">
        <v>2018</v>
      </c>
      <c r="B225" s="9" t="s">
        <v>81</v>
      </c>
      <c r="C225" s="1" t="s">
        <v>82</v>
      </c>
      <c r="D225" s="2">
        <v>181725.81351979548</v>
      </c>
      <c r="E225" s="2">
        <v>56662.857203377403</v>
      </c>
      <c r="F225" s="2">
        <v>103222.55335442851</v>
      </c>
      <c r="G225" s="2">
        <v>18388.086230663193</v>
      </c>
      <c r="H225" s="2">
        <v>3452.3167313263566</v>
      </c>
      <c r="I225" s="2">
        <v>6118.3315681590811</v>
      </c>
      <c r="J225" s="2">
        <v>18354.681702523842</v>
      </c>
      <c r="K225" s="2">
        <v>8044.7333384232379</v>
      </c>
      <c r="L225" s="2">
        <v>3000.4406718797045</v>
      </c>
      <c r="M225" s="2">
        <v>5632.4666831107388</v>
      </c>
      <c r="N225" s="2">
        <v>29.2</v>
      </c>
      <c r="O225" s="2">
        <v>1516.3</v>
      </c>
    </row>
    <row r="226" spans="1:15">
      <c r="A226" s="1">
        <v>2018</v>
      </c>
      <c r="B226" s="9" t="s">
        <v>83</v>
      </c>
      <c r="C226" s="1" t="s">
        <v>84</v>
      </c>
      <c r="D226" s="2">
        <v>190952.64818458547</v>
      </c>
      <c r="E226" s="2">
        <v>59845.05695254256</v>
      </c>
      <c r="F226" s="2">
        <v>110129.06683675208</v>
      </c>
      <c r="G226" s="2">
        <v>17548.929484749475</v>
      </c>
      <c r="H226" s="2">
        <v>3429.594910541352</v>
      </c>
      <c r="I226" s="2">
        <v>6359.4583340854797</v>
      </c>
      <c r="J226" s="2">
        <v>21610.905781042806</v>
      </c>
      <c r="K226" s="2">
        <v>9979.4374521117079</v>
      </c>
      <c r="L226" s="2">
        <v>3748.6369027073206</v>
      </c>
      <c r="M226" s="2">
        <v>5970.2500720866883</v>
      </c>
      <c r="N226" s="2">
        <v>28.6</v>
      </c>
      <c r="O226" s="2">
        <v>1536.8</v>
      </c>
    </row>
    <row r="227" spans="1:15">
      <c r="A227" s="1">
        <v>2018</v>
      </c>
      <c r="B227" s="9" t="s">
        <v>85</v>
      </c>
      <c r="C227" s="1" t="s">
        <v>86</v>
      </c>
      <c r="D227" s="2">
        <v>184222.41536567989</v>
      </c>
      <c r="E227" s="2">
        <v>51612.865751962978</v>
      </c>
      <c r="F227" s="2">
        <v>107933.57001194604</v>
      </c>
      <c r="G227" s="2">
        <v>20856.663833636816</v>
      </c>
      <c r="H227" s="2">
        <v>3819.3157681340472</v>
      </c>
      <c r="I227" s="2">
        <v>5817.2751046728754</v>
      </c>
      <c r="J227" s="2">
        <v>19956.967486263507</v>
      </c>
      <c r="K227" s="2">
        <v>8765.4255536279161</v>
      </c>
      <c r="L227" s="2">
        <v>3192.0349771101378</v>
      </c>
      <c r="M227" s="2">
        <v>6436.9910424096033</v>
      </c>
      <c r="N227" s="2">
        <v>26.7</v>
      </c>
      <c r="O227" s="2">
        <v>1475.3</v>
      </c>
    </row>
    <row r="228" spans="1:15">
      <c r="A228" s="1">
        <v>2018</v>
      </c>
      <c r="B228" s="9" t="s">
        <v>87</v>
      </c>
      <c r="C228" s="1" t="s">
        <v>88</v>
      </c>
      <c r="D228" s="2">
        <v>179985.23712391782</v>
      </c>
      <c r="E228" s="2">
        <v>49698.70250934759</v>
      </c>
      <c r="F228" s="2">
        <v>106754.5586458078</v>
      </c>
      <c r="G228" s="2">
        <v>19593.431416657091</v>
      </c>
      <c r="H228" s="2">
        <v>3938.5445521053248</v>
      </c>
      <c r="I228" s="2">
        <v>5667.0154955593489</v>
      </c>
      <c r="J228" s="2">
        <v>19663.455270675324</v>
      </c>
      <c r="K228" s="2">
        <v>8354.6739354602396</v>
      </c>
      <c r="L228" s="2">
        <v>2955.6138771993028</v>
      </c>
      <c r="M228" s="2">
        <v>6510.9457238065297</v>
      </c>
      <c r="N228" s="2">
        <v>30.7</v>
      </c>
      <c r="O228" s="2">
        <v>1398.8</v>
      </c>
    </row>
    <row r="229" spans="1:15">
      <c r="A229" s="1">
        <v>2018</v>
      </c>
      <c r="B229" s="9" t="s">
        <v>89</v>
      </c>
      <c r="C229" s="1" t="s">
        <v>90</v>
      </c>
      <c r="D229" s="2">
        <v>193592.0551324648</v>
      </c>
      <c r="E229" s="2">
        <v>57346.27060817802</v>
      </c>
      <c r="F229" s="2">
        <v>112345.32871361454</v>
      </c>
      <c r="G229" s="2">
        <v>19535.890108558488</v>
      </c>
      <c r="H229" s="2">
        <v>4364.5657021137522</v>
      </c>
      <c r="I229" s="2">
        <v>7061.2689540843339</v>
      </c>
      <c r="J229" s="2">
        <v>21751.168796547445</v>
      </c>
      <c r="K229" s="2">
        <v>9636.1613707275101</v>
      </c>
      <c r="L229" s="2">
        <v>3098.237943250952</v>
      </c>
      <c r="M229" s="2">
        <v>6706.2340805685089</v>
      </c>
      <c r="N229" s="2">
        <v>39.4</v>
      </c>
      <c r="O229" s="2">
        <v>1915</v>
      </c>
    </row>
    <row r="230" spans="1:15">
      <c r="A230" s="1">
        <v>2018</v>
      </c>
      <c r="B230" s="9" t="s">
        <v>91</v>
      </c>
      <c r="C230" s="1" t="s">
        <v>92</v>
      </c>
      <c r="D230" s="2">
        <v>192780.49415141111</v>
      </c>
      <c r="E230" s="2">
        <v>54231.906166092034</v>
      </c>
      <c r="F230" s="2">
        <v>111537.83749381668</v>
      </c>
      <c r="G230" s="2">
        <v>21365.238698717276</v>
      </c>
      <c r="H230" s="2">
        <v>5645.5117927851188</v>
      </c>
      <c r="I230" s="2">
        <v>6569.7608710053064</v>
      </c>
      <c r="J230" s="2">
        <v>22830.382778119532</v>
      </c>
      <c r="K230" s="2">
        <v>10537.228109382575</v>
      </c>
      <c r="L230" s="2">
        <v>2462.2857759897652</v>
      </c>
      <c r="M230" s="2">
        <v>7875.7526977686339</v>
      </c>
      <c r="N230" s="2">
        <v>37</v>
      </c>
      <c r="O230" s="2">
        <v>1951</v>
      </c>
    </row>
    <row r="231" spans="1:15">
      <c r="A231" s="1">
        <v>2018</v>
      </c>
      <c r="B231" s="9" t="s">
        <v>93</v>
      </c>
      <c r="C231" s="1" t="s">
        <v>94</v>
      </c>
      <c r="D231" s="2">
        <v>193134.58339845942</v>
      </c>
      <c r="E231" s="2">
        <v>55053.879066266942</v>
      </c>
      <c r="F231" s="2">
        <v>112593.66673783229</v>
      </c>
      <c r="G231" s="2">
        <v>20854.791449643737</v>
      </c>
      <c r="H231" s="2">
        <v>4632.2461447164305</v>
      </c>
      <c r="I231" s="2">
        <v>6319.459341733741</v>
      </c>
      <c r="J231" s="2">
        <v>20328.168872273269</v>
      </c>
      <c r="K231" s="2">
        <v>8687.4979856641039</v>
      </c>
      <c r="L231" s="2">
        <v>2537.2088584585345</v>
      </c>
      <c r="M231" s="2">
        <v>6980.2392450159959</v>
      </c>
      <c r="N231" s="2">
        <v>27.7</v>
      </c>
      <c r="O231" s="2">
        <v>1503</v>
      </c>
    </row>
    <row r="232" spans="1:15">
      <c r="A232" s="1">
        <v>2018</v>
      </c>
      <c r="B232" s="9" t="s">
        <v>95</v>
      </c>
      <c r="C232" s="1" t="s">
        <v>96</v>
      </c>
      <c r="D232" s="2">
        <v>181011.61724346422</v>
      </c>
      <c r="E232" s="2">
        <v>52066.760110568903</v>
      </c>
      <c r="F232" s="2">
        <v>106693.01350116296</v>
      </c>
      <c r="G232" s="2">
        <v>17716.501438591615</v>
      </c>
      <c r="H232" s="2">
        <v>4535.3421931407429</v>
      </c>
      <c r="I232" s="2">
        <v>5780.525680323597</v>
      </c>
      <c r="J232" s="2">
        <v>20057.058311496552</v>
      </c>
      <c r="K232" s="2">
        <v>8266.8579261317755</v>
      </c>
      <c r="L232" s="2">
        <v>2771.4165041088568</v>
      </c>
      <c r="M232" s="2">
        <v>6523.121911012754</v>
      </c>
      <c r="N232" s="2">
        <v>30.5</v>
      </c>
      <c r="O232" s="2">
        <v>1612</v>
      </c>
    </row>
    <row r="233" spans="1:15">
      <c r="A233" s="1">
        <v>2018</v>
      </c>
      <c r="B233" s="9" t="s">
        <v>97</v>
      </c>
      <c r="C233" s="1" t="s">
        <v>98</v>
      </c>
      <c r="D233" s="2">
        <v>190854.86843351729</v>
      </c>
      <c r="E233" s="2">
        <v>59156.064588592999</v>
      </c>
      <c r="F233" s="2">
        <v>108699.68733520433</v>
      </c>
      <c r="G233" s="2">
        <v>18367.07372718343</v>
      </c>
      <c r="H233" s="2">
        <v>4632.0427825365441</v>
      </c>
      <c r="I233" s="2">
        <v>7598.3947439749309</v>
      </c>
      <c r="J233" s="2">
        <v>21539.237879299148</v>
      </c>
      <c r="K233" s="2">
        <v>10255.572062825748</v>
      </c>
      <c r="L233" s="2">
        <v>2602.5600428019834</v>
      </c>
      <c r="M233" s="2">
        <v>6117.9619268552233</v>
      </c>
      <c r="N233" s="2">
        <v>45.6</v>
      </c>
      <c r="O233" s="2">
        <v>2551.6</v>
      </c>
    </row>
    <row r="234" spans="1:15">
      <c r="A234" s="1">
        <v>2018</v>
      </c>
      <c r="B234" s="9" t="s">
        <v>99</v>
      </c>
      <c r="C234" s="1" t="s">
        <v>100</v>
      </c>
      <c r="D234" s="2">
        <v>189417.2768334462</v>
      </c>
      <c r="E234" s="2">
        <v>56372.932196361311</v>
      </c>
      <c r="F234" s="2">
        <v>105944.14036792726</v>
      </c>
      <c r="G234" s="2">
        <v>20917.631521631505</v>
      </c>
      <c r="H234" s="2">
        <v>6182.5727475261483</v>
      </c>
      <c r="I234" s="2">
        <v>6736.5236624641311</v>
      </c>
      <c r="J234" s="2">
        <v>20051.713069308578</v>
      </c>
      <c r="K234" s="2">
        <v>9261.4732935732009</v>
      </c>
      <c r="L234" s="2">
        <v>2668.8159839919263</v>
      </c>
      <c r="M234" s="2">
        <v>6171.355281001026</v>
      </c>
      <c r="N234" s="2">
        <v>33.799999999999997</v>
      </c>
      <c r="O234" s="2">
        <v>1666.8</v>
      </c>
    </row>
    <row r="235" spans="1:15">
      <c r="A235" s="1">
        <v>2018</v>
      </c>
      <c r="B235" s="9" t="s">
        <v>101</v>
      </c>
      <c r="C235" s="1" t="s">
        <v>102</v>
      </c>
      <c r="D235" s="2">
        <v>207176.4795478571</v>
      </c>
      <c r="E235" s="2">
        <v>65172.195631485658</v>
      </c>
      <c r="F235" s="2">
        <v>116467.58356998159</v>
      </c>
      <c r="G235" s="2">
        <v>19435.444024768483</v>
      </c>
      <c r="H235" s="2">
        <v>6101.2563216213448</v>
      </c>
      <c r="I235" s="2">
        <v>7653.8425852039309</v>
      </c>
      <c r="J235" s="2">
        <v>24604.601724438187</v>
      </c>
      <c r="K235" s="2">
        <v>11603.901048795844</v>
      </c>
      <c r="L235" s="2">
        <v>3953.0308629540536</v>
      </c>
      <c r="M235" s="2">
        <v>7138.4240037279887</v>
      </c>
      <c r="N235" s="2">
        <v>40.799999999999997</v>
      </c>
      <c r="O235" s="2">
        <v>1800.1</v>
      </c>
    </row>
    <row r="236" spans="1:15">
      <c r="A236" s="1">
        <v>2018</v>
      </c>
      <c r="B236" s="9" t="s">
        <v>103</v>
      </c>
      <c r="C236" s="1" t="s">
        <v>104</v>
      </c>
      <c r="D236" s="2">
        <v>191730.31889642507</v>
      </c>
      <c r="E236" s="2">
        <v>60119.89478741942</v>
      </c>
      <c r="F236" s="2">
        <v>106347.94061464153</v>
      </c>
      <c r="G236" s="2">
        <v>19482.364214452937</v>
      </c>
      <c r="H236" s="2">
        <v>5780.1192799111686</v>
      </c>
      <c r="I236" s="2">
        <v>6632.0767909766273</v>
      </c>
      <c r="J236" s="2">
        <v>22030.962424892463</v>
      </c>
      <c r="K236" s="2">
        <v>10948.146885432616</v>
      </c>
      <c r="L236" s="2">
        <v>2424.390424755069</v>
      </c>
      <c r="M236" s="2">
        <v>6558.0596421234113</v>
      </c>
      <c r="N236" s="2">
        <v>35.5</v>
      </c>
      <c r="O236" s="2">
        <v>1941.6</v>
      </c>
    </row>
    <row r="237" spans="1:15">
      <c r="A237" s="1">
        <v>2018</v>
      </c>
      <c r="B237" s="9" t="s">
        <v>105</v>
      </c>
      <c r="C237" s="1" t="s">
        <v>106</v>
      </c>
      <c r="D237" s="2">
        <v>190212.85398978565</v>
      </c>
      <c r="E237" s="2">
        <v>58106.871129666593</v>
      </c>
      <c r="F237" s="2">
        <v>109348.27425034851</v>
      </c>
      <c r="G237" s="2">
        <v>17793.267289212778</v>
      </c>
      <c r="H237" s="2">
        <v>4964.4413205577939</v>
      </c>
      <c r="I237" s="2">
        <v>6287.1461170381644</v>
      </c>
      <c r="J237" s="2">
        <v>22270.723769092459</v>
      </c>
      <c r="K237" s="2">
        <v>10905.472725875041</v>
      </c>
      <c r="L237" s="2">
        <v>2759.2927206465079</v>
      </c>
      <c r="M237" s="2">
        <v>6960.4349727126173</v>
      </c>
      <c r="N237" s="2">
        <v>39.1</v>
      </c>
      <c r="O237" s="2">
        <v>1965.9</v>
      </c>
    </row>
    <row r="238" spans="1:15">
      <c r="A238" s="1">
        <v>2018</v>
      </c>
      <c r="B238" s="9" t="s">
        <v>107</v>
      </c>
      <c r="C238" s="1" t="s">
        <v>108</v>
      </c>
      <c r="D238" s="2">
        <v>191844.31184673926</v>
      </c>
      <c r="E238" s="2">
        <v>58501.735154509726</v>
      </c>
      <c r="F238" s="2">
        <v>110889.39064155136</v>
      </c>
      <c r="G238" s="2">
        <v>17317.079154022787</v>
      </c>
      <c r="H238" s="2">
        <v>5136.1068966553767</v>
      </c>
      <c r="I238" s="2">
        <v>6659.1320987739164</v>
      </c>
      <c r="J238" s="2">
        <v>22353.31996481189</v>
      </c>
      <c r="K238" s="2">
        <v>9985.6633184751736</v>
      </c>
      <c r="L238" s="2">
        <v>2929.2442208279463</v>
      </c>
      <c r="M238" s="2">
        <v>7407.8932889011248</v>
      </c>
      <c r="N238" s="2">
        <v>32</v>
      </c>
      <c r="O238" s="2">
        <v>1750.9</v>
      </c>
    </row>
    <row r="239" spans="1:15">
      <c r="A239" s="1">
        <v>2018</v>
      </c>
      <c r="B239" s="9" t="s">
        <v>109</v>
      </c>
      <c r="C239" s="1" t="s">
        <v>110</v>
      </c>
      <c r="D239" s="2">
        <v>179166.35188839215</v>
      </c>
      <c r="E239" s="2">
        <v>53750.178854206293</v>
      </c>
      <c r="F239" s="2">
        <v>103153.71343084692</v>
      </c>
      <c r="G239" s="2">
        <v>17475.844845604399</v>
      </c>
      <c r="H239" s="2">
        <v>4786.6147577345364</v>
      </c>
      <c r="I239" s="2">
        <v>6595.798006885997</v>
      </c>
      <c r="J239" s="2">
        <v>20618.644299878841</v>
      </c>
      <c r="K239" s="2">
        <v>10618.57324860985</v>
      </c>
      <c r="L239" s="2">
        <v>2006.6208082713119</v>
      </c>
      <c r="M239" s="2">
        <v>6047.0493473508741</v>
      </c>
      <c r="N239" s="2">
        <v>35.700000000000003</v>
      </c>
      <c r="O239" s="2">
        <v>1760.3</v>
      </c>
    </row>
    <row r="240" spans="1:15">
      <c r="A240" s="1">
        <v>2018</v>
      </c>
      <c r="B240" s="9" t="s">
        <v>111</v>
      </c>
      <c r="C240" s="1" t="s">
        <v>112</v>
      </c>
      <c r="D240" s="2">
        <v>186343.54741803173</v>
      </c>
      <c r="E240" s="2">
        <v>58391.461767594126</v>
      </c>
      <c r="F240" s="2">
        <v>105259.89004776964</v>
      </c>
      <c r="G240" s="2">
        <v>17406.153890667825</v>
      </c>
      <c r="H240" s="2">
        <v>5286.0417120001166</v>
      </c>
      <c r="I240" s="2">
        <v>7319.6882582099452</v>
      </c>
      <c r="J240" s="2">
        <v>21550.61731798252</v>
      </c>
      <c r="K240" s="2">
        <v>10392.282780800899</v>
      </c>
      <c r="L240" s="2">
        <v>2058.3896863344921</v>
      </c>
      <c r="M240" s="2">
        <v>6658.7783359682708</v>
      </c>
      <c r="N240" s="2">
        <v>40.799999999999997</v>
      </c>
      <c r="O240" s="2">
        <v>2063.6</v>
      </c>
    </row>
    <row r="241" spans="1:15">
      <c r="A241" s="1">
        <v>2018</v>
      </c>
      <c r="B241" s="9" t="s">
        <v>113</v>
      </c>
      <c r="C241" s="1" t="s">
        <v>114</v>
      </c>
      <c r="D241" s="2">
        <v>168307.87574352816</v>
      </c>
      <c r="E241" s="2">
        <v>54939.673939333639</v>
      </c>
      <c r="F241" s="2">
        <v>92077.629576007923</v>
      </c>
      <c r="G241" s="2">
        <v>16694.729474971653</v>
      </c>
      <c r="H241" s="2">
        <v>4595.8427532149399</v>
      </c>
      <c r="I241" s="2">
        <v>7304.0480205297454</v>
      </c>
      <c r="J241" s="2">
        <v>17057.83941919477</v>
      </c>
      <c r="K241" s="2">
        <v>8615.1700579281878</v>
      </c>
      <c r="L241" s="2">
        <v>1710.5571897607113</v>
      </c>
      <c r="M241" s="2">
        <v>5067.9145068657281</v>
      </c>
      <c r="N241" s="2">
        <v>28.8</v>
      </c>
      <c r="O241" s="2">
        <v>1302.5999999999999</v>
      </c>
    </row>
    <row r="242" spans="1:15" hidden="1">
      <c r="A242" s="1">
        <v>2019</v>
      </c>
      <c r="B242" s="9" t="s">
        <v>205</v>
      </c>
      <c r="C242" s="1" t="s">
        <v>206</v>
      </c>
      <c r="D242" s="2">
        <v>185532.27733249168</v>
      </c>
      <c r="E242" s="2">
        <v>51035.595659209233</v>
      </c>
      <c r="F242" s="2">
        <v>109449.75287043101</v>
      </c>
      <c r="G242" s="2">
        <v>20135.680486063826</v>
      </c>
      <c r="H242" s="2">
        <v>4911.2483167876408</v>
      </c>
      <c r="I242" s="2">
        <v>6142.9028501763405</v>
      </c>
      <c r="J242" s="2">
        <v>20653.903137115558</v>
      </c>
      <c r="K242" s="2">
        <v>9143.5530794676233</v>
      </c>
      <c r="L242" s="2">
        <v>2958.0911309577255</v>
      </c>
      <c r="M242" s="2">
        <v>6589.4281700032616</v>
      </c>
      <c r="N242" s="2">
        <v>27.3</v>
      </c>
      <c r="O242" s="2">
        <v>1212.0999999999999</v>
      </c>
    </row>
    <row r="243" spans="1:15">
      <c r="A243" s="1">
        <v>2019</v>
      </c>
      <c r="B243" s="9" t="s">
        <v>207</v>
      </c>
      <c r="C243" s="1" t="s">
        <v>22</v>
      </c>
      <c r="D243" s="2">
        <v>206677.6315571031</v>
      </c>
      <c r="E243" s="2">
        <v>64231.920968520382</v>
      </c>
      <c r="F243" s="2">
        <v>117370.47800910196</v>
      </c>
      <c r="G243" s="2">
        <v>20873.847238950337</v>
      </c>
      <c r="H243" s="2">
        <v>4201.3853405304071</v>
      </c>
      <c r="I243" s="2">
        <v>8277.4247651076439</v>
      </c>
      <c r="J243" s="2">
        <v>23996.004630208608</v>
      </c>
      <c r="K243" s="2">
        <v>10188.711357758322</v>
      </c>
      <c r="L243" s="2">
        <v>3091.4356845517141</v>
      </c>
      <c r="M243" s="2">
        <v>7925.2138603998228</v>
      </c>
      <c r="N243" s="2">
        <v>30.6</v>
      </c>
      <c r="O243" s="2">
        <v>1774.6</v>
      </c>
    </row>
    <row r="244" spans="1:15">
      <c r="A244" s="1">
        <v>2019</v>
      </c>
      <c r="B244" s="9" t="s">
        <v>23</v>
      </c>
      <c r="C244" s="1" t="s">
        <v>24</v>
      </c>
      <c r="D244" s="2">
        <v>189846.65329006984</v>
      </c>
      <c r="E244" s="2">
        <v>51907.511353973139</v>
      </c>
      <c r="F244" s="2">
        <v>116589.82753105834</v>
      </c>
      <c r="G244" s="2">
        <v>17853.863783528352</v>
      </c>
      <c r="H244" s="2">
        <v>3495.4506215100105</v>
      </c>
      <c r="I244" s="2">
        <v>6655.7562721298</v>
      </c>
      <c r="J244" s="2">
        <v>26639.235903648376</v>
      </c>
      <c r="K244" s="2">
        <v>12665.488240715971</v>
      </c>
      <c r="L244" s="2">
        <v>3348.4988767693167</v>
      </c>
      <c r="M244" s="2">
        <v>8300.9576708490695</v>
      </c>
      <c r="N244" s="2">
        <v>30.7</v>
      </c>
      <c r="O244" s="2">
        <v>1372.9</v>
      </c>
    </row>
    <row r="245" spans="1:15">
      <c r="A245" s="1">
        <v>2019</v>
      </c>
      <c r="B245" s="9" t="s">
        <v>25</v>
      </c>
      <c r="C245" s="1" t="s">
        <v>26</v>
      </c>
      <c r="D245" s="2">
        <v>186056.8040524417</v>
      </c>
      <c r="E245" s="2">
        <v>51936.55124564968</v>
      </c>
      <c r="F245" s="2">
        <v>111817.68874621049</v>
      </c>
      <c r="G245" s="2">
        <v>18474.420918710704</v>
      </c>
      <c r="H245" s="2">
        <v>3828.1431418707957</v>
      </c>
      <c r="I245" s="2">
        <v>6446.9836658697759</v>
      </c>
      <c r="J245" s="2">
        <v>25375.782904575201</v>
      </c>
      <c r="K245" s="2">
        <v>11967.950951656858</v>
      </c>
      <c r="L245" s="2">
        <v>3323.4738694661319</v>
      </c>
      <c r="M245" s="2">
        <v>7996.4292443776585</v>
      </c>
      <c r="N245" s="2">
        <v>29.8</v>
      </c>
      <c r="O245" s="2">
        <v>1270.5</v>
      </c>
    </row>
    <row r="246" spans="1:15">
      <c r="A246" s="1">
        <v>2019</v>
      </c>
      <c r="B246" s="9" t="s">
        <v>27</v>
      </c>
      <c r="C246" s="1" t="s">
        <v>28</v>
      </c>
      <c r="D246" s="2">
        <v>191227.3832113196</v>
      </c>
      <c r="E246" s="2">
        <v>52199.613179616943</v>
      </c>
      <c r="F246" s="2">
        <v>116003.33155743568</v>
      </c>
      <c r="G246" s="2">
        <v>18497.101250397915</v>
      </c>
      <c r="H246" s="2">
        <v>4527.3372238690563</v>
      </c>
      <c r="I246" s="2">
        <v>6317.8698257064343</v>
      </c>
      <c r="J246" s="2">
        <v>25675.13884225678</v>
      </c>
      <c r="K246" s="2">
        <v>12253.385095613034</v>
      </c>
      <c r="L246" s="2">
        <v>3634.1068849874146</v>
      </c>
      <c r="M246" s="2">
        <v>7767.8731517511278</v>
      </c>
      <c r="N246" s="2">
        <v>24</v>
      </c>
      <c r="O246" s="2">
        <v>1092.8</v>
      </c>
    </row>
    <row r="247" spans="1:15">
      <c r="A247" s="1">
        <v>2019</v>
      </c>
      <c r="B247" s="9" t="s">
        <v>29</v>
      </c>
      <c r="C247" s="1" t="s">
        <v>30</v>
      </c>
      <c r="D247" s="2">
        <v>207061.34730914974</v>
      </c>
      <c r="E247" s="2">
        <v>59286.718296229519</v>
      </c>
      <c r="F247" s="2">
        <v>123264.73522303406</v>
      </c>
      <c r="G247" s="2">
        <v>20335.423347054995</v>
      </c>
      <c r="H247" s="2">
        <v>4174.4704428311634</v>
      </c>
      <c r="I247" s="2">
        <v>6766.8180962984106</v>
      </c>
      <c r="J247" s="2">
        <v>26807.362238643575</v>
      </c>
      <c r="K247" s="2">
        <v>12553.018218640787</v>
      </c>
      <c r="L247" s="2">
        <v>4084.4791625348507</v>
      </c>
      <c r="M247" s="2">
        <v>7809.8981337350733</v>
      </c>
      <c r="N247" s="2">
        <v>30.6</v>
      </c>
      <c r="O247" s="2">
        <v>1517</v>
      </c>
    </row>
    <row r="248" spans="1:15">
      <c r="A248" s="1">
        <v>2019</v>
      </c>
      <c r="B248" s="9" t="s">
        <v>31</v>
      </c>
      <c r="C248" s="1" t="s">
        <v>32</v>
      </c>
      <c r="D248" s="2">
        <v>194064.71194683528</v>
      </c>
      <c r="E248" s="2">
        <v>55107.192711629767</v>
      </c>
      <c r="F248" s="2">
        <v>116260.9026283221</v>
      </c>
      <c r="G248" s="2">
        <v>18950.506200245763</v>
      </c>
      <c r="H248" s="2">
        <v>3746.1104066376342</v>
      </c>
      <c r="I248" s="2">
        <v>6123.7624379708832</v>
      </c>
      <c r="J248" s="2">
        <v>26229.343641149662</v>
      </c>
      <c r="K248" s="2">
        <v>12725.194925007381</v>
      </c>
      <c r="L248" s="2">
        <v>4576.7213564273907</v>
      </c>
      <c r="M248" s="2">
        <v>6821.7128759029138</v>
      </c>
      <c r="N248" s="2">
        <v>27</v>
      </c>
      <c r="O248" s="2">
        <v>1324.2</v>
      </c>
    </row>
    <row r="249" spans="1:15">
      <c r="A249" s="1">
        <v>2019</v>
      </c>
      <c r="B249" s="9" t="s">
        <v>33</v>
      </c>
      <c r="C249" s="1" t="s">
        <v>34</v>
      </c>
      <c r="D249" s="2">
        <v>184276.21052165932</v>
      </c>
      <c r="E249" s="2">
        <v>51417.28223125395</v>
      </c>
      <c r="F249" s="2">
        <v>110882.88196730528</v>
      </c>
      <c r="G249" s="2">
        <v>17951.940303807281</v>
      </c>
      <c r="H249" s="2">
        <v>4024.1060192928267</v>
      </c>
      <c r="I249" s="2">
        <v>5684.0278211363111</v>
      </c>
      <c r="J249" s="2">
        <v>25902.843036323542</v>
      </c>
      <c r="K249" s="2">
        <v>12532.316599469586</v>
      </c>
      <c r="L249" s="2">
        <v>3242.7207097182832</v>
      </c>
      <c r="M249" s="2">
        <v>7981.8313741806114</v>
      </c>
      <c r="N249" s="2">
        <v>27.9</v>
      </c>
      <c r="O249" s="2">
        <v>1324.3</v>
      </c>
    </row>
    <row r="250" spans="1:15">
      <c r="A250" s="1">
        <v>2019</v>
      </c>
      <c r="B250" s="9" t="s">
        <v>35</v>
      </c>
      <c r="C250" s="1" t="s">
        <v>36</v>
      </c>
      <c r="D250" s="2">
        <v>178153.10884976777</v>
      </c>
      <c r="E250" s="2">
        <v>47356.51550556541</v>
      </c>
      <c r="F250" s="2">
        <v>108571.6032525927</v>
      </c>
      <c r="G250" s="2">
        <v>18646.129017803367</v>
      </c>
      <c r="H250" s="2">
        <v>3578.8610738062926</v>
      </c>
      <c r="I250" s="2">
        <v>5978.9148472721163</v>
      </c>
      <c r="J250" s="2">
        <v>22488.638218809556</v>
      </c>
      <c r="K250" s="2">
        <v>10028.079014457455</v>
      </c>
      <c r="L250" s="2">
        <v>3036.5604187192271</v>
      </c>
      <c r="M250" s="2">
        <v>7418.7117055836716</v>
      </c>
      <c r="N250" s="2">
        <v>26.5</v>
      </c>
      <c r="O250" s="2">
        <v>1078.8</v>
      </c>
    </row>
    <row r="251" spans="1:15">
      <c r="A251" s="1">
        <v>2019</v>
      </c>
      <c r="B251" s="9" t="s">
        <v>37</v>
      </c>
      <c r="C251" s="1" t="s">
        <v>38</v>
      </c>
      <c r="D251" s="2">
        <v>182310.95722036145</v>
      </c>
      <c r="E251" s="2">
        <v>48147.117050870511</v>
      </c>
      <c r="F251" s="2">
        <v>111355.23114883235</v>
      </c>
      <c r="G251" s="2">
        <v>18221.556020572181</v>
      </c>
      <c r="H251" s="2">
        <v>4587.0530000864064</v>
      </c>
      <c r="I251" s="2">
        <v>5987.2677927042387</v>
      </c>
      <c r="J251" s="2">
        <v>22723.499568847219</v>
      </c>
      <c r="K251" s="2">
        <v>10311.419142304443</v>
      </c>
      <c r="L251" s="2">
        <v>3439.0825647249062</v>
      </c>
      <c r="M251" s="2">
        <v>7003.8703072415992</v>
      </c>
      <c r="N251" s="2">
        <v>28.5</v>
      </c>
      <c r="O251" s="2">
        <v>1082.2</v>
      </c>
    </row>
    <row r="252" spans="1:15">
      <c r="A252" s="1">
        <v>2019</v>
      </c>
      <c r="B252" s="9" t="s">
        <v>39</v>
      </c>
      <c r="C252" s="1" t="s">
        <v>40</v>
      </c>
      <c r="D252" s="2">
        <v>176581.3153635877</v>
      </c>
      <c r="E252" s="2">
        <v>47350.856386380197</v>
      </c>
      <c r="F252" s="2">
        <v>106656.49611359782</v>
      </c>
      <c r="G252" s="2">
        <v>18080.797508020369</v>
      </c>
      <c r="H252" s="2">
        <v>4493.1653555893126</v>
      </c>
      <c r="I252" s="2">
        <v>5620.3849277592826</v>
      </c>
      <c r="J252" s="2">
        <v>21224.159652777784</v>
      </c>
      <c r="K252" s="2">
        <v>9252.4338709852527</v>
      </c>
      <c r="L252" s="2">
        <v>2644.223230512373</v>
      </c>
      <c r="M252" s="2">
        <v>7274.1642706220537</v>
      </c>
      <c r="N252" s="2">
        <v>27.3</v>
      </c>
      <c r="O252" s="2">
        <v>1230.9000000000001</v>
      </c>
    </row>
    <row r="253" spans="1:15">
      <c r="A253" s="1">
        <v>2019</v>
      </c>
      <c r="B253" s="9" t="s">
        <v>41</v>
      </c>
      <c r="C253" s="1" t="s">
        <v>42</v>
      </c>
      <c r="D253" s="2">
        <v>177218.73988704546</v>
      </c>
      <c r="E253" s="2">
        <v>46754.659043918808</v>
      </c>
      <c r="F253" s="2">
        <v>106319.00023517046</v>
      </c>
      <c r="G253" s="2">
        <v>19243.861748621632</v>
      </c>
      <c r="H253" s="2">
        <v>4901.21885933456</v>
      </c>
      <c r="I253" s="2">
        <v>6421.6894913689121</v>
      </c>
      <c r="J253" s="2">
        <v>21194.20655620535</v>
      </c>
      <c r="K253" s="2">
        <v>9751.3682145071289</v>
      </c>
      <c r="L253" s="2">
        <v>2588.868835127907</v>
      </c>
      <c r="M253" s="2">
        <v>6791.2396969362453</v>
      </c>
      <c r="N253" s="2">
        <v>27.2</v>
      </c>
      <c r="O253" s="2">
        <v>853.8</v>
      </c>
    </row>
    <row r="254" spans="1:15">
      <c r="A254" s="1">
        <v>2019</v>
      </c>
      <c r="B254" s="9" t="s">
        <v>43</v>
      </c>
      <c r="C254" s="1" t="s">
        <v>44</v>
      </c>
      <c r="D254" s="2">
        <v>181356.26460835992</v>
      </c>
      <c r="E254" s="2">
        <v>49078.396755525544</v>
      </c>
      <c r="F254" s="2">
        <v>108031.62297609836</v>
      </c>
      <c r="G254" s="2">
        <v>19775.388734608179</v>
      </c>
      <c r="H254" s="2">
        <v>4470.8561421278482</v>
      </c>
      <c r="I254" s="2">
        <v>6967.7242379106747</v>
      </c>
      <c r="J254" s="2">
        <v>21908.047950706714</v>
      </c>
      <c r="K254" s="2">
        <v>9605.8449994715847</v>
      </c>
      <c r="L254" s="2">
        <v>2792.254442394028</v>
      </c>
      <c r="M254" s="2">
        <v>7488.1610491093052</v>
      </c>
      <c r="N254" s="2">
        <v>25.2</v>
      </c>
      <c r="O254" s="2">
        <v>947.6</v>
      </c>
    </row>
    <row r="255" spans="1:15">
      <c r="A255" s="1">
        <v>2019</v>
      </c>
      <c r="B255" s="9" t="s">
        <v>45</v>
      </c>
      <c r="C255" s="1" t="s">
        <v>46</v>
      </c>
      <c r="D255" s="2">
        <v>177350.19285018565</v>
      </c>
      <c r="E255" s="2">
        <v>44383.599458815122</v>
      </c>
      <c r="F255" s="2">
        <v>107302.49936921187</v>
      </c>
      <c r="G255" s="2">
        <v>20754.81739961456</v>
      </c>
      <c r="H255" s="2">
        <v>4909.2766225440828</v>
      </c>
      <c r="I255" s="2">
        <v>5343.407898486772</v>
      </c>
      <c r="J255" s="2">
        <v>17424.340526644308</v>
      </c>
      <c r="K255" s="2">
        <v>7511.183144835778</v>
      </c>
      <c r="L255" s="2">
        <v>2554.8276357491177</v>
      </c>
      <c r="M255" s="2">
        <v>5618.2341529036285</v>
      </c>
      <c r="N255" s="2">
        <v>21.7</v>
      </c>
      <c r="O255" s="2">
        <v>915.3</v>
      </c>
    </row>
    <row r="256" spans="1:15">
      <c r="A256" s="1">
        <v>2019</v>
      </c>
      <c r="B256" s="9" t="s">
        <v>47</v>
      </c>
      <c r="C256" s="1" t="s">
        <v>48</v>
      </c>
      <c r="D256" s="2">
        <v>185918.24748797098</v>
      </c>
      <c r="E256" s="2">
        <v>48944.451119863683</v>
      </c>
      <c r="F256" s="2">
        <v>111652.63093561042</v>
      </c>
      <c r="G256" s="2">
        <v>20666.900933658257</v>
      </c>
      <c r="H256" s="2">
        <v>4654.264498838611</v>
      </c>
      <c r="I256" s="2">
        <v>6334.2560960083101</v>
      </c>
      <c r="J256" s="2">
        <v>20712.614861476439</v>
      </c>
      <c r="K256" s="2">
        <v>8932.8863536950266</v>
      </c>
      <c r="L256" s="2">
        <v>3014.2023297315604</v>
      </c>
      <c r="M256" s="2">
        <v>6750.4171028838828</v>
      </c>
      <c r="N256" s="2">
        <v>21.8</v>
      </c>
      <c r="O256" s="2">
        <v>804.7</v>
      </c>
    </row>
    <row r="257" spans="1:15">
      <c r="A257" s="1">
        <v>2019</v>
      </c>
      <c r="B257" s="9" t="s">
        <v>49</v>
      </c>
      <c r="C257" s="1" t="s">
        <v>50</v>
      </c>
      <c r="D257" s="2">
        <v>174138.30824651546</v>
      </c>
      <c r="E257" s="2">
        <v>46710.68122793558</v>
      </c>
      <c r="F257" s="2">
        <v>105319.8089927632</v>
      </c>
      <c r="G257" s="2">
        <v>18548.031461520768</v>
      </c>
      <c r="H257" s="2">
        <v>3559.7865642959055</v>
      </c>
      <c r="I257" s="2">
        <v>5044.3542167952855</v>
      </c>
      <c r="J257" s="2">
        <v>19924.735387001449</v>
      </c>
      <c r="K257" s="2">
        <v>8781.7765142478656</v>
      </c>
      <c r="L257" s="2">
        <v>3479.8363987573753</v>
      </c>
      <c r="M257" s="2">
        <v>5849.0995265666324</v>
      </c>
      <c r="N257" s="2">
        <v>30.3</v>
      </c>
      <c r="O257" s="2">
        <v>1257.8</v>
      </c>
    </row>
    <row r="258" spans="1:15">
      <c r="A258" s="1">
        <v>2019</v>
      </c>
      <c r="B258" s="9" t="s">
        <v>51</v>
      </c>
      <c r="C258" s="1" t="s">
        <v>52</v>
      </c>
      <c r="D258" s="2">
        <v>175833.75119391939</v>
      </c>
      <c r="E258" s="2">
        <v>50848.021827489247</v>
      </c>
      <c r="F258" s="2">
        <v>102481.07594884535</v>
      </c>
      <c r="G258" s="2">
        <v>17907.63094734239</v>
      </c>
      <c r="H258" s="2">
        <v>4597.0224702424339</v>
      </c>
      <c r="I258" s="2">
        <v>6348.5307964439853</v>
      </c>
      <c r="J258" s="2">
        <v>19896.444060164584</v>
      </c>
      <c r="K258" s="2">
        <v>8690.6318772434461</v>
      </c>
      <c r="L258" s="2">
        <v>2858.2370279615452</v>
      </c>
      <c r="M258" s="2">
        <v>6432.3822003057849</v>
      </c>
      <c r="N258" s="2">
        <v>30.2</v>
      </c>
      <c r="O258" s="2">
        <v>1516.7</v>
      </c>
    </row>
    <row r="259" spans="1:15">
      <c r="A259" s="1">
        <v>2019</v>
      </c>
      <c r="B259" s="9" t="s">
        <v>53</v>
      </c>
      <c r="C259" s="1" t="s">
        <v>54</v>
      </c>
      <c r="D259" s="2">
        <v>187098.49864819704</v>
      </c>
      <c r="E259" s="2">
        <v>56770.824478508199</v>
      </c>
      <c r="F259" s="2">
        <v>107972.03246346577</v>
      </c>
      <c r="G259" s="2">
        <v>17704.865535681969</v>
      </c>
      <c r="H259" s="2">
        <v>4650.7761705411049</v>
      </c>
      <c r="I259" s="2">
        <v>6851.8938019913103</v>
      </c>
      <c r="J259" s="2">
        <v>20640.326350610598</v>
      </c>
      <c r="K259" s="2">
        <v>8394.4786529550001</v>
      </c>
      <c r="L259" s="2">
        <v>3195.6271865764265</v>
      </c>
      <c r="M259" s="2">
        <v>6970.1899147818112</v>
      </c>
      <c r="N259" s="2">
        <v>30.4</v>
      </c>
      <c r="O259" s="2">
        <v>1529.9</v>
      </c>
    </row>
    <row r="260" spans="1:15">
      <c r="A260" s="1">
        <v>2019</v>
      </c>
      <c r="B260" s="9" t="s">
        <v>55</v>
      </c>
      <c r="C260" s="1" t="s">
        <v>56</v>
      </c>
      <c r="D260" s="2">
        <v>186395.32620019629</v>
      </c>
      <c r="E260" s="2">
        <v>56532.153714969609</v>
      </c>
      <c r="F260" s="2">
        <v>107552.52119303436</v>
      </c>
      <c r="G260" s="2">
        <v>17519.497557877585</v>
      </c>
      <c r="H260" s="2">
        <v>4791.1537343147156</v>
      </c>
      <c r="I260" s="2">
        <v>6357.0713423618618</v>
      </c>
      <c r="J260" s="2">
        <v>21945.569387045674</v>
      </c>
      <c r="K260" s="2">
        <v>9601.4821099072014</v>
      </c>
      <c r="L260" s="2">
        <v>3193.0659714637295</v>
      </c>
      <c r="M260" s="2">
        <v>7146.2998674782821</v>
      </c>
      <c r="N260" s="2">
        <v>27.4</v>
      </c>
      <c r="O260" s="2">
        <v>1368.4</v>
      </c>
    </row>
    <row r="261" spans="1:15">
      <c r="A261" s="1">
        <v>2019</v>
      </c>
      <c r="B261" s="9" t="s">
        <v>57</v>
      </c>
      <c r="C261" s="1" t="s">
        <v>58</v>
      </c>
      <c r="D261" s="2">
        <v>183950.46138953636</v>
      </c>
      <c r="E261" s="2">
        <v>50278.722371872653</v>
      </c>
      <c r="F261" s="2">
        <v>109846.99086019155</v>
      </c>
      <c r="G261" s="2">
        <v>19264.668488579973</v>
      </c>
      <c r="H261" s="2">
        <v>4560.0796688921673</v>
      </c>
      <c r="I261" s="2">
        <v>5495.7973198684931</v>
      </c>
      <c r="J261" s="2">
        <v>21285.870906052081</v>
      </c>
      <c r="K261" s="2">
        <v>9357.2977791387202</v>
      </c>
      <c r="L261" s="2">
        <v>2966.7220050604046</v>
      </c>
      <c r="M261" s="2">
        <v>6975.6506637109796</v>
      </c>
      <c r="N261" s="2">
        <v>28.5</v>
      </c>
      <c r="O261" s="2">
        <v>1317.4</v>
      </c>
    </row>
    <row r="262" spans="1:15">
      <c r="A262" s="1">
        <v>2019</v>
      </c>
      <c r="B262" s="9" t="s">
        <v>59</v>
      </c>
      <c r="C262" s="1" t="s">
        <v>60</v>
      </c>
      <c r="D262" s="2">
        <v>175086.42900908669</v>
      </c>
      <c r="E262" s="2">
        <v>50498.567503371989</v>
      </c>
      <c r="F262" s="2">
        <v>102589.09990755476</v>
      </c>
      <c r="G262" s="2">
        <v>17692.49251064923</v>
      </c>
      <c r="H262" s="2">
        <v>4306.2690875106846</v>
      </c>
      <c r="I262" s="2">
        <v>5449.7442961737406</v>
      </c>
      <c r="J262" s="2">
        <v>19189.766982983056</v>
      </c>
      <c r="K262" s="2">
        <v>8278.3259092974986</v>
      </c>
      <c r="L262" s="2">
        <v>3004.6188924900753</v>
      </c>
      <c r="M262" s="2">
        <v>6000.587150494488</v>
      </c>
      <c r="N262" s="2">
        <v>23.5</v>
      </c>
      <c r="O262" s="2">
        <v>1141.4000000000001</v>
      </c>
    </row>
    <row r="263" spans="1:15">
      <c r="A263" s="1">
        <v>2019</v>
      </c>
      <c r="B263" s="9" t="s">
        <v>61</v>
      </c>
      <c r="C263" s="1" t="s">
        <v>62</v>
      </c>
      <c r="D263" s="2">
        <v>179707.57664784518</v>
      </c>
      <c r="E263" s="2">
        <v>46394.472353543846</v>
      </c>
      <c r="F263" s="2">
        <v>107376.2172097752</v>
      </c>
      <c r="G263" s="2">
        <v>21138.218198605482</v>
      </c>
      <c r="H263" s="2">
        <v>4798.6688859206415</v>
      </c>
      <c r="I263" s="2">
        <v>5190.8907958511063</v>
      </c>
      <c r="J263" s="2">
        <v>20717.661389531171</v>
      </c>
      <c r="K263" s="2">
        <v>9202.6398068140243</v>
      </c>
      <c r="L263" s="2">
        <v>3175.4703075265897</v>
      </c>
      <c r="M263" s="2">
        <v>6415.6815651021843</v>
      </c>
      <c r="N263" s="2">
        <v>24.1</v>
      </c>
      <c r="O263" s="2">
        <v>1011.4</v>
      </c>
    </row>
    <row r="264" spans="1:15">
      <c r="A264" s="1">
        <v>2019</v>
      </c>
      <c r="B264" s="9" t="s">
        <v>63</v>
      </c>
      <c r="C264" s="1" t="s">
        <v>64</v>
      </c>
      <c r="D264" s="2">
        <v>176994.79493686129</v>
      </c>
      <c r="E264" s="2">
        <v>46073.644275763159</v>
      </c>
      <c r="F264" s="2">
        <v>109117.73764589988</v>
      </c>
      <c r="G264" s="2">
        <v>18122.368840543964</v>
      </c>
      <c r="H264" s="2">
        <v>3681.0441746543115</v>
      </c>
      <c r="I264" s="2">
        <v>5842.2205140573069</v>
      </c>
      <c r="J264" s="2">
        <v>20535.730306119385</v>
      </c>
      <c r="K264" s="2">
        <v>8756.418518942608</v>
      </c>
      <c r="L264" s="2">
        <v>3253.4836306179368</v>
      </c>
      <c r="M264" s="2">
        <v>6606.6083211107198</v>
      </c>
      <c r="N264" s="2">
        <v>26.7</v>
      </c>
      <c r="O264" s="2">
        <v>1037.0999999999999</v>
      </c>
    </row>
    <row r="265" spans="1:15">
      <c r="A265" s="1">
        <v>2019</v>
      </c>
      <c r="B265" s="9" t="s">
        <v>65</v>
      </c>
      <c r="C265" s="1" t="s">
        <v>66</v>
      </c>
      <c r="D265" s="2">
        <v>175111.96268022194</v>
      </c>
      <c r="E265" s="2">
        <v>43580.181311815591</v>
      </c>
      <c r="F265" s="2">
        <v>105848.16248612087</v>
      </c>
      <c r="G265" s="2">
        <v>21433.648822671523</v>
      </c>
      <c r="H265" s="2">
        <v>4249.9700596139583</v>
      </c>
      <c r="I265" s="2">
        <v>5305.5125756206871</v>
      </c>
      <c r="J265" s="2">
        <v>19182.042968858077</v>
      </c>
      <c r="K265" s="2">
        <v>8086.1908092422691</v>
      </c>
      <c r="L265" s="2">
        <v>2995.6175183057967</v>
      </c>
      <c r="M265" s="2">
        <v>6288.1182955388249</v>
      </c>
      <c r="N265" s="2">
        <v>23</v>
      </c>
      <c r="O265" s="2">
        <v>888.8</v>
      </c>
    </row>
    <row r="266" spans="1:15">
      <c r="A266" s="1">
        <v>2019</v>
      </c>
      <c r="B266" s="9" t="s">
        <v>67</v>
      </c>
      <c r="C266" s="1" t="s">
        <v>68</v>
      </c>
      <c r="D266" s="2">
        <v>178412.0308486252</v>
      </c>
      <c r="E266" s="2">
        <v>47775.478880979674</v>
      </c>
      <c r="F266" s="2">
        <v>107181.29315828026</v>
      </c>
      <c r="G266" s="2">
        <v>19428.356145579575</v>
      </c>
      <c r="H266" s="2">
        <v>4026.902663785701</v>
      </c>
      <c r="I266" s="2">
        <v>5590.1916497776547</v>
      </c>
      <c r="J266" s="2">
        <v>20604.252694880903</v>
      </c>
      <c r="K266" s="2">
        <v>8665.2781858474318</v>
      </c>
      <c r="L266" s="2">
        <v>3216.5319884922337</v>
      </c>
      <c r="M266" s="2">
        <v>6846.6710492811526</v>
      </c>
      <c r="N266" s="2">
        <v>27.6</v>
      </c>
      <c r="O266" s="2">
        <v>1101.7</v>
      </c>
    </row>
    <row r="267" spans="1:15">
      <c r="A267" s="1">
        <v>2019</v>
      </c>
      <c r="B267" s="9" t="s">
        <v>69</v>
      </c>
      <c r="C267" s="1" t="s">
        <v>70</v>
      </c>
      <c r="D267" s="2">
        <v>177059.56208009861</v>
      </c>
      <c r="E267" s="2">
        <v>50106.950504308516</v>
      </c>
      <c r="F267" s="2">
        <v>103804.38426554634</v>
      </c>
      <c r="G267" s="2">
        <v>18585.109091531769</v>
      </c>
      <c r="H267" s="2">
        <v>4563.1182187119812</v>
      </c>
      <c r="I267" s="2">
        <v>6158.9965969396917</v>
      </c>
      <c r="J267" s="2">
        <v>19753.826839552712</v>
      </c>
      <c r="K267" s="2">
        <v>8638.1057254113257</v>
      </c>
      <c r="L267" s="2">
        <v>2932.9043204616432</v>
      </c>
      <c r="M267" s="2">
        <v>6250.6133755856135</v>
      </c>
      <c r="N267" s="2">
        <v>24.5</v>
      </c>
      <c r="O267" s="2">
        <v>999.2</v>
      </c>
    </row>
    <row r="268" spans="1:15">
      <c r="A268" s="1">
        <v>2019</v>
      </c>
      <c r="B268" s="9" t="s">
        <v>71</v>
      </c>
      <c r="C268" s="1" t="s">
        <v>72</v>
      </c>
      <c r="D268" s="2">
        <v>184384.89941114202</v>
      </c>
      <c r="E268" s="2">
        <v>51220.931945630015</v>
      </c>
      <c r="F268" s="2">
        <v>106930.01366281342</v>
      </c>
      <c r="G268" s="2">
        <v>20196.656916585682</v>
      </c>
      <c r="H268" s="2">
        <v>6037.2968861128811</v>
      </c>
      <c r="I268" s="2">
        <v>5947.4599969800056</v>
      </c>
      <c r="J268" s="2">
        <v>17551.804280054777</v>
      </c>
      <c r="K268" s="2">
        <v>7267.5435297397362</v>
      </c>
      <c r="L268" s="2">
        <v>2959.8912334771603</v>
      </c>
      <c r="M268" s="2">
        <v>5386.8918862280234</v>
      </c>
      <c r="N268" s="2">
        <v>27.5</v>
      </c>
      <c r="O268" s="2">
        <v>1340.8</v>
      </c>
    </row>
    <row r="269" spans="1:15">
      <c r="A269" s="1">
        <v>2019</v>
      </c>
      <c r="B269" s="9" t="s">
        <v>73</v>
      </c>
      <c r="C269" s="1" t="s">
        <v>74</v>
      </c>
      <c r="D269" s="2">
        <v>188847.58393137722</v>
      </c>
      <c r="E269" s="2">
        <v>50149.482416518411</v>
      </c>
      <c r="F269" s="2">
        <v>108354.32193035859</v>
      </c>
      <c r="G269" s="2">
        <v>23091.143627262409</v>
      </c>
      <c r="H269" s="2">
        <v>7252.6359572378178</v>
      </c>
      <c r="I269" s="2">
        <v>5970.1648448945416</v>
      </c>
      <c r="J269" s="2">
        <v>18603.168561908289</v>
      </c>
      <c r="K269" s="2">
        <v>8094.1024367359041</v>
      </c>
      <c r="L269" s="2">
        <v>2890.5394834876633</v>
      </c>
      <c r="M269" s="2">
        <v>5874.8998091224894</v>
      </c>
      <c r="N269" s="2">
        <v>24.8</v>
      </c>
      <c r="O269" s="2">
        <v>1197</v>
      </c>
    </row>
    <row r="270" spans="1:15">
      <c r="A270" s="1">
        <v>2019</v>
      </c>
      <c r="B270" s="9" t="s">
        <v>75</v>
      </c>
      <c r="C270" s="1" t="s">
        <v>76</v>
      </c>
      <c r="D270" s="2">
        <v>191287.69835882148</v>
      </c>
      <c r="E270" s="2">
        <v>51811.322214768348</v>
      </c>
      <c r="F270" s="2">
        <v>112189.62938908245</v>
      </c>
      <c r="G270" s="2">
        <v>21929.221380059465</v>
      </c>
      <c r="H270" s="2">
        <v>5357.5253749112017</v>
      </c>
      <c r="I270" s="2">
        <v>6250.5097761911402</v>
      </c>
      <c r="J270" s="2">
        <v>19992.574302025227</v>
      </c>
      <c r="K270" s="2">
        <v>8418.6380457425421</v>
      </c>
      <c r="L270" s="2">
        <v>3160.1859537255486</v>
      </c>
      <c r="M270" s="2">
        <v>6579.0206368437448</v>
      </c>
      <c r="N270" s="2">
        <v>25.6</v>
      </c>
      <c r="O270" s="2">
        <v>1178.9000000000001</v>
      </c>
    </row>
    <row r="271" spans="1:15">
      <c r="A271" s="1">
        <v>2019</v>
      </c>
      <c r="B271" s="9" t="s">
        <v>77</v>
      </c>
      <c r="C271" s="1" t="s">
        <v>78</v>
      </c>
      <c r="D271" s="2">
        <v>186904.80183241484</v>
      </c>
      <c r="E271" s="2">
        <v>53094.30890635206</v>
      </c>
      <c r="F271" s="2">
        <v>108673.64811878423</v>
      </c>
      <c r="G271" s="2">
        <v>19392.288381197293</v>
      </c>
      <c r="H271" s="2">
        <v>5744.5564260812553</v>
      </c>
      <c r="I271" s="2">
        <v>6457.7149564767305</v>
      </c>
      <c r="J271" s="2">
        <v>20713.90242232976</v>
      </c>
      <c r="K271" s="2">
        <v>8635.8102512146179</v>
      </c>
      <c r="L271" s="2">
        <v>3359.287811995498</v>
      </c>
      <c r="M271" s="2">
        <v>6630.9195067460632</v>
      </c>
      <c r="N271" s="2">
        <v>24.9</v>
      </c>
      <c r="O271" s="2">
        <v>1244.5</v>
      </c>
    </row>
    <row r="272" spans="1:15">
      <c r="A272" s="1">
        <v>2019</v>
      </c>
      <c r="B272" s="9" t="s">
        <v>79</v>
      </c>
      <c r="C272" s="1" t="s">
        <v>80</v>
      </c>
      <c r="D272" s="2">
        <v>189429.71270895549</v>
      </c>
      <c r="E272" s="2">
        <v>50408.749821216632</v>
      </c>
      <c r="F272" s="2">
        <v>112105.89080957291</v>
      </c>
      <c r="G272" s="2">
        <v>20498.717192728891</v>
      </c>
      <c r="H272" s="2">
        <v>6416.3548854370501</v>
      </c>
      <c r="I272" s="2">
        <v>5712.5569576632624</v>
      </c>
      <c r="J272" s="2">
        <v>20599.300525193761</v>
      </c>
      <c r="K272" s="2">
        <v>9378.7387261489966</v>
      </c>
      <c r="L272" s="2">
        <v>2852.0245483326898</v>
      </c>
      <c r="M272" s="2">
        <v>6372.2956227976174</v>
      </c>
      <c r="N272" s="2">
        <v>28</v>
      </c>
      <c r="O272" s="2">
        <v>1431.4</v>
      </c>
    </row>
    <row r="273" spans="1:15">
      <c r="A273" s="1">
        <v>2019</v>
      </c>
      <c r="B273" s="9" t="s">
        <v>81</v>
      </c>
      <c r="C273" s="1" t="s">
        <v>82</v>
      </c>
      <c r="D273" s="2">
        <v>187029.3450560343</v>
      </c>
      <c r="E273" s="2">
        <v>57965.232317014234</v>
      </c>
      <c r="F273" s="2">
        <v>107111.963384847</v>
      </c>
      <c r="G273" s="2">
        <v>18427.812923294961</v>
      </c>
      <c r="H273" s="2">
        <v>3524.3364308781152</v>
      </c>
      <c r="I273" s="2">
        <v>6791.4661390322599</v>
      </c>
      <c r="J273" s="2">
        <v>19297.223790431268</v>
      </c>
      <c r="K273" s="2">
        <v>8491.1909004905719</v>
      </c>
      <c r="L273" s="2">
        <v>3180.9414857040242</v>
      </c>
      <c r="M273" s="2">
        <v>5953.0746274917692</v>
      </c>
      <c r="N273" s="2">
        <v>27.8</v>
      </c>
      <c r="O273" s="2">
        <v>1514.6</v>
      </c>
    </row>
    <row r="274" spans="1:15">
      <c r="A274" s="1">
        <v>2019</v>
      </c>
      <c r="B274" s="9" t="s">
        <v>83</v>
      </c>
      <c r="C274" s="1" t="s">
        <v>84</v>
      </c>
      <c r="D274" s="2">
        <v>197446.37939856816</v>
      </c>
      <c r="E274" s="2">
        <v>60669.162024720303</v>
      </c>
      <c r="F274" s="2">
        <v>115144.22718231601</v>
      </c>
      <c r="G274" s="2">
        <v>18195.266246812262</v>
      </c>
      <c r="H274" s="2">
        <v>3437.723944719568</v>
      </c>
      <c r="I274" s="2">
        <v>6179.8209356039533</v>
      </c>
      <c r="J274" s="2">
        <v>22377.363970382361</v>
      </c>
      <c r="K274" s="2">
        <v>10331.69800037582</v>
      </c>
      <c r="L274" s="2">
        <v>3972.4276522723744</v>
      </c>
      <c r="M274" s="2">
        <v>6128.5034244687949</v>
      </c>
      <c r="N274" s="2">
        <v>28.1</v>
      </c>
      <c r="O274" s="2">
        <v>1524.3</v>
      </c>
    </row>
    <row r="275" spans="1:15">
      <c r="A275" s="1">
        <v>2019</v>
      </c>
      <c r="B275" s="9" t="s">
        <v>85</v>
      </c>
      <c r="C275" s="1" t="s">
        <v>86</v>
      </c>
      <c r="D275" s="2">
        <v>190069.56944656544</v>
      </c>
      <c r="E275" s="2">
        <v>53431.24492075642</v>
      </c>
      <c r="F275" s="2">
        <v>111243.97001885583</v>
      </c>
      <c r="G275" s="2">
        <v>21528.98570342952</v>
      </c>
      <c r="H275" s="2">
        <v>3865.3688035236869</v>
      </c>
      <c r="I275" s="2">
        <v>6057.4836346454122</v>
      </c>
      <c r="J275" s="2">
        <v>20549.583346912244</v>
      </c>
      <c r="K275" s="2">
        <v>8912.541128113422</v>
      </c>
      <c r="L275" s="2">
        <v>3341.2517205852764</v>
      </c>
      <c r="M275" s="2">
        <v>6690.8612839410744</v>
      </c>
      <c r="N275" s="2">
        <v>26.2</v>
      </c>
      <c r="O275" s="2">
        <v>1462.5</v>
      </c>
    </row>
    <row r="276" spans="1:15">
      <c r="A276" s="1">
        <v>2019</v>
      </c>
      <c r="B276" s="9" t="s">
        <v>87</v>
      </c>
      <c r="C276" s="1" t="s">
        <v>88</v>
      </c>
      <c r="D276" s="2">
        <v>185389.16310094635</v>
      </c>
      <c r="E276" s="2">
        <v>50330.01990027952</v>
      </c>
      <c r="F276" s="2">
        <v>110972.73595067652</v>
      </c>
      <c r="G276" s="2">
        <v>20136.130262848004</v>
      </c>
      <c r="H276" s="2">
        <v>3950.2769871423093</v>
      </c>
      <c r="I276" s="2">
        <v>5596.3489924798851</v>
      </c>
      <c r="J276" s="2">
        <v>20107.774009170345</v>
      </c>
      <c r="K276" s="2">
        <v>8466.3316575805966</v>
      </c>
      <c r="L276" s="2">
        <v>3038.6935086900939</v>
      </c>
      <c r="M276" s="2">
        <v>6721.5583691938446</v>
      </c>
      <c r="N276" s="2">
        <v>30.2</v>
      </c>
      <c r="O276" s="2">
        <v>1381.7</v>
      </c>
    </row>
    <row r="277" spans="1:15">
      <c r="A277" s="1">
        <v>2019</v>
      </c>
      <c r="B277" s="9" t="s">
        <v>89</v>
      </c>
      <c r="C277" s="1" t="s">
        <v>90</v>
      </c>
      <c r="D277" s="2">
        <v>198520.92025315491</v>
      </c>
      <c r="E277" s="2">
        <v>58162.827887145926</v>
      </c>
      <c r="F277" s="2">
        <v>115978.33472768417</v>
      </c>
      <c r="G277" s="2">
        <v>20038.519915853565</v>
      </c>
      <c r="H277" s="2">
        <v>4341.2377224712554</v>
      </c>
      <c r="I277" s="2">
        <v>6799.0136189471214</v>
      </c>
      <c r="J277" s="2">
        <v>22598.269617952719</v>
      </c>
      <c r="K277" s="2">
        <v>9927.3519697001448</v>
      </c>
      <c r="L277" s="2">
        <v>3238.0496518329614</v>
      </c>
      <c r="M277" s="2">
        <v>7062.7114456079998</v>
      </c>
      <c r="N277" s="2">
        <v>38.9</v>
      </c>
      <c r="O277" s="2">
        <v>1908.5</v>
      </c>
    </row>
    <row r="278" spans="1:15">
      <c r="A278" s="1">
        <v>2019</v>
      </c>
      <c r="B278" s="9" t="s">
        <v>91</v>
      </c>
      <c r="C278" s="1" t="s">
        <v>92</v>
      </c>
      <c r="D278" s="2">
        <v>198586.0953740768</v>
      </c>
      <c r="E278" s="2">
        <v>55260.213205938388</v>
      </c>
      <c r="F278" s="2">
        <v>115789.57569974358</v>
      </c>
      <c r="G278" s="2">
        <v>21851.504440251301</v>
      </c>
      <c r="H278" s="2">
        <v>5684.8020281435047</v>
      </c>
      <c r="I278" s="2">
        <v>6287.1754707281998</v>
      </c>
      <c r="J278" s="2">
        <v>23569.515906207871</v>
      </c>
      <c r="K278" s="2">
        <v>10819.566268469531</v>
      </c>
      <c r="L278" s="2">
        <v>2607.0256373228244</v>
      </c>
      <c r="M278" s="2">
        <v>8213.9059943884749</v>
      </c>
      <c r="N278" s="2">
        <v>36.299999999999997</v>
      </c>
      <c r="O278" s="2">
        <v>1931.6</v>
      </c>
    </row>
    <row r="279" spans="1:15">
      <c r="A279" s="1">
        <v>2019</v>
      </c>
      <c r="B279" s="9" t="s">
        <v>93</v>
      </c>
      <c r="C279" s="1" t="s">
        <v>94</v>
      </c>
      <c r="D279" s="2">
        <v>197805.98896808454</v>
      </c>
      <c r="E279" s="2">
        <v>55745.212848737719</v>
      </c>
      <c r="F279" s="2">
        <v>115694.38692174332</v>
      </c>
      <c r="G279" s="2">
        <v>21689.287590354015</v>
      </c>
      <c r="H279" s="2">
        <v>4677.1016072494594</v>
      </c>
      <c r="I279" s="2">
        <v>6447.1469084571636</v>
      </c>
      <c r="J279" s="2">
        <v>21037.891168977301</v>
      </c>
      <c r="K279" s="2">
        <v>8937.1305862504905</v>
      </c>
      <c r="L279" s="2">
        <v>2666.4807882440277</v>
      </c>
      <c r="M279" s="2">
        <v>7325.3488137608965</v>
      </c>
      <c r="N279" s="2">
        <v>27.2</v>
      </c>
      <c r="O279" s="2">
        <v>1512.1</v>
      </c>
    </row>
    <row r="280" spans="1:15">
      <c r="A280" s="1">
        <v>2019</v>
      </c>
      <c r="B280" s="9" t="s">
        <v>95</v>
      </c>
      <c r="C280" s="1" t="s">
        <v>96</v>
      </c>
      <c r="D280" s="2">
        <v>188510.8979890036</v>
      </c>
      <c r="E280" s="2">
        <v>54164.669422588508</v>
      </c>
      <c r="F280" s="2">
        <v>111383.92213920048</v>
      </c>
      <c r="G280" s="2">
        <v>18312.25954978948</v>
      </c>
      <c r="H280" s="2">
        <v>4650.0468774251494</v>
      </c>
      <c r="I280" s="2">
        <v>6046.1329844602478</v>
      </c>
      <c r="J280" s="2">
        <v>20762.33216721793</v>
      </c>
      <c r="K280" s="2">
        <v>8596.6922875412529</v>
      </c>
      <c r="L280" s="2">
        <v>2894.9169696417994</v>
      </c>
      <c r="M280" s="2">
        <v>6770.3022301762494</v>
      </c>
      <c r="N280" s="2">
        <v>29.8</v>
      </c>
      <c r="O280" s="2">
        <v>1581</v>
      </c>
    </row>
    <row r="281" spans="1:15">
      <c r="A281" s="1">
        <v>2019</v>
      </c>
      <c r="B281" s="9" t="s">
        <v>97</v>
      </c>
      <c r="C281" s="1" t="s">
        <v>98</v>
      </c>
      <c r="D281" s="2">
        <v>194340.71434730245</v>
      </c>
      <c r="E281" s="2">
        <v>59134.228073420221</v>
      </c>
      <c r="F281" s="2">
        <v>111668.07228812572</v>
      </c>
      <c r="G281" s="2">
        <v>18788.456660231725</v>
      </c>
      <c r="H281" s="2">
        <v>4749.9573255247715</v>
      </c>
      <c r="I281" s="2">
        <v>7462.326992073371</v>
      </c>
      <c r="J281" s="2">
        <v>21972.279882201467</v>
      </c>
      <c r="K281" s="2">
        <v>10417.855597558781</v>
      </c>
      <c r="L281" s="2">
        <v>2630.241093248876</v>
      </c>
      <c r="M281" s="2">
        <v>6400.7552714832254</v>
      </c>
      <c r="N281" s="2">
        <v>44.2</v>
      </c>
      <c r="O281" s="2">
        <v>2508.3000000000002</v>
      </c>
    </row>
    <row r="282" spans="1:15">
      <c r="A282" s="1">
        <v>2019</v>
      </c>
      <c r="B282" s="9" t="s">
        <v>99</v>
      </c>
      <c r="C282" s="1" t="s">
        <v>100</v>
      </c>
      <c r="D282" s="2">
        <v>193249.30595098776</v>
      </c>
      <c r="E282" s="2">
        <v>56705.60689796981</v>
      </c>
      <c r="F282" s="2">
        <v>108819.59296264465</v>
      </c>
      <c r="G282" s="2">
        <v>21451.209370226319</v>
      </c>
      <c r="H282" s="2">
        <v>6272.8967201470068</v>
      </c>
      <c r="I282" s="2">
        <v>6779.3663961399952</v>
      </c>
      <c r="J282" s="2">
        <v>20726.230763232183</v>
      </c>
      <c r="K282" s="2">
        <v>9503.8372974982267</v>
      </c>
      <c r="L282" s="2">
        <v>2805.3415347746168</v>
      </c>
      <c r="M282" s="2">
        <v>6461.1638548483261</v>
      </c>
      <c r="N282" s="2">
        <v>33</v>
      </c>
      <c r="O282" s="2">
        <v>1643.3</v>
      </c>
    </row>
    <row r="283" spans="1:15">
      <c r="A283" s="1">
        <v>2019</v>
      </c>
      <c r="B283" s="9" t="s">
        <v>101</v>
      </c>
      <c r="C283" s="1" t="s">
        <v>102</v>
      </c>
      <c r="D283" s="2">
        <v>212575.55967476653</v>
      </c>
      <c r="E283" s="2">
        <v>65523.854883335633</v>
      </c>
      <c r="F283" s="2">
        <v>120890.35450220644</v>
      </c>
      <c r="G283" s="2">
        <v>19975.066694091835</v>
      </c>
      <c r="H283" s="2">
        <v>6186.2835951326242</v>
      </c>
      <c r="I283" s="2">
        <v>7428.3414816288405</v>
      </c>
      <c r="J283" s="2">
        <v>25880.180535850202</v>
      </c>
      <c r="K283" s="2">
        <v>12003.402501690591</v>
      </c>
      <c r="L283" s="2">
        <v>4223.6796606203598</v>
      </c>
      <c r="M283" s="2">
        <v>7688.1696890160229</v>
      </c>
      <c r="N283" s="2">
        <v>40.1</v>
      </c>
      <c r="O283" s="2">
        <v>1786.6</v>
      </c>
    </row>
    <row r="284" spans="1:15">
      <c r="A284" s="1">
        <v>2019</v>
      </c>
      <c r="B284" s="9" t="s">
        <v>103</v>
      </c>
      <c r="C284" s="1" t="s">
        <v>104</v>
      </c>
      <c r="D284" s="2">
        <v>199743.72159430684</v>
      </c>
      <c r="E284" s="2">
        <v>62997.988322387682</v>
      </c>
      <c r="F284" s="2">
        <v>110790.92896866069</v>
      </c>
      <c r="G284" s="2">
        <v>20070.004553661649</v>
      </c>
      <c r="H284" s="2">
        <v>5884.7997495967975</v>
      </c>
      <c r="I284" s="2">
        <v>6925.8690265717005</v>
      </c>
      <c r="J284" s="2">
        <v>22798.223454257841</v>
      </c>
      <c r="K284" s="2">
        <v>11272.107502057808</v>
      </c>
      <c r="L284" s="2">
        <v>2535.0152054563132</v>
      </c>
      <c r="M284" s="2">
        <v>6829.7439914124734</v>
      </c>
      <c r="N284" s="2">
        <v>35.1</v>
      </c>
      <c r="O284" s="2">
        <v>1957.5</v>
      </c>
    </row>
    <row r="285" spans="1:15">
      <c r="A285" s="1">
        <v>2019</v>
      </c>
      <c r="B285" s="9" t="s">
        <v>105</v>
      </c>
      <c r="C285" s="1" t="s">
        <v>106</v>
      </c>
      <c r="D285" s="2">
        <v>195351.55184150254</v>
      </c>
      <c r="E285" s="2">
        <v>59150.65736875718</v>
      </c>
      <c r="F285" s="2">
        <v>112703.12788939309</v>
      </c>
      <c r="G285" s="2">
        <v>18319.85949346366</v>
      </c>
      <c r="H285" s="2">
        <v>5177.907089888613</v>
      </c>
      <c r="I285" s="2">
        <v>6516.3472338244774</v>
      </c>
      <c r="J285" s="2">
        <v>23194.141794466021</v>
      </c>
      <c r="K285" s="2">
        <v>11236.018164751356</v>
      </c>
      <c r="L285" s="2">
        <v>2911.8200508797372</v>
      </c>
      <c r="M285" s="2">
        <v>7356.330001227333</v>
      </c>
      <c r="N285" s="2">
        <v>38.200000000000003</v>
      </c>
      <c r="O285" s="2">
        <v>1941.1</v>
      </c>
    </row>
    <row r="286" spans="1:15">
      <c r="A286" s="1">
        <v>2019</v>
      </c>
      <c r="B286" s="9" t="s">
        <v>107</v>
      </c>
      <c r="C286" s="1" t="s">
        <v>108</v>
      </c>
      <c r="D286" s="2">
        <v>198577.17468236946</v>
      </c>
      <c r="E286" s="2">
        <v>61118.23091227909</v>
      </c>
      <c r="F286" s="2">
        <v>114464.69899848942</v>
      </c>
      <c r="G286" s="2">
        <v>17809.365875057043</v>
      </c>
      <c r="H286" s="2">
        <v>5184.8788965438916</v>
      </c>
      <c r="I286" s="2">
        <v>7398.6447473464623</v>
      </c>
      <c r="J286" s="2">
        <v>23472.853524902854</v>
      </c>
      <c r="K286" s="2">
        <v>10324.82699547618</v>
      </c>
      <c r="L286" s="2">
        <v>3152.284362004606</v>
      </c>
      <c r="M286" s="2">
        <v>7919.8989146962049</v>
      </c>
      <c r="N286" s="2">
        <v>31.3</v>
      </c>
      <c r="O286" s="2">
        <v>1747.8</v>
      </c>
    </row>
    <row r="287" spans="1:15">
      <c r="A287" s="1">
        <v>2019</v>
      </c>
      <c r="B287" s="9" t="s">
        <v>109</v>
      </c>
      <c r="C287" s="1" t="s">
        <v>110</v>
      </c>
      <c r="D287" s="2">
        <v>184653.09953358182</v>
      </c>
      <c r="E287" s="2">
        <v>54861.681053030334</v>
      </c>
      <c r="F287" s="2">
        <v>106772.97646324705</v>
      </c>
      <c r="G287" s="2">
        <v>18133.397302694731</v>
      </c>
      <c r="H287" s="2">
        <v>4885.0447146096922</v>
      </c>
      <c r="I287" s="2">
        <v>6309.3902560122988</v>
      </c>
      <c r="J287" s="2">
        <v>21104.434932178152</v>
      </c>
      <c r="K287" s="2">
        <v>10687.46177612101</v>
      </c>
      <c r="L287" s="2">
        <v>2133.9094367753164</v>
      </c>
      <c r="M287" s="2">
        <v>6315.1466394989147</v>
      </c>
      <c r="N287" s="2">
        <v>35.700000000000003</v>
      </c>
      <c r="O287" s="2">
        <v>1749.4</v>
      </c>
    </row>
    <row r="288" spans="1:15">
      <c r="A288" s="1">
        <v>2019</v>
      </c>
      <c r="B288" s="9" t="s">
        <v>111</v>
      </c>
      <c r="C288" s="1" t="s">
        <v>112</v>
      </c>
      <c r="D288" s="2">
        <v>193541.71094605493</v>
      </c>
      <c r="E288" s="2">
        <v>60651.685626103179</v>
      </c>
      <c r="F288" s="2">
        <v>109506.21909946525</v>
      </c>
      <c r="G288" s="2">
        <v>17881.477113132114</v>
      </c>
      <c r="H288" s="2">
        <v>5502.3291073543814</v>
      </c>
      <c r="I288" s="2">
        <v>7668.0033012512231</v>
      </c>
      <c r="J288" s="2">
        <v>22499.389423065346</v>
      </c>
      <c r="K288" s="2">
        <v>10838.788615977757</v>
      </c>
      <c r="L288" s="2">
        <v>2192.9918462025803</v>
      </c>
      <c r="M288" s="2">
        <v>7027.1156447956137</v>
      </c>
      <c r="N288" s="2">
        <v>40</v>
      </c>
      <c r="O288" s="2">
        <v>2061.3000000000002</v>
      </c>
    </row>
    <row r="289" spans="1:15">
      <c r="A289" s="1">
        <v>2019</v>
      </c>
      <c r="B289" s="9" t="s">
        <v>113</v>
      </c>
      <c r="C289" s="1" t="s">
        <v>114</v>
      </c>
      <c r="D289" s="2">
        <v>174452.28824652854</v>
      </c>
      <c r="E289" s="2">
        <v>55494.30956992336</v>
      </c>
      <c r="F289" s="2">
        <v>97202.308990321151</v>
      </c>
      <c r="G289" s="2">
        <v>17130.178421443259</v>
      </c>
      <c r="H289" s="2">
        <v>4625.4912648407571</v>
      </c>
      <c r="I289" s="2">
        <v>6685.5529261908587</v>
      </c>
      <c r="J289" s="2">
        <v>17933.371151086798</v>
      </c>
      <c r="K289" s="2">
        <v>9012.759423359983</v>
      </c>
      <c r="L289" s="2">
        <v>1841.474818895369</v>
      </c>
      <c r="M289" s="2">
        <v>5379.9391726571548</v>
      </c>
      <c r="N289" s="2">
        <v>28.4</v>
      </c>
      <c r="O289" s="2">
        <v>1278</v>
      </c>
    </row>
    <row r="290" spans="1:15" hidden="1">
      <c r="A290" s="1">
        <v>2020</v>
      </c>
      <c r="B290" s="9" t="s">
        <v>205</v>
      </c>
      <c r="C290" s="1" t="s">
        <v>206</v>
      </c>
      <c r="D290" s="2">
        <v>180291.21205008749</v>
      </c>
      <c r="E290" s="2">
        <v>49326.402281957002</v>
      </c>
      <c r="F290" s="2">
        <v>105513.24968938204</v>
      </c>
      <c r="G290" s="2">
        <v>20585.348995678003</v>
      </c>
      <c r="H290" s="2">
        <v>4866.2110830704369</v>
      </c>
      <c r="I290" s="2">
        <v>6035.1007537843279</v>
      </c>
      <c r="J290" s="2">
        <v>20743.043255416665</v>
      </c>
      <c r="K290" s="2">
        <v>9112.395587251789</v>
      </c>
      <c r="L290" s="2">
        <v>2991.4357415685895</v>
      </c>
      <c r="M290" s="2">
        <v>6732.8516961661826</v>
      </c>
      <c r="N290" s="2"/>
      <c r="O290" s="2"/>
    </row>
    <row r="291" spans="1:15">
      <c r="A291" s="1">
        <v>2020</v>
      </c>
      <c r="B291" s="9" t="s">
        <v>207</v>
      </c>
      <c r="C291" s="1" t="s">
        <v>22</v>
      </c>
      <c r="D291" s="2">
        <v>201779.85276831497</v>
      </c>
      <c r="E291" s="2">
        <v>61643.307363378975</v>
      </c>
      <c r="F291" s="2">
        <v>114276.53453266762</v>
      </c>
      <c r="G291" s="2">
        <v>21705.759802970952</v>
      </c>
      <c r="H291" s="2">
        <v>4154.2510692974347</v>
      </c>
      <c r="I291" s="2">
        <v>7838.4304711064842</v>
      </c>
      <c r="J291" s="2">
        <v>24131.240088952487</v>
      </c>
      <c r="K291" s="2">
        <v>10135.8406286268</v>
      </c>
      <c r="L291" s="2">
        <v>3068.4021356312624</v>
      </c>
      <c r="M291" s="2">
        <v>8161.4747352534059</v>
      </c>
      <c r="N291" s="2"/>
      <c r="O291" s="2"/>
    </row>
    <row r="292" spans="1:15">
      <c r="A292" s="1">
        <v>2020</v>
      </c>
      <c r="B292" s="9" t="s">
        <v>23</v>
      </c>
      <c r="C292" s="1" t="s">
        <v>24</v>
      </c>
      <c r="D292" s="2">
        <v>186476.73692133275</v>
      </c>
      <c r="E292" s="2">
        <v>51181.771704412997</v>
      </c>
      <c r="F292" s="2">
        <v>112917.36050103065</v>
      </c>
      <c r="G292" s="2">
        <v>18888.924818120497</v>
      </c>
      <c r="H292" s="2">
        <v>3488.679897768614</v>
      </c>
      <c r="I292" s="2">
        <v>6460.5363481474305</v>
      </c>
      <c r="J292" s="2">
        <v>27131.077626520691</v>
      </c>
      <c r="K292" s="2">
        <v>12825.015687181367</v>
      </c>
      <c r="L292" s="2">
        <v>3448.7843427359671</v>
      </c>
      <c r="M292" s="2">
        <v>8591.7175392900226</v>
      </c>
      <c r="N292" s="2"/>
      <c r="O292" s="2"/>
    </row>
    <row r="293" spans="1:15">
      <c r="A293" s="1">
        <v>2020</v>
      </c>
      <c r="B293" s="9" t="s">
        <v>25</v>
      </c>
      <c r="C293" s="1" t="s">
        <v>26</v>
      </c>
      <c r="D293" s="2">
        <v>184277.74111695637</v>
      </c>
      <c r="E293" s="2">
        <v>50621.28285082303</v>
      </c>
      <c r="F293" s="2">
        <v>110075.85755655954</v>
      </c>
      <c r="G293" s="2">
        <v>19671.710251985063</v>
      </c>
      <c r="H293" s="2">
        <v>3908.8904575887373</v>
      </c>
      <c r="I293" s="2">
        <v>6626.7962806217847</v>
      </c>
      <c r="J293" s="2">
        <v>25950.363036327821</v>
      </c>
      <c r="K293" s="2">
        <v>12093.711413283112</v>
      </c>
      <c r="L293" s="2">
        <v>3545.3241484771088</v>
      </c>
      <c r="M293" s="2">
        <v>8235.0319816205192</v>
      </c>
      <c r="N293" s="2"/>
      <c r="O293" s="2"/>
    </row>
    <row r="294" spans="1:15">
      <c r="A294" s="1">
        <v>2020</v>
      </c>
      <c r="B294" s="9" t="s">
        <v>27</v>
      </c>
      <c r="C294" s="1" t="s">
        <v>28</v>
      </c>
      <c r="D294" s="2">
        <v>188766.56856061661</v>
      </c>
      <c r="E294" s="2">
        <v>52522.485942057632</v>
      </c>
      <c r="F294" s="2">
        <v>112632.89503915588</v>
      </c>
      <c r="G294" s="2">
        <v>19085.692839892665</v>
      </c>
      <c r="H294" s="2">
        <v>4525.4947395104464</v>
      </c>
      <c r="I294" s="2">
        <v>6807.3877932958212</v>
      </c>
      <c r="J294" s="2">
        <v>25803.941290270974</v>
      </c>
      <c r="K294" s="2">
        <v>12233.754548025434</v>
      </c>
      <c r="L294" s="2">
        <v>3648.9373165414299</v>
      </c>
      <c r="M294" s="2">
        <v>7956.4453762055373</v>
      </c>
      <c r="N294" s="2"/>
      <c r="O294" s="2"/>
    </row>
    <row r="295" spans="1:15">
      <c r="A295" s="1">
        <v>2020</v>
      </c>
      <c r="B295" s="9" t="s">
        <v>29</v>
      </c>
      <c r="C295" s="1" t="s">
        <v>30</v>
      </c>
      <c r="D295" s="2">
        <v>205305.14695259108</v>
      </c>
      <c r="E295" s="2">
        <v>58657.578229827282</v>
      </c>
      <c r="F295" s="2">
        <v>121445.1691837402</v>
      </c>
      <c r="G295" s="2">
        <v>21210.579791148957</v>
      </c>
      <c r="H295" s="2">
        <v>3991.8197478746529</v>
      </c>
      <c r="I295" s="2">
        <v>6006.7783365905098</v>
      </c>
      <c r="J295" s="2">
        <v>27109.735030741031</v>
      </c>
      <c r="K295" s="2">
        <v>12645.875614102173</v>
      </c>
      <c r="L295" s="2">
        <v>4194.3128077824276</v>
      </c>
      <c r="M295" s="2">
        <v>8016.232775743103</v>
      </c>
      <c r="N295" s="2"/>
      <c r="O295" s="2"/>
    </row>
    <row r="296" spans="1:15">
      <c r="A296" s="1">
        <v>2020</v>
      </c>
      <c r="B296" s="9" t="s">
        <v>31</v>
      </c>
      <c r="C296" s="1" t="s">
        <v>32</v>
      </c>
      <c r="D296" s="2">
        <v>188703.94778775101</v>
      </c>
      <c r="E296" s="2">
        <v>52221.9256817961</v>
      </c>
      <c r="F296" s="2">
        <v>113126.21207794914</v>
      </c>
      <c r="G296" s="2">
        <v>19706.227682709985</v>
      </c>
      <c r="H296" s="2">
        <v>3649.5823452957761</v>
      </c>
      <c r="I296" s="2">
        <v>6171.9707777730173</v>
      </c>
      <c r="J296" s="2">
        <v>26418.056805402535</v>
      </c>
      <c r="K296" s="2">
        <v>12724.121899826603</v>
      </c>
      <c r="L296" s="2">
        <v>4728.537827628913</v>
      </c>
      <c r="M296" s="2">
        <v>6995.7263072593569</v>
      </c>
      <c r="N296" s="2"/>
      <c r="O296" s="2"/>
    </row>
    <row r="297" spans="1:15">
      <c r="A297" s="1">
        <v>2020</v>
      </c>
      <c r="B297" s="9" t="s">
        <v>33</v>
      </c>
      <c r="C297" s="1" t="s">
        <v>34</v>
      </c>
      <c r="D297" s="2">
        <v>179237.44964058357</v>
      </c>
      <c r="E297" s="2">
        <v>48859.130044563746</v>
      </c>
      <c r="F297" s="2">
        <v>107702.6261204253</v>
      </c>
      <c r="G297" s="2">
        <v>18782.528565709294</v>
      </c>
      <c r="H297" s="2">
        <v>3893.1649098852472</v>
      </c>
      <c r="I297" s="2">
        <v>5907.3326101777329</v>
      </c>
      <c r="J297" s="2">
        <v>26107.358190224943</v>
      </c>
      <c r="K297" s="2">
        <v>12518.637409006771</v>
      </c>
      <c r="L297" s="2">
        <v>3322.8320215100648</v>
      </c>
      <c r="M297" s="2">
        <v>8141.0711324714284</v>
      </c>
      <c r="N297" s="2"/>
      <c r="O297" s="2"/>
    </row>
    <row r="298" spans="1:15">
      <c r="A298" s="1">
        <v>2020</v>
      </c>
      <c r="B298" s="9" t="s">
        <v>35</v>
      </c>
      <c r="C298" s="1" t="s">
        <v>36</v>
      </c>
      <c r="D298" s="2">
        <v>174142.73435449944</v>
      </c>
      <c r="E298" s="2">
        <v>45942.307788423757</v>
      </c>
      <c r="F298" s="2">
        <v>105596.49217123065</v>
      </c>
      <c r="G298" s="2">
        <v>19042.810795061672</v>
      </c>
      <c r="H298" s="2">
        <v>3561.123599783351</v>
      </c>
      <c r="I298" s="2">
        <v>5464.7184534623957</v>
      </c>
      <c r="J298" s="2">
        <v>22632.798273292265</v>
      </c>
      <c r="K298" s="2">
        <v>10000.145740998712</v>
      </c>
      <c r="L298" s="2">
        <v>3090.2406570725843</v>
      </c>
      <c r="M298" s="2">
        <v>7549.2719094545009</v>
      </c>
      <c r="N298" s="2"/>
      <c r="O298" s="2"/>
    </row>
    <row r="299" spans="1:15">
      <c r="A299" s="1">
        <v>2020</v>
      </c>
      <c r="B299" s="9" t="s">
        <v>37</v>
      </c>
      <c r="C299" s="1" t="s">
        <v>38</v>
      </c>
      <c r="D299" s="2">
        <v>178606.3397000047</v>
      </c>
      <c r="E299" s="2">
        <v>47247.603953563121</v>
      </c>
      <c r="F299" s="2">
        <v>108095.66264758496</v>
      </c>
      <c r="G299" s="2">
        <v>18791.164117579126</v>
      </c>
      <c r="H299" s="2">
        <v>4471.9089812774982</v>
      </c>
      <c r="I299" s="2">
        <v>5701.0460496138685</v>
      </c>
      <c r="J299" s="2">
        <v>22676.552031207761</v>
      </c>
      <c r="K299" s="2">
        <v>10190.822063594474</v>
      </c>
      <c r="L299" s="2">
        <v>3456.1434207847306</v>
      </c>
      <c r="M299" s="2">
        <v>7122.9028358666537</v>
      </c>
      <c r="N299" s="2"/>
      <c r="O299" s="2"/>
    </row>
    <row r="300" spans="1:15">
      <c r="A300" s="1">
        <v>2020</v>
      </c>
      <c r="B300" s="9" t="s">
        <v>39</v>
      </c>
      <c r="C300" s="1" t="s">
        <v>40</v>
      </c>
      <c r="D300" s="2">
        <v>172839.12903544682</v>
      </c>
      <c r="E300" s="2">
        <v>46952.555264039154</v>
      </c>
      <c r="F300" s="2">
        <v>102837.0339281147</v>
      </c>
      <c r="G300" s="2">
        <v>18641.002850415174</v>
      </c>
      <c r="H300" s="2">
        <v>4408.5369928778173</v>
      </c>
      <c r="I300" s="2">
        <v>5860.1673438929665</v>
      </c>
      <c r="J300" s="2">
        <v>21108.590495381584</v>
      </c>
      <c r="K300" s="2">
        <v>9121.8302082833416</v>
      </c>
      <c r="L300" s="2">
        <v>2618.868525193609</v>
      </c>
      <c r="M300" s="2">
        <v>7400.6361749590651</v>
      </c>
      <c r="N300" s="2"/>
      <c r="O300" s="2"/>
    </row>
    <row r="301" spans="1:15">
      <c r="A301" s="1">
        <v>2020</v>
      </c>
      <c r="B301" s="9" t="s">
        <v>41</v>
      </c>
      <c r="C301" s="1" t="s">
        <v>42</v>
      </c>
      <c r="D301" s="2">
        <v>172250.86326253632</v>
      </c>
      <c r="E301" s="2">
        <v>45148.718666916386</v>
      </c>
      <c r="F301" s="2">
        <v>102977.26035905447</v>
      </c>
      <c r="G301" s="2">
        <v>19321.659100760367</v>
      </c>
      <c r="H301" s="2">
        <v>4803.2251358051089</v>
      </c>
      <c r="I301" s="2">
        <v>6330.9336167660531</v>
      </c>
      <c r="J301" s="2">
        <v>21109.670719541333</v>
      </c>
      <c r="K301" s="2">
        <v>9630.2811908087642</v>
      </c>
      <c r="L301" s="2">
        <v>2616.1583792219426</v>
      </c>
      <c r="M301" s="2">
        <v>6879.8737123982373</v>
      </c>
      <c r="N301" s="2"/>
      <c r="O301" s="2"/>
    </row>
    <row r="302" spans="1:15">
      <c r="A302" s="1">
        <v>2020</v>
      </c>
      <c r="B302" s="9" t="s">
        <v>43</v>
      </c>
      <c r="C302" s="1" t="s">
        <v>44</v>
      </c>
      <c r="D302" s="2">
        <v>176096.2851709199</v>
      </c>
      <c r="E302" s="2">
        <v>47668.477274631165</v>
      </c>
      <c r="F302" s="2">
        <v>104189.2034921625</v>
      </c>
      <c r="G302" s="2">
        <v>19861.978355793319</v>
      </c>
      <c r="H302" s="2">
        <v>4376.6260483329143</v>
      </c>
      <c r="I302" s="2">
        <v>6948.5953260752285</v>
      </c>
      <c r="J302" s="2">
        <v>21812.48614953622</v>
      </c>
      <c r="K302" s="2">
        <v>9493.9009037372653</v>
      </c>
      <c r="L302" s="2">
        <v>2782.5037535996807</v>
      </c>
      <c r="M302" s="2">
        <v>7567.2701004362389</v>
      </c>
      <c r="N302" s="2"/>
      <c r="O302" s="2"/>
    </row>
    <row r="303" spans="1:15">
      <c r="A303" s="1">
        <v>2020</v>
      </c>
      <c r="B303" s="9" t="s">
        <v>45</v>
      </c>
      <c r="C303" s="1" t="s">
        <v>46</v>
      </c>
      <c r="D303" s="2">
        <v>170452.42555604773</v>
      </c>
      <c r="E303" s="2">
        <v>42935.762396210812</v>
      </c>
      <c r="F303" s="2">
        <v>102001.18744681851</v>
      </c>
      <c r="G303" s="2">
        <v>20715.439052792379</v>
      </c>
      <c r="H303" s="2">
        <v>4800.0366602260392</v>
      </c>
      <c r="I303" s="2">
        <v>5148.0651542677742</v>
      </c>
      <c r="J303" s="2">
        <v>17405.883048810825</v>
      </c>
      <c r="K303" s="2">
        <v>7434.3039014789292</v>
      </c>
      <c r="L303" s="2">
        <v>2589.089119987927</v>
      </c>
      <c r="M303" s="2">
        <v>5695.1765027272668</v>
      </c>
      <c r="N303" s="2"/>
      <c r="O303" s="2"/>
    </row>
    <row r="304" spans="1:15">
      <c r="A304" s="1">
        <v>2020</v>
      </c>
      <c r="B304" s="9" t="s">
        <v>47</v>
      </c>
      <c r="C304" s="1" t="s">
        <v>48</v>
      </c>
      <c r="D304" s="2">
        <v>179204.60536641101</v>
      </c>
      <c r="E304" s="2">
        <v>45926.881641184576</v>
      </c>
      <c r="F304" s="2">
        <v>107949.72889581625</v>
      </c>
      <c r="G304" s="2">
        <v>20816.282330116916</v>
      </c>
      <c r="H304" s="2">
        <v>4511.7124992932595</v>
      </c>
      <c r="I304" s="2">
        <v>6407.8178323557941</v>
      </c>
      <c r="J304" s="2">
        <v>20821.951432492737</v>
      </c>
      <c r="K304" s="2">
        <v>8914.1278895065461</v>
      </c>
      <c r="L304" s="2">
        <v>3065.2788153607298</v>
      </c>
      <c r="M304" s="2">
        <v>6903.1839164031335</v>
      </c>
      <c r="N304" s="2"/>
      <c r="O304" s="2"/>
    </row>
    <row r="305" spans="1:15">
      <c r="A305" s="1">
        <v>2020</v>
      </c>
      <c r="B305" s="9" t="s">
        <v>49</v>
      </c>
      <c r="C305" s="1" t="s">
        <v>50</v>
      </c>
      <c r="D305" s="2">
        <v>169496.80148399557</v>
      </c>
      <c r="E305" s="2">
        <v>45542.483623141765</v>
      </c>
      <c r="F305" s="2">
        <v>101273.39541312343</v>
      </c>
      <c r="G305" s="2">
        <v>19076.990985792545</v>
      </c>
      <c r="H305" s="2">
        <v>3603.9314619378251</v>
      </c>
      <c r="I305" s="2">
        <v>4727.092187563575</v>
      </c>
      <c r="J305" s="2">
        <v>19939.760626740801</v>
      </c>
      <c r="K305" s="2">
        <v>8674.727173686555</v>
      </c>
      <c r="L305" s="2">
        <v>3469.4002261257906</v>
      </c>
      <c r="M305" s="2">
        <v>6030.6278277745132</v>
      </c>
      <c r="N305" s="2"/>
      <c r="O305" s="2"/>
    </row>
    <row r="306" spans="1:15">
      <c r="A306" s="1">
        <v>2020</v>
      </c>
      <c r="B306" s="9" t="s">
        <v>51</v>
      </c>
      <c r="C306" s="1" t="s">
        <v>52</v>
      </c>
      <c r="D306" s="2">
        <v>169711.22740488642</v>
      </c>
      <c r="E306" s="2">
        <v>49053.366119814971</v>
      </c>
      <c r="F306" s="2">
        <v>98028.844119417932</v>
      </c>
      <c r="G306" s="2">
        <v>18241.831165261945</v>
      </c>
      <c r="H306" s="2">
        <v>4387.1860003915617</v>
      </c>
      <c r="I306" s="2">
        <v>5878.4139661924091</v>
      </c>
      <c r="J306" s="2">
        <v>19987.631003383445</v>
      </c>
      <c r="K306" s="2">
        <v>8604.5722201082299</v>
      </c>
      <c r="L306" s="2">
        <v>2886.8084096019602</v>
      </c>
      <c r="M306" s="2">
        <v>6672.5977231322813</v>
      </c>
      <c r="N306" s="2"/>
      <c r="O306" s="2"/>
    </row>
    <row r="307" spans="1:15">
      <c r="A307" s="1">
        <v>2020</v>
      </c>
      <c r="B307" s="9" t="s">
        <v>53</v>
      </c>
      <c r="C307" s="1" t="s">
        <v>54</v>
      </c>
      <c r="D307" s="2">
        <v>177989.48959386049</v>
      </c>
      <c r="E307" s="2">
        <v>52104.651691366453</v>
      </c>
      <c r="F307" s="2">
        <v>103790.39226816779</v>
      </c>
      <c r="G307" s="2">
        <v>17666.289963980889</v>
      </c>
      <c r="H307" s="2">
        <v>4428.1556703453371</v>
      </c>
      <c r="I307" s="2">
        <v>6491.6818604693071</v>
      </c>
      <c r="J307" s="2">
        <v>20663.06063599974</v>
      </c>
      <c r="K307" s="2">
        <v>8262.5058549639507</v>
      </c>
      <c r="L307" s="2">
        <v>3103.6664305939421</v>
      </c>
      <c r="M307" s="2">
        <v>7232.5304959554524</v>
      </c>
      <c r="N307" s="2"/>
      <c r="O307" s="2"/>
    </row>
    <row r="308" spans="1:15">
      <c r="A308" s="1">
        <v>2020</v>
      </c>
      <c r="B308" s="9" t="s">
        <v>55</v>
      </c>
      <c r="C308" s="1" t="s">
        <v>56</v>
      </c>
      <c r="D308" s="2">
        <v>181135.96771392273</v>
      </c>
      <c r="E308" s="2">
        <v>55832.263135659297</v>
      </c>
      <c r="F308" s="2">
        <v>102831.40961481207</v>
      </c>
      <c r="G308" s="2">
        <v>17798.99876660476</v>
      </c>
      <c r="H308" s="2">
        <v>4673.2961968465934</v>
      </c>
      <c r="I308" s="2">
        <v>6299.8261338021175</v>
      </c>
      <c r="J308" s="2">
        <v>21740.189433063497</v>
      </c>
      <c r="K308" s="2">
        <v>9535.5718909508487</v>
      </c>
      <c r="L308" s="2">
        <v>3142.9746375377445</v>
      </c>
      <c r="M308" s="2">
        <v>7190.720232955754</v>
      </c>
      <c r="N308" s="2"/>
      <c r="O308" s="2"/>
    </row>
    <row r="309" spans="1:15">
      <c r="A309" s="1">
        <v>2020</v>
      </c>
      <c r="B309" s="9" t="s">
        <v>57</v>
      </c>
      <c r="C309" s="1" t="s">
        <v>58</v>
      </c>
      <c r="D309" s="2">
        <v>177920.46185129209</v>
      </c>
      <c r="E309" s="2">
        <v>47521.60040854886</v>
      </c>
      <c r="F309" s="2">
        <v>106158.62660983748</v>
      </c>
      <c r="G309" s="2">
        <v>19854.154072540456</v>
      </c>
      <c r="H309" s="2">
        <v>4386.080760365292</v>
      </c>
      <c r="I309" s="2">
        <v>5344.8618564557528</v>
      </c>
      <c r="J309" s="2">
        <v>21354.006949937302</v>
      </c>
      <c r="K309" s="2">
        <v>9415.2402370610052</v>
      </c>
      <c r="L309" s="2">
        <v>3029.6299838535006</v>
      </c>
      <c r="M309" s="2">
        <v>7026.3378824099236</v>
      </c>
      <c r="N309" s="2"/>
      <c r="O309" s="2"/>
    </row>
    <row r="310" spans="1:15">
      <c r="A310" s="1">
        <v>2020</v>
      </c>
      <c r="B310" s="9" t="s">
        <v>59</v>
      </c>
      <c r="C310" s="1" t="s">
        <v>60</v>
      </c>
      <c r="D310" s="2">
        <v>170560.87995150845</v>
      </c>
      <c r="E310" s="2">
        <v>48570.126532798778</v>
      </c>
      <c r="F310" s="2">
        <v>99189.917224562043</v>
      </c>
      <c r="G310" s="2">
        <v>18576.480970459477</v>
      </c>
      <c r="H310" s="2">
        <v>4224.3552236881587</v>
      </c>
      <c r="I310" s="2">
        <v>5802.8286029948631</v>
      </c>
      <c r="J310" s="2">
        <v>19456.047192126309</v>
      </c>
      <c r="K310" s="2">
        <v>8278.8315312747163</v>
      </c>
      <c r="L310" s="2">
        <v>3200.5256335500781</v>
      </c>
      <c r="M310" s="2">
        <v>6133.9147818056072</v>
      </c>
      <c r="N310" s="2"/>
      <c r="O310" s="2"/>
    </row>
    <row r="311" spans="1:15">
      <c r="A311" s="1">
        <v>2020</v>
      </c>
      <c r="B311" s="9" t="s">
        <v>61</v>
      </c>
      <c r="C311" s="1" t="s">
        <v>62</v>
      </c>
      <c r="D311" s="2">
        <v>175296.53302120644</v>
      </c>
      <c r="E311" s="2">
        <v>45834.353308520025</v>
      </c>
      <c r="F311" s="2">
        <v>103167.96744384714</v>
      </c>
      <c r="G311" s="2">
        <v>21595.613098704751</v>
      </c>
      <c r="H311" s="2">
        <v>4698.599170134532</v>
      </c>
      <c r="I311" s="2">
        <v>5345.701218212972</v>
      </c>
      <c r="J311" s="2">
        <v>20931.481320679362</v>
      </c>
      <c r="K311" s="2">
        <v>9237.1171167230859</v>
      </c>
      <c r="L311" s="2">
        <v>3247.9313309365712</v>
      </c>
      <c r="M311" s="2">
        <v>6618.4995164080692</v>
      </c>
      <c r="N311" s="2"/>
      <c r="O311" s="2"/>
    </row>
    <row r="312" spans="1:15">
      <c r="A312" s="1">
        <v>2020</v>
      </c>
      <c r="B312" s="9" t="s">
        <v>63</v>
      </c>
      <c r="C312" s="1" t="s">
        <v>64</v>
      </c>
      <c r="D312" s="2">
        <v>173048.36501810016</v>
      </c>
      <c r="E312" s="2">
        <v>44638.675023824391</v>
      </c>
      <c r="F312" s="2">
        <v>105875.61558829511</v>
      </c>
      <c r="G312" s="2">
        <v>18872.825783269538</v>
      </c>
      <c r="H312" s="2">
        <v>3661.2486227111317</v>
      </c>
      <c r="I312" s="2">
        <v>5676.5564735199778</v>
      </c>
      <c r="J312" s="2">
        <v>20685.418269531507</v>
      </c>
      <c r="K312" s="2">
        <v>8701.5121683794459</v>
      </c>
      <c r="L312" s="2">
        <v>3357.3018205703693</v>
      </c>
      <c r="M312" s="2">
        <v>6755.0479133821764</v>
      </c>
      <c r="N312" s="2"/>
      <c r="O312" s="2"/>
    </row>
    <row r="313" spans="1:15">
      <c r="A313" s="1">
        <v>2020</v>
      </c>
      <c r="B313" s="9" t="s">
        <v>65</v>
      </c>
      <c r="C313" s="1" t="s">
        <v>66</v>
      </c>
      <c r="D313" s="2">
        <v>170836.11075319292</v>
      </c>
      <c r="E313" s="2">
        <v>42426.606560380867</v>
      </c>
      <c r="F313" s="2">
        <v>102212.74761122701</v>
      </c>
      <c r="G313" s="2">
        <v>21959.493313286846</v>
      </c>
      <c r="H313" s="2">
        <v>4237.2632682982203</v>
      </c>
      <c r="I313" s="2">
        <v>5425.7899320942815</v>
      </c>
      <c r="J313" s="2">
        <v>19366.817675651193</v>
      </c>
      <c r="K313" s="2">
        <v>8099.4221244625305</v>
      </c>
      <c r="L313" s="2">
        <v>3050.1022823117</v>
      </c>
      <c r="M313" s="2">
        <v>6462.4791565665419</v>
      </c>
      <c r="N313" s="2"/>
      <c r="O313" s="2"/>
    </row>
    <row r="314" spans="1:15">
      <c r="A314" s="1">
        <v>2020</v>
      </c>
      <c r="B314" s="9" t="s">
        <v>67</v>
      </c>
      <c r="C314" s="1" t="s">
        <v>68</v>
      </c>
      <c r="D314" s="2">
        <v>174292.31664723856</v>
      </c>
      <c r="E314" s="2">
        <v>46323.364260856601</v>
      </c>
      <c r="F314" s="2">
        <v>104045.87874172915</v>
      </c>
      <c r="G314" s="2">
        <v>19960.592863577152</v>
      </c>
      <c r="H314" s="2">
        <v>3962.4807810756629</v>
      </c>
      <c r="I314" s="2">
        <v>5816.3040237967161</v>
      </c>
      <c r="J314" s="2">
        <v>21043.827109787642</v>
      </c>
      <c r="K314" s="2">
        <v>8740.7435191533805</v>
      </c>
      <c r="L314" s="2">
        <v>3299.7825050062534</v>
      </c>
      <c r="M314" s="2">
        <v>7150.4557342181533</v>
      </c>
      <c r="N314" s="2"/>
      <c r="O314" s="2"/>
    </row>
    <row r="315" spans="1:15">
      <c r="A315" s="1">
        <v>2020</v>
      </c>
      <c r="B315" s="9" t="s">
        <v>69</v>
      </c>
      <c r="C315" s="1" t="s">
        <v>70</v>
      </c>
      <c r="D315" s="2">
        <v>171105.42465278597</v>
      </c>
      <c r="E315" s="2">
        <v>48060.511264948094</v>
      </c>
      <c r="F315" s="2">
        <v>99821.390067993503</v>
      </c>
      <c r="G315" s="2">
        <v>18701.745045756008</v>
      </c>
      <c r="H315" s="2">
        <v>4521.7782740883822</v>
      </c>
      <c r="I315" s="2">
        <v>5997.8879019312981</v>
      </c>
      <c r="J315" s="2">
        <v>19687.042673048505</v>
      </c>
      <c r="K315" s="2">
        <v>8555.5667878403474</v>
      </c>
      <c r="L315" s="2">
        <v>2917.2895325327372</v>
      </c>
      <c r="M315" s="2">
        <v>6405.8665256334289</v>
      </c>
      <c r="N315" s="2"/>
      <c r="O315" s="2"/>
    </row>
    <row r="316" spans="1:15">
      <c r="A316" s="1">
        <v>2020</v>
      </c>
      <c r="B316" s="9" t="s">
        <v>71</v>
      </c>
      <c r="C316" s="1" t="s">
        <v>72</v>
      </c>
      <c r="D316" s="2">
        <v>176860.22962917085</v>
      </c>
      <c r="E316" s="2">
        <v>47953.696514170064</v>
      </c>
      <c r="F316" s="2">
        <v>102719.02028864261</v>
      </c>
      <c r="G316" s="2">
        <v>20369.944520071571</v>
      </c>
      <c r="H316" s="2">
        <v>5817.5683062865892</v>
      </c>
      <c r="I316" s="2">
        <v>5704.9759930087839</v>
      </c>
      <c r="J316" s="2">
        <v>17440.623550597305</v>
      </c>
      <c r="K316" s="2">
        <v>7204.5949659612324</v>
      </c>
      <c r="L316" s="2">
        <v>2915.379991283482</v>
      </c>
      <c r="M316" s="2">
        <v>5406.831661985766</v>
      </c>
      <c r="N316" s="2"/>
      <c r="O316" s="2"/>
    </row>
    <row r="317" spans="1:15">
      <c r="A317" s="1">
        <v>2020</v>
      </c>
      <c r="B317" s="9" t="s">
        <v>73</v>
      </c>
      <c r="C317" s="1" t="s">
        <v>74</v>
      </c>
      <c r="D317" s="2">
        <v>182938.22487882388</v>
      </c>
      <c r="E317" s="2">
        <v>48217.717955893262</v>
      </c>
      <c r="F317" s="2">
        <v>103821.40675009541</v>
      </c>
      <c r="G317" s="2">
        <v>23308.634719282723</v>
      </c>
      <c r="H317" s="2">
        <v>7590.4654535524614</v>
      </c>
      <c r="I317" s="2">
        <v>5943.8607346147128</v>
      </c>
      <c r="J317" s="2">
        <v>18718.195583777902</v>
      </c>
      <c r="K317" s="2">
        <v>8114.3007226433374</v>
      </c>
      <c r="L317" s="2">
        <v>2907.6407852141892</v>
      </c>
      <c r="M317" s="2">
        <v>6012.319538624748</v>
      </c>
      <c r="N317" s="2"/>
      <c r="O317" s="2"/>
    </row>
    <row r="318" spans="1:15">
      <c r="A318" s="1">
        <v>2020</v>
      </c>
      <c r="B318" s="9" t="s">
        <v>75</v>
      </c>
      <c r="C318" s="1" t="s">
        <v>76</v>
      </c>
      <c r="D318" s="2">
        <v>184056.00019816781</v>
      </c>
      <c r="E318" s="2">
        <v>49006.376457590675</v>
      </c>
      <c r="F318" s="2">
        <v>107666.82253030463</v>
      </c>
      <c r="G318" s="2">
        <v>22249.465994460854</v>
      </c>
      <c r="H318" s="2">
        <v>5133.3352158116404</v>
      </c>
      <c r="I318" s="2">
        <v>5908.8768037666596</v>
      </c>
      <c r="J318" s="2">
        <v>20049.448905795085</v>
      </c>
      <c r="K318" s="2">
        <v>8388.7879643317465</v>
      </c>
      <c r="L318" s="2">
        <v>3163.6597154969822</v>
      </c>
      <c r="M318" s="2">
        <v>6730.2931631110296</v>
      </c>
      <c r="N318" s="2"/>
      <c r="O318" s="2"/>
    </row>
    <row r="319" spans="1:15">
      <c r="A319" s="1">
        <v>2020</v>
      </c>
      <c r="B319" s="9" t="s">
        <v>77</v>
      </c>
      <c r="C319" s="1" t="s">
        <v>78</v>
      </c>
      <c r="D319" s="2">
        <v>181182.18992287203</v>
      </c>
      <c r="E319" s="2">
        <v>49805.508425370019</v>
      </c>
      <c r="F319" s="2">
        <v>105986.83220352208</v>
      </c>
      <c r="G319" s="2">
        <v>19835.874147427432</v>
      </c>
      <c r="H319" s="2">
        <v>5553.9751465525287</v>
      </c>
      <c r="I319" s="2">
        <v>6114.2488671203419</v>
      </c>
      <c r="J319" s="2">
        <v>20768.258296819498</v>
      </c>
      <c r="K319" s="2">
        <v>8560.4421422220748</v>
      </c>
      <c r="L319" s="2">
        <v>3477.8985704048746</v>
      </c>
      <c r="M319" s="2">
        <v>6715.6400390659728</v>
      </c>
      <c r="N319" s="2"/>
      <c r="O319" s="2"/>
    </row>
    <row r="320" spans="1:15">
      <c r="A320" s="1">
        <v>2020</v>
      </c>
      <c r="B320" s="9" t="s">
        <v>79</v>
      </c>
      <c r="C320" s="1" t="s">
        <v>80</v>
      </c>
      <c r="D320" s="2">
        <v>185646.29576305259</v>
      </c>
      <c r="E320" s="2">
        <v>49755.416612936533</v>
      </c>
      <c r="F320" s="2">
        <v>108723.72994180289</v>
      </c>
      <c r="G320" s="2">
        <v>20765.069056920231</v>
      </c>
      <c r="H320" s="2">
        <v>6402.0801513929391</v>
      </c>
      <c r="I320" s="2">
        <v>5860.2139934343886</v>
      </c>
      <c r="J320" s="2">
        <v>21209.998776554276</v>
      </c>
      <c r="K320" s="2">
        <v>9587.2318031833511</v>
      </c>
      <c r="L320" s="2">
        <v>2924.712021138067</v>
      </c>
      <c r="M320" s="2">
        <v>6778.529990349648</v>
      </c>
      <c r="N320" s="2"/>
      <c r="O320" s="2"/>
    </row>
    <row r="321" spans="1:15">
      <c r="A321" s="1">
        <v>2020</v>
      </c>
      <c r="B321" s="9" t="s">
        <v>81</v>
      </c>
      <c r="C321" s="1" t="s">
        <v>82</v>
      </c>
      <c r="D321" s="2">
        <v>182258.88927513617</v>
      </c>
      <c r="E321" s="2">
        <v>56601.133094901277</v>
      </c>
      <c r="F321" s="2">
        <v>102979.34249402971</v>
      </c>
      <c r="G321" s="2">
        <v>19384.814867872068</v>
      </c>
      <c r="H321" s="2">
        <v>3293.5988183331137</v>
      </c>
      <c r="I321" s="2">
        <v>5933.8384576690851</v>
      </c>
      <c r="J321" s="2">
        <v>19421.257127973549</v>
      </c>
      <c r="K321" s="2">
        <v>8683.9657164112778</v>
      </c>
      <c r="L321" s="2">
        <v>3120.7409659265709</v>
      </c>
      <c r="M321" s="2">
        <v>5923.569673981875</v>
      </c>
      <c r="N321" s="2"/>
      <c r="O321" s="2"/>
    </row>
    <row r="322" spans="1:15">
      <c r="A322" s="1">
        <v>2020</v>
      </c>
      <c r="B322" s="9" t="s">
        <v>83</v>
      </c>
      <c r="C322" s="1" t="s">
        <v>84</v>
      </c>
      <c r="D322" s="2">
        <v>193728.08019212785</v>
      </c>
      <c r="E322" s="2">
        <v>59008.712283905312</v>
      </c>
      <c r="F322" s="2">
        <v>112417.79988034496</v>
      </c>
      <c r="G322" s="2">
        <v>18930.400925766397</v>
      </c>
      <c r="H322" s="2">
        <v>3371.1671021111915</v>
      </c>
      <c r="I322" s="2">
        <v>5921.5607113641081</v>
      </c>
      <c r="J322" s="2">
        <v>22650.060304509854</v>
      </c>
      <c r="K322" s="2">
        <v>10305.190915306755</v>
      </c>
      <c r="L322" s="2">
        <v>4066.3052288707781</v>
      </c>
      <c r="M322" s="2">
        <v>6424.7772195534217</v>
      </c>
      <c r="N322" s="2"/>
      <c r="O322" s="2"/>
    </row>
    <row r="323" spans="1:15">
      <c r="A323" s="1">
        <v>2020</v>
      </c>
      <c r="B323" s="9" t="s">
        <v>85</v>
      </c>
      <c r="C323" s="1" t="s">
        <v>86</v>
      </c>
      <c r="D323" s="2">
        <v>184030.72480536797</v>
      </c>
      <c r="E323" s="2">
        <v>50894.708669496322</v>
      </c>
      <c r="F323" s="2">
        <v>106829.89420934257</v>
      </c>
      <c r="G323" s="2">
        <v>22500.335382864556</v>
      </c>
      <c r="H323" s="2">
        <v>3805.7865436645116</v>
      </c>
      <c r="I323" s="2">
        <v>5480.7661508614456</v>
      </c>
      <c r="J323" s="2">
        <v>20640.480997160445</v>
      </c>
      <c r="K323" s="2">
        <v>8842.2469009165907</v>
      </c>
      <c r="L323" s="2">
        <v>3368.8425594964428</v>
      </c>
      <c r="M323" s="2">
        <v>6829.3747489364596</v>
      </c>
      <c r="N323" s="2"/>
      <c r="O323" s="2"/>
    </row>
    <row r="324" spans="1:15">
      <c r="A324" s="1">
        <v>2020</v>
      </c>
      <c r="B324" s="9" t="s">
        <v>87</v>
      </c>
      <c r="C324" s="1" t="s">
        <v>88</v>
      </c>
      <c r="D324" s="2">
        <v>180342.75194049408</v>
      </c>
      <c r="E324" s="2">
        <v>49001.011043388971</v>
      </c>
      <c r="F324" s="2">
        <v>106828.70794794448</v>
      </c>
      <c r="G324" s="2">
        <v>20573.282325755405</v>
      </c>
      <c r="H324" s="2">
        <v>3939.7506234052162</v>
      </c>
      <c r="I324" s="2">
        <v>5829.4535441071639</v>
      </c>
      <c r="J324" s="2">
        <v>20117.363338581425</v>
      </c>
      <c r="K324" s="2">
        <v>8441.3823152653185</v>
      </c>
      <c r="L324" s="2">
        <v>3079.3336894325976</v>
      </c>
      <c r="M324" s="2">
        <v>6789.3211096456471</v>
      </c>
      <c r="N324" s="2"/>
      <c r="O324" s="2"/>
    </row>
    <row r="325" spans="1:15">
      <c r="A325" s="1">
        <v>2020</v>
      </c>
      <c r="B325" s="9" t="s">
        <v>89</v>
      </c>
      <c r="C325" s="1" t="s">
        <v>90</v>
      </c>
      <c r="D325" s="2">
        <v>192505.99990229559</v>
      </c>
      <c r="E325" s="2">
        <v>55300.876936757995</v>
      </c>
      <c r="F325" s="2">
        <v>111702.03908892047</v>
      </c>
      <c r="G325" s="2">
        <v>21196.767236165128</v>
      </c>
      <c r="H325" s="2">
        <v>4306.3166404519634</v>
      </c>
      <c r="I325" s="2">
        <v>7132.0857357482282</v>
      </c>
      <c r="J325" s="2">
        <v>22601.701627888724</v>
      </c>
      <c r="K325" s="2">
        <v>9914.2503201547916</v>
      </c>
      <c r="L325" s="2">
        <v>3272.3377520654703</v>
      </c>
      <c r="M325" s="2">
        <v>7119.7547829668574</v>
      </c>
      <c r="N325" s="2"/>
      <c r="O325" s="2"/>
    </row>
    <row r="326" spans="1:15">
      <c r="A326" s="1">
        <v>2020</v>
      </c>
      <c r="B326" s="9" t="s">
        <v>91</v>
      </c>
      <c r="C326" s="1" t="s">
        <v>92</v>
      </c>
      <c r="D326" s="2">
        <v>195294.90358463195</v>
      </c>
      <c r="E326" s="2">
        <v>55683.339250083249</v>
      </c>
      <c r="F326" s="2">
        <v>111116.83803961135</v>
      </c>
      <c r="G326" s="2">
        <v>22703.445200798138</v>
      </c>
      <c r="H326" s="2">
        <v>5791.2810941391826</v>
      </c>
      <c r="I326" s="2">
        <v>7214.3756743968297</v>
      </c>
      <c r="J326" s="2">
        <v>23577.65116953868</v>
      </c>
      <c r="K326" s="2">
        <v>10707.056063875871</v>
      </c>
      <c r="L326" s="2">
        <v>2613.3105521354119</v>
      </c>
      <c r="M326" s="2">
        <v>8345.208621388927</v>
      </c>
      <c r="N326" s="2"/>
      <c r="O326" s="2"/>
    </row>
    <row r="327" spans="1:15">
      <c r="A327" s="1">
        <v>2020</v>
      </c>
      <c r="B327" s="9" t="s">
        <v>93</v>
      </c>
      <c r="C327" s="1" t="s">
        <v>94</v>
      </c>
      <c r="D327" s="2">
        <v>192253.58157314124</v>
      </c>
      <c r="E327" s="2">
        <v>53521.643814236813</v>
      </c>
      <c r="F327" s="2">
        <v>111912.34583857925</v>
      </c>
      <c r="G327" s="2">
        <v>22303.094641659729</v>
      </c>
      <c r="H327" s="2">
        <v>4516.4972786654589</v>
      </c>
      <c r="I327" s="2">
        <v>6448.4630626001435</v>
      </c>
      <c r="J327" s="2">
        <v>21125.727846504338</v>
      </c>
      <c r="K327" s="2">
        <v>8997.1860212167412</v>
      </c>
      <c r="L327" s="2">
        <v>2646.8322722974544</v>
      </c>
      <c r="M327" s="2">
        <v>7484.2443995040721</v>
      </c>
      <c r="N327" s="2"/>
      <c r="O327" s="2"/>
    </row>
    <row r="328" spans="1:15">
      <c r="A328" s="1">
        <v>2020</v>
      </c>
      <c r="B328" s="9" t="s">
        <v>95</v>
      </c>
      <c r="C328" s="1" t="s">
        <v>96</v>
      </c>
      <c r="D328" s="2">
        <v>183392.76574427134</v>
      </c>
      <c r="E328" s="2">
        <v>52279.651454118692</v>
      </c>
      <c r="F328" s="2">
        <v>107272.78941705768</v>
      </c>
      <c r="G328" s="2">
        <v>19198.781332473238</v>
      </c>
      <c r="H328" s="2">
        <v>4641.5435406217366</v>
      </c>
      <c r="I328" s="2">
        <v>6172.3344484754889</v>
      </c>
      <c r="J328" s="2">
        <v>20816.584561504285</v>
      </c>
      <c r="K328" s="2">
        <v>8586.4113129562902</v>
      </c>
      <c r="L328" s="2">
        <v>2915.2122695457892</v>
      </c>
      <c r="M328" s="2">
        <v>6908.5406491681169</v>
      </c>
      <c r="N328" s="2"/>
      <c r="O328" s="2"/>
    </row>
    <row r="329" spans="1:15">
      <c r="A329" s="1">
        <v>2020</v>
      </c>
      <c r="B329" s="9" t="s">
        <v>97</v>
      </c>
      <c r="C329" s="1" t="s">
        <v>98</v>
      </c>
      <c r="D329" s="2">
        <v>191287.67498242331</v>
      </c>
      <c r="E329" s="2">
        <v>59008.749844851678</v>
      </c>
      <c r="F329" s="2">
        <v>108489.88240758165</v>
      </c>
      <c r="G329" s="2">
        <v>19158.404194409857</v>
      </c>
      <c r="H329" s="2">
        <v>4630.6385355801294</v>
      </c>
      <c r="I329" s="2">
        <v>7811.7129575874533</v>
      </c>
      <c r="J329" s="2">
        <v>21975.638896785327</v>
      </c>
      <c r="K329" s="2">
        <v>10356.438697394713</v>
      </c>
      <c r="L329" s="2">
        <v>2599.9249714727275</v>
      </c>
      <c r="M329" s="2">
        <v>6501.2486481075921</v>
      </c>
      <c r="N329" s="2"/>
      <c r="O329" s="2"/>
    </row>
    <row r="330" spans="1:15">
      <c r="A330" s="1">
        <v>2020</v>
      </c>
      <c r="B330" s="9" t="s">
        <v>99</v>
      </c>
      <c r="C330" s="1" t="s">
        <v>100</v>
      </c>
      <c r="D330" s="2">
        <v>187248.78203292005</v>
      </c>
      <c r="E330" s="2">
        <v>54698.54821805247</v>
      </c>
      <c r="F330" s="2">
        <v>104629.13366134132</v>
      </c>
      <c r="G330" s="2">
        <v>21799.622638954632</v>
      </c>
      <c r="H330" s="2">
        <v>6121.4775145716058</v>
      </c>
      <c r="I330" s="2">
        <v>6441.5759339166525</v>
      </c>
      <c r="J330" s="2">
        <v>20824.413808780246</v>
      </c>
      <c r="K330" s="2">
        <v>9510.0127841436533</v>
      </c>
      <c r="L330" s="2">
        <v>2819.5357094264405</v>
      </c>
      <c r="M330" s="2">
        <v>6605.7740961977506</v>
      </c>
      <c r="N330" s="2"/>
      <c r="O330" s="2"/>
    </row>
    <row r="331" spans="1:15">
      <c r="A331" s="1">
        <v>2020</v>
      </c>
      <c r="B331" s="9" t="s">
        <v>101</v>
      </c>
      <c r="C331" s="1" t="s">
        <v>102</v>
      </c>
      <c r="D331" s="2">
        <v>210045.96519033753</v>
      </c>
      <c r="E331" s="2">
        <v>64854.414540184189</v>
      </c>
      <c r="F331" s="2">
        <v>117894.4920427727</v>
      </c>
      <c r="G331" s="2">
        <v>21058.872606112429</v>
      </c>
      <c r="H331" s="2">
        <v>6238.1860012682046</v>
      </c>
      <c r="I331" s="2">
        <v>7108.4517173843269</v>
      </c>
      <c r="J331" s="2">
        <v>25982.991906457079</v>
      </c>
      <c r="K331" s="2">
        <v>11988.364252639842</v>
      </c>
      <c r="L331" s="2">
        <v>4267.9455847680274</v>
      </c>
      <c r="M331" s="2">
        <v>7864.5054343671936</v>
      </c>
      <c r="N331" s="2"/>
      <c r="O331" s="2"/>
    </row>
    <row r="332" spans="1:15">
      <c r="A332" s="1">
        <v>2020</v>
      </c>
      <c r="B332" s="9" t="s">
        <v>103</v>
      </c>
      <c r="C332" s="1" t="s">
        <v>104</v>
      </c>
      <c r="D332" s="2">
        <v>195730.18160843127</v>
      </c>
      <c r="E332" s="2">
        <v>60564.243681918066</v>
      </c>
      <c r="F332" s="2">
        <v>108377.83401273428</v>
      </c>
      <c r="G332" s="2">
        <v>20993.877867725721</v>
      </c>
      <c r="H332" s="2">
        <v>5794.2260460532279</v>
      </c>
      <c r="I332" s="2">
        <v>6324.2904456812976</v>
      </c>
      <c r="J332" s="2">
        <v>22927.12015377649</v>
      </c>
      <c r="K332" s="2">
        <v>11234.806915269066</v>
      </c>
      <c r="L332" s="2">
        <v>2601.2258390782599</v>
      </c>
      <c r="M332" s="2">
        <v>6959.389170410479</v>
      </c>
      <c r="N332" s="2"/>
      <c r="O332" s="2"/>
    </row>
    <row r="333" spans="1:15">
      <c r="A333" s="1">
        <v>2020</v>
      </c>
      <c r="B333" s="9" t="s">
        <v>105</v>
      </c>
      <c r="C333" s="1" t="s">
        <v>106</v>
      </c>
      <c r="D333" s="2">
        <v>193039.57843833609</v>
      </c>
      <c r="E333" s="2">
        <v>59180.942671463177</v>
      </c>
      <c r="F333" s="2">
        <v>108872.42124797442</v>
      </c>
      <c r="G333" s="2">
        <v>19705.793684446973</v>
      </c>
      <c r="H333" s="2">
        <v>5280.4208344515173</v>
      </c>
      <c r="I333" s="2">
        <v>6419.3404133569784</v>
      </c>
      <c r="J333" s="2">
        <v>23559.603727996695</v>
      </c>
      <c r="K333" s="2">
        <v>11304.86102231979</v>
      </c>
      <c r="L333" s="2">
        <v>2947.6882886349322</v>
      </c>
      <c r="M333" s="2">
        <v>7642.4670619271128</v>
      </c>
      <c r="N333" s="2"/>
      <c r="O333" s="2"/>
    </row>
    <row r="334" spans="1:15">
      <c r="A334" s="1">
        <v>2020</v>
      </c>
      <c r="B334" s="9" t="s">
        <v>107</v>
      </c>
      <c r="C334" s="1" t="s">
        <v>108</v>
      </c>
      <c r="D334" s="2">
        <v>196396.94376934692</v>
      </c>
      <c r="E334" s="2">
        <v>61810.49337633713</v>
      </c>
      <c r="F334" s="2">
        <v>111009.84802108223</v>
      </c>
      <c r="G334" s="2">
        <v>18355.405860806157</v>
      </c>
      <c r="H334" s="2">
        <v>5221.1965111214231</v>
      </c>
      <c r="I334" s="2">
        <v>7247.7521298045285</v>
      </c>
      <c r="J334" s="2">
        <v>23913.469014089624</v>
      </c>
      <c r="K334" s="2">
        <v>10449.239555948006</v>
      </c>
      <c r="L334" s="2">
        <v>3204.9578722064871</v>
      </c>
      <c r="M334" s="2">
        <v>8127.0059829986421</v>
      </c>
      <c r="N334" s="2"/>
      <c r="O334" s="2"/>
    </row>
    <row r="335" spans="1:15">
      <c r="A335" s="1">
        <v>2020</v>
      </c>
      <c r="B335" s="9" t="s">
        <v>109</v>
      </c>
      <c r="C335" s="1" t="s">
        <v>110</v>
      </c>
      <c r="D335" s="2">
        <v>182343.1636382693</v>
      </c>
      <c r="E335" s="2">
        <v>53745.815413169214</v>
      </c>
      <c r="F335" s="2">
        <v>104556.46036654124</v>
      </c>
      <c r="G335" s="2">
        <v>19218.505120017551</v>
      </c>
      <c r="H335" s="2">
        <v>4822.3827385412787</v>
      </c>
      <c r="I335" s="2">
        <v>6245.5019145377937</v>
      </c>
      <c r="J335" s="2">
        <v>21439.019183828903</v>
      </c>
      <c r="K335" s="2">
        <v>10729.106994502254</v>
      </c>
      <c r="L335" s="2">
        <v>2220.8210933138444</v>
      </c>
      <c r="M335" s="2">
        <v>6601.6844600165405</v>
      </c>
      <c r="N335" s="2"/>
      <c r="O335" s="2"/>
    </row>
    <row r="336" spans="1:15">
      <c r="A336" s="1">
        <v>2020</v>
      </c>
      <c r="B336" s="9" t="s">
        <v>111</v>
      </c>
      <c r="C336" s="1" t="s">
        <v>112</v>
      </c>
      <c r="D336" s="2">
        <v>192076.77866897776</v>
      </c>
      <c r="E336" s="2">
        <v>59591.635566128309</v>
      </c>
      <c r="F336" s="2">
        <v>107794.80695702448</v>
      </c>
      <c r="G336" s="2">
        <v>19220.889145132885</v>
      </c>
      <c r="H336" s="2">
        <v>5469.4470006920583</v>
      </c>
      <c r="I336" s="2">
        <v>7314.4900165778017</v>
      </c>
      <c r="J336" s="2">
        <v>22918.892797578814</v>
      </c>
      <c r="K336" s="2">
        <v>10880.873417780804</v>
      </c>
      <c r="L336" s="2">
        <v>2274.5530417804212</v>
      </c>
      <c r="M336" s="2">
        <v>7360.748379485517</v>
      </c>
      <c r="N336" s="2"/>
      <c r="O336" s="2"/>
    </row>
    <row r="337" spans="1:15">
      <c r="A337" s="1">
        <v>2020</v>
      </c>
      <c r="B337" s="9" t="s">
        <v>113</v>
      </c>
      <c r="C337" s="1" t="s">
        <v>114</v>
      </c>
      <c r="D337" s="2">
        <v>169757.52900286624</v>
      </c>
      <c r="E337" s="2">
        <v>54478.2043806027</v>
      </c>
      <c r="F337" s="2">
        <v>93338.144650351955</v>
      </c>
      <c r="G337" s="2">
        <v>17416.326444759361</v>
      </c>
      <c r="H337" s="2">
        <v>4524.8535271522305</v>
      </c>
      <c r="I337" s="2">
        <v>6662.3389450598961</v>
      </c>
      <c r="J337" s="2">
        <v>18064.71108575289</v>
      </c>
      <c r="K337" s="2">
        <v>9047.0155647624451</v>
      </c>
      <c r="L337" s="2">
        <v>1901.1434783275024</v>
      </c>
      <c r="M337" s="2">
        <v>5410.2760106738915</v>
      </c>
      <c r="N337" s="2"/>
      <c r="O337" s="2"/>
    </row>
    <row r="338" spans="1:15" hidden="1">
      <c r="A338" s="1">
        <v>2021</v>
      </c>
      <c r="B338" s="9" t="s">
        <v>205</v>
      </c>
      <c r="C338" s="1" t="s">
        <v>206</v>
      </c>
      <c r="D338" s="2">
        <v>194415.20470423438</v>
      </c>
      <c r="E338" s="2">
        <v>52263.338775331729</v>
      </c>
      <c r="F338" s="2">
        <v>115594.19715695019</v>
      </c>
      <c r="G338" s="2">
        <v>21527.09375629896</v>
      </c>
      <c r="H338" s="2">
        <v>5030.5750156535014</v>
      </c>
      <c r="I338" s="2">
        <v>6075.0416423632087</v>
      </c>
      <c r="J338" s="2">
        <v>21618.862638133181</v>
      </c>
      <c r="K338" s="2">
        <v>9417.9202361271964</v>
      </c>
      <c r="L338" s="2">
        <v>3199.5361213256538</v>
      </c>
      <c r="M338" s="2">
        <v>7034.573626836107</v>
      </c>
      <c r="N338" s="2">
        <v>27.5</v>
      </c>
      <c r="O338" s="2">
        <v>1195.2</v>
      </c>
    </row>
    <row r="339" spans="1:15">
      <c r="A339" s="1">
        <v>2021</v>
      </c>
      <c r="B339" s="9" t="s">
        <v>207</v>
      </c>
      <c r="C339" s="1" t="s">
        <v>22</v>
      </c>
      <c r="D339" s="2">
        <v>214201.03379849542</v>
      </c>
      <c r="E339" s="2">
        <v>65002.901529937059</v>
      </c>
      <c r="F339" s="2">
        <v>122908.10703956946</v>
      </c>
      <c r="G339" s="2">
        <v>22023.9990529229</v>
      </c>
      <c r="H339" s="2">
        <v>4266.0261760659841</v>
      </c>
      <c r="I339" s="2">
        <v>7780.7680184468236</v>
      </c>
      <c r="J339" s="2">
        <v>25021.381550028418</v>
      </c>
      <c r="K339" s="2">
        <v>10450.109761659671</v>
      </c>
      <c r="L339" s="2">
        <v>3205.903894972781</v>
      </c>
      <c r="M339" s="2">
        <v>8528.3611446867853</v>
      </c>
      <c r="N339" s="2">
        <v>31.2</v>
      </c>
      <c r="O339" s="2">
        <v>1757.9</v>
      </c>
    </row>
    <row r="340" spans="1:15">
      <c r="A340" s="1">
        <v>2021</v>
      </c>
      <c r="B340" s="9" t="s">
        <v>23</v>
      </c>
      <c r="C340" s="1" t="s">
        <v>24</v>
      </c>
      <c r="D340" s="2">
        <v>197551.19607369578</v>
      </c>
      <c r="E340" s="2">
        <v>54303.058152079982</v>
      </c>
      <c r="F340" s="2">
        <v>120740.78849490749</v>
      </c>
      <c r="G340" s="2">
        <v>19072.785067165321</v>
      </c>
      <c r="H340" s="2">
        <v>3434.564359542992</v>
      </c>
      <c r="I340" s="2">
        <v>6661.4409993596782</v>
      </c>
      <c r="J340" s="2">
        <v>27996.638339623634</v>
      </c>
      <c r="K340" s="2">
        <v>13111.604920203356</v>
      </c>
      <c r="L340" s="2">
        <v>3608.4827016273016</v>
      </c>
      <c r="M340" s="2">
        <v>8988.4756542746709</v>
      </c>
      <c r="N340" s="2">
        <v>30.3</v>
      </c>
      <c r="O340" s="2">
        <v>1359</v>
      </c>
    </row>
    <row r="341" spans="1:15">
      <c r="A341" s="1">
        <v>2021</v>
      </c>
      <c r="B341" s="9" t="s">
        <v>25</v>
      </c>
      <c r="C341" s="1" t="s">
        <v>26</v>
      </c>
      <c r="D341" s="2">
        <v>195313.92574063851</v>
      </c>
      <c r="E341" s="2">
        <v>53509.466355470948</v>
      </c>
      <c r="F341" s="2">
        <v>117717.44199446125</v>
      </c>
      <c r="G341" s="2">
        <v>19996.749595748974</v>
      </c>
      <c r="H341" s="2">
        <v>4090.2677949573363</v>
      </c>
      <c r="I341" s="2">
        <v>6674.3205192824471</v>
      </c>
      <c r="J341" s="2">
        <v>27013.896013718942</v>
      </c>
      <c r="K341" s="2">
        <v>12422.092531033359</v>
      </c>
      <c r="L341" s="2">
        <v>3803.3544962728461</v>
      </c>
      <c r="M341" s="2">
        <v>8666.8963100003639</v>
      </c>
      <c r="N341" s="2">
        <v>29.7</v>
      </c>
      <c r="O341" s="2">
        <v>1351</v>
      </c>
    </row>
    <row r="342" spans="1:15">
      <c r="A342" s="1">
        <v>2021</v>
      </c>
      <c r="B342" s="9" t="s">
        <v>27</v>
      </c>
      <c r="C342" s="1" t="s">
        <v>28</v>
      </c>
      <c r="D342" s="2">
        <v>200635.4121696669</v>
      </c>
      <c r="E342" s="2">
        <v>54079.38506041823</v>
      </c>
      <c r="F342" s="2">
        <v>122033.72440423013</v>
      </c>
      <c r="G342" s="2">
        <v>19800.469679394861</v>
      </c>
      <c r="H342" s="2">
        <v>4721.8330256236768</v>
      </c>
      <c r="I342" s="2">
        <v>6661.3884172920443</v>
      </c>
      <c r="J342" s="2">
        <v>26975.960042625047</v>
      </c>
      <c r="K342" s="2">
        <v>12673.219489404428</v>
      </c>
      <c r="L342" s="2">
        <v>3878.0192696099175</v>
      </c>
      <c r="M342" s="2">
        <v>8387.2634870641123</v>
      </c>
      <c r="N342" s="2">
        <v>24.5</v>
      </c>
      <c r="O342" s="2">
        <v>1075.9000000000001</v>
      </c>
    </row>
    <row r="343" spans="1:15">
      <c r="A343" s="1">
        <v>2021</v>
      </c>
      <c r="B343" s="9" t="s">
        <v>29</v>
      </c>
      <c r="C343" s="1" t="s">
        <v>30</v>
      </c>
      <c r="D343" s="2">
        <v>214586.19449065934</v>
      </c>
      <c r="E343" s="2">
        <v>61540.136618883385</v>
      </c>
      <c r="F343" s="2">
        <v>127367.97856168357</v>
      </c>
      <c r="G343" s="2">
        <v>21507.681722245008</v>
      </c>
      <c r="H343" s="2">
        <v>4170.3975878473957</v>
      </c>
      <c r="I343" s="2">
        <v>6898.6272140344136</v>
      </c>
      <c r="J343" s="2">
        <v>27990.734662888935</v>
      </c>
      <c r="K343" s="2">
        <v>12930.171121095158</v>
      </c>
      <c r="L343" s="2">
        <v>4426.8486247971841</v>
      </c>
      <c r="M343" s="2">
        <v>8383.6816205326704</v>
      </c>
      <c r="N343" s="2">
        <v>30.2</v>
      </c>
      <c r="O343" s="2">
        <v>1504.7</v>
      </c>
    </row>
    <row r="344" spans="1:15">
      <c r="A344" s="1">
        <v>2021</v>
      </c>
      <c r="B344" s="9" t="s">
        <v>31</v>
      </c>
      <c r="C344" s="1" t="s">
        <v>32</v>
      </c>
      <c r="D344" s="2">
        <v>203167.74811212294</v>
      </c>
      <c r="E344" s="2">
        <v>55527.327856639582</v>
      </c>
      <c r="F344" s="2">
        <v>123103.34809480722</v>
      </c>
      <c r="G344" s="2">
        <v>20775.981070015972</v>
      </c>
      <c r="H344" s="2">
        <v>3761.0910906601493</v>
      </c>
      <c r="I344" s="2">
        <v>6227.2515273065064</v>
      </c>
      <c r="J344" s="2">
        <v>27541.542513238168</v>
      </c>
      <c r="K344" s="2">
        <v>13182.998563533612</v>
      </c>
      <c r="L344" s="2">
        <v>5086.9250178295897</v>
      </c>
      <c r="M344" s="2">
        <v>7258.1209624604198</v>
      </c>
      <c r="N344" s="2">
        <v>27.7</v>
      </c>
      <c r="O344" s="2">
        <v>1344.4</v>
      </c>
    </row>
    <row r="345" spans="1:15">
      <c r="A345" s="1">
        <v>2021</v>
      </c>
      <c r="B345" s="9" t="s">
        <v>33</v>
      </c>
      <c r="C345" s="1" t="s">
        <v>34</v>
      </c>
      <c r="D345" s="2">
        <v>191405.86110114492</v>
      </c>
      <c r="E345" s="2">
        <v>51221.274603723272</v>
      </c>
      <c r="F345" s="2">
        <v>116751.97848539293</v>
      </c>
      <c r="G345" s="2">
        <v>19376.277289250673</v>
      </c>
      <c r="H345" s="2">
        <v>4056.3307227780392</v>
      </c>
      <c r="I345" s="2">
        <v>5758.9618746272745</v>
      </c>
      <c r="J345" s="2">
        <v>27047.138560906784</v>
      </c>
      <c r="K345" s="2">
        <v>12919.586396417279</v>
      </c>
      <c r="L345" s="2">
        <v>3554.2226058352294</v>
      </c>
      <c r="M345" s="2">
        <v>8430.0706563398599</v>
      </c>
      <c r="N345" s="2">
        <v>28.1</v>
      </c>
      <c r="O345" s="2">
        <v>1339.3</v>
      </c>
    </row>
    <row r="346" spans="1:15">
      <c r="A346" s="1">
        <v>2021</v>
      </c>
      <c r="B346" s="9" t="s">
        <v>35</v>
      </c>
      <c r="C346" s="1" t="s">
        <v>36</v>
      </c>
      <c r="D346" s="2">
        <v>187490.09944794117</v>
      </c>
      <c r="E346" s="2">
        <v>48634.675476510281</v>
      </c>
      <c r="F346" s="2">
        <v>115444.06854206533</v>
      </c>
      <c r="G346" s="2">
        <v>19759.776457719938</v>
      </c>
      <c r="H346" s="2">
        <v>3651.5789716456256</v>
      </c>
      <c r="I346" s="2">
        <v>6073.8739604774164</v>
      </c>
      <c r="J346" s="2">
        <v>23451.962439422186</v>
      </c>
      <c r="K346" s="2">
        <v>10315.536627639816</v>
      </c>
      <c r="L346" s="2">
        <v>3264.6076277929869</v>
      </c>
      <c r="M346" s="2">
        <v>7799.1911142965628</v>
      </c>
      <c r="N346" s="2">
        <v>27.1</v>
      </c>
      <c r="O346" s="2">
        <v>1070.0999999999999</v>
      </c>
    </row>
    <row r="347" spans="1:15">
      <c r="A347" s="1">
        <v>2021</v>
      </c>
      <c r="B347" s="9" t="s">
        <v>37</v>
      </c>
      <c r="C347" s="1" t="s">
        <v>38</v>
      </c>
      <c r="D347" s="2">
        <v>193394.47630625346</v>
      </c>
      <c r="E347" s="2">
        <v>50674.170865629741</v>
      </c>
      <c r="F347" s="2">
        <v>118599.68976970152</v>
      </c>
      <c r="G347" s="2">
        <v>19560.058275576899</v>
      </c>
      <c r="H347" s="2">
        <v>4560.5573953452986</v>
      </c>
      <c r="I347" s="2">
        <v>5801.9556623373137</v>
      </c>
      <c r="J347" s="2">
        <v>23620.173942927569</v>
      </c>
      <c r="K347" s="2">
        <v>10569.863608297221</v>
      </c>
      <c r="L347" s="2">
        <v>3659.8893473544958</v>
      </c>
      <c r="M347" s="2">
        <v>7430.5972284611098</v>
      </c>
      <c r="N347" s="2">
        <v>28.5</v>
      </c>
      <c r="O347" s="2">
        <v>1091.8</v>
      </c>
    </row>
    <row r="348" spans="1:15">
      <c r="A348" s="1">
        <v>2021</v>
      </c>
      <c r="B348" s="9" t="s">
        <v>39</v>
      </c>
      <c r="C348" s="1" t="s">
        <v>40</v>
      </c>
      <c r="D348" s="2">
        <v>186282.60879277127</v>
      </c>
      <c r="E348" s="2">
        <v>49899.483084763604</v>
      </c>
      <c r="F348" s="2">
        <v>112452.22333527234</v>
      </c>
      <c r="G348" s="2">
        <v>19300.723441006987</v>
      </c>
      <c r="H348" s="2">
        <v>4630.1789317283183</v>
      </c>
      <c r="I348" s="2">
        <v>6102.6998368195018</v>
      </c>
      <c r="J348" s="2">
        <v>21898.131160228495</v>
      </c>
      <c r="K348" s="2">
        <v>9356.797545164507</v>
      </c>
      <c r="L348" s="2">
        <v>2816.3558494839431</v>
      </c>
      <c r="M348" s="2">
        <v>7697.1770260831872</v>
      </c>
      <c r="N348" s="2">
        <v>27.8</v>
      </c>
      <c r="O348" s="2">
        <v>1215.5999999999999</v>
      </c>
    </row>
    <row r="349" spans="1:15">
      <c r="A349" s="1">
        <v>2021</v>
      </c>
      <c r="B349" s="9" t="s">
        <v>41</v>
      </c>
      <c r="C349" s="1" t="s">
        <v>42</v>
      </c>
      <c r="D349" s="2">
        <v>187685.77460819634</v>
      </c>
      <c r="E349" s="2">
        <v>48596.641724822461</v>
      </c>
      <c r="F349" s="2">
        <v>113830.14339984169</v>
      </c>
      <c r="G349" s="2">
        <v>20320.189404994224</v>
      </c>
      <c r="H349" s="2">
        <v>4938.8000785379591</v>
      </c>
      <c r="I349" s="2">
        <v>6230.1295048815118</v>
      </c>
      <c r="J349" s="2">
        <v>22062.202766482627</v>
      </c>
      <c r="K349" s="2">
        <v>10016.903746707432</v>
      </c>
      <c r="L349" s="2">
        <v>2818.9742200330898</v>
      </c>
      <c r="M349" s="2">
        <v>7169.6396451041001</v>
      </c>
      <c r="N349" s="2">
        <v>27.7</v>
      </c>
      <c r="O349" s="2">
        <v>856.4</v>
      </c>
    </row>
    <row r="350" spans="1:15">
      <c r="A350" s="1">
        <v>2021</v>
      </c>
      <c r="B350" s="9" t="s">
        <v>43</v>
      </c>
      <c r="C350" s="1" t="s">
        <v>44</v>
      </c>
      <c r="D350" s="2">
        <v>191447.10265730775</v>
      </c>
      <c r="E350" s="2">
        <v>50975.71596462273</v>
      </c>
      <c r="F350" s="2">
        <v>114882.83746194238</v>
      </c>
      <c r="G350" s="2">
        <v>21008.160060679311</v>
      </c>
      <c r="H350" s="2">
        <v>4580.3891700633321</v>
      </c>
      <c r="I350" s="2">
        <v>6864.4324619251893</v>
      </c>
      <c r="J350" s="2">
        <v>22831.836504756371</v>
      </c>
      <c r="K350" s="2">
        <v>9859.9029133307304</v>
      </c>
      <c r="L350" s="2">
        <v>3001.2269987566433</v>
      </c>
      <c r="M350" s="2">
        <v>7935.561299155589</v>
      </c>
      <c r="N350" s="2">
        <v>25.8</v>
      </c>
      <c r="O350" s="2">
        <v>952.3</v>
      </c>
    </row>
    <row r="351" spans="1:15">
      <c r="A351" s="1">
        <v>2021</v>
      </c>
      <c r="B351" s="9" t="s">
        <v>45</v>
      </c>
      <c r="C351" s="1" t="s">
        <v>46</v>
      </c>
      <c r="D351" s="2">
        <v>187455.31820223358</v>
      </c>
      <c r="E351" s="2">
        <v>46661.567826338636</v>
      </c>
      <c r="F351" s="2">
        <v>113840.13239053542</v>
      </c>
      <c r="G351" s="2">
        <v>21906.631172683825</v>
      </c>
      <c r="H351" s="2">
        <v>5046.9868126756801</v>
      </c>
      <c r="I351" s="2">
        <v>5427.8911515118407</v>
      </c>
      <c r="J351" s="2">
        <v>18151.295490067965</v>
      </c>
      <c r="K351" s="2">
        <v>7650.793789551537</v>
      </c>
      <c r="L351" s="2">
        <v>2814.8585114324751</v>
      </c>
      <c r="M351" s="2">
        <v>5938.1828288254337</v>
      </c>
      <c r="N351" s="2">
        <v>22</v>
      </c>
      <c r="O351" s="2">
        <v>897.4</v>
      </c>
    </row>
    <row r="352" spans="1:15">
      <c r="A352" s="1">
        <v>2021</v>
      </c>
      <c r="B352" s="9" t="s">
        <v>47</v>
      </c>
      <c r="C352" s="1" t="s">
        <v>48</v>
      </c>
      <c r="D352" s="2">
        <v>197032.73260335045</v>
      </c>
      <c r="E352" s="2">
        <v>50771.297313446899</v>
      </c>
      <c r="F352" s="2">
        <v>119479.4854642495</v>
      </c>
      <c r="G352" s="2">
        <v>22132.834539949876</v>
      </c>
      <c r="H352" s="2">
        <v>4649.1152857041798</v>
      </c>
      <c r="I352" s="2">
        <v>6433.8469822600546</v>
      </c>
      <c r="J352" s="2">
        <v>21894.634596874603</v>
      </c>
      <c r="K352" s="2">
        <v>9262.0728972527686</v>
      </c>
      <c r="L352" s="2">
        <v>3313.9760964371553</v>
      </c>
      <c r="M352" s="2">
        <v>7271.8544940126703</v>
      </c>
      <c r="N352" s="2">
        <v>22.6</v>
      </c>
      <c r="O352" s="2">
        <v>800</v>
      </c>
    </row>
    <row r="353" spans="1:15">
      <c r="A353" s="1">
        <v>2021</v>
      </c>
      <c r="B353" s="9" t="s">
        <v>49</v>
      </c>
      <c r="C353" s="1" t="s">
        <v>50</v>
      </c>
      <c r="D353" s="2">
        <v>179616.25681622361</v>
      </c>
      <c r="E353" s="2">
        <v>47157.68160351328</v>
      </c>
      <c r="F353" s="2">
        <v>108914.26578945403</v>
      </c>
      <c r="G353" s="2">
        <v>19839.964478033311</v>
      </c>
      <c r="H353" s="2">
        <v>3704.3449452229988</v>
      </c>
      <c r="I353" s="2">
        <v>4959.3543599365657</v>
      </c>
      <c r="J353" s="2">
        <v>20601.895331066731</v>
      </c>
      <c r="K353" s="2">
        <v>8931.7805193485001</v>
      </c>
      <c r="L353" s="2">
        <v>3639.805836000628</v>
      </c>
      <c r="M353" s="2">
        <v>6228.127709665082</v>
      </c>
      <c r="N353" s="2">
        <v>29.3</v>
      </c>
      <c r="O353" s="2">
        <v>1222.8</v>
      </c>
    </row>
    <row r="354" spans="1:15">
      <c r="A354" s="1">
        <v>2021</v>
      </c>
      <c r="B354" s="9" t="s">
        <v>51</v>
      </c>
      <c r="C354" s="1" t="s">
        <v>52</v>
      </c>
      <c r="D354" s="2">
        <v>182297.11008330926</v>
      </c>
      <c r="E354" s="2">
        <v>50975.347158424593</v>
      </c>
      <c r="F354" s="2">
        <v>107654.07880474659</v>
      </c>
      <c r="G354" s="2">
        <v>19243.020811625014</v>
      </c>
      <c r="H354" s="2">
        <v>4424.6633085130889</v>
      </c>
      <c r="I354" s="2">
        <v>5253.8028043963741</v>
      </c>
      <c r="J354" s="2">
        <v>21029.263047003424</v>
      </c>
      <c r="K354" s="2">
        <v>8956.1083279794748</v>
      </c>
      <c r="L354" s="2">
        <v>3082.0547068159085</v>
      </c>
      <c r="M354" s="2">
        <v>7123.0816735126255</v>
      </c>
      <c r="N354" s="2">
        <v>30.1</v>
      </c>
      <c r="O354" s="2">
        <v>1474</v>
      </c>
    </row>
    <row r="355" spans="1:15">
      <c r="A355" s="1">
        <v>2021</v>
      </c>
      <c r="B355" s="9" t="s">
        <v>53</v>
      </c>
      <c r="C355" s="1" t="s">
        <v>54</v>
      </c>
      <c r="D355" s="2">
        <v>189766.62120727726</v>
      </c>
      <c r="E355" s="2">
        <v>54095.017278716536</v>
      </c>
      <c r="F355" s="2">
        <v>112509.47777400067</v>
      </c>
      <c r="G355" s="2">
        <v>18582.270460030941</v>
      </c>
      <c r="H355" s="2">
        <v>4579.8556945291084</v>
      </c>
      <c r="I355" s="2">
        <v>6368.2674886740178</v>
      </c>
      <c r="J355" s="2">
        <v>21375.061212145738</v>
      </c>
      <c r="K355" s="2">
        <v>8433.0106343818006</v>
      </c>
      <c r="L355" s="2">
        <v>3281.9993236739624</v>
      </c>
      <c r="M355" s="2">
        <v>7641.5098340097175</v>
      </c>
      <c r="N355" s="2">
        <v>30.5</v>
      </c>
      <c r="O355" s="2">
        <v>1485.3</v>
      </c>
    </row>
    <row r="356" spans="1:15">
      <c r="A356" s="1">
        <v>2021</v>
      </c>
      <c r="B356" s="9" t="s">
        <v>55</v>
      </c>
      <c r="C356" s="1" t="s">
        <v>56</v>
      </c>
      <c r="D356" s="2">
        <v>194930.49746844184</v>
      </c>
      <c r="E356" s="2">
        <v>58282.921336337815</v>
      </c>
      <c r="F356" s="2">
        <v>113028.54650109916</v>
      </c>
      <c r="G356" s="2">
        <v>18778.816812879235</v>
      </c>
      <c r="H356" s="2">
        <v>4840.2128181256467</v>
      </c>
      <c r="I356" s="2">
        <v>6841.3780467956631</v>
      </c>
      <c r="J356" s="2">
        <v>22594.763971075354</v>
      </c>
      <c r="K356" s="2">
        <v>9906.3824073840606</v>
      </c>
      <c r="L356" s="2">
        <v>3393.8977580993806</v>
      </c>
      <c r="M356" s="2">
        <v>7393.0422379348856</v>
      </c>
      <c r="N356" s="2">
        <v>27.3</v>
      </c>
      <c r="O356" s="2">
        <v>1348.6</v>
      </c>
    </row>
    <row r="357" spans="1:15">
      <c r="A357" s="1">
        <v>2021</v>
      </c>
      <c r="B357" s="9" t="s">
        <v>57</v>
      </c>
      <c r="C357" s="1" t="s">
        <v>58</v>
      </c>
      <c r="D357" s="2">
        <v>191443.46399855166</v>
      </c>
      <c r="E357" s="2">
        <v>51897.327384510631</v>
      </c>
      <c r="F357" s="2">
        <v>114203.19395563719</v>
      </c>
      <c r="G357" s="2">
        <v>20708.321727322753</v>
      </c>
      <c r="H357" s="2">
        <v>4634.6209310810882</v>
      </c>
      <c r="I357" s="2">
        <v>5232.9287526870658</v>
      </c>
      <c r="J357" s="2">
        <v>22279.55855209244</v>
      </c>
      <c r="K357" s="2">
        <v>9813.3297796111601</v>
      </c>
      <c r="L357" s="2">
        <v>3156.2841796681691</v>
      </c>
      <c r="M357" s="2">
        <v>7396.7437020732459</v>
      </c>
      <c r="N357" s="2">
        <v>29</v>
      </c>
      <c r="O357" s="2">
        <v>1323.5</v>
      </c>
    </row>
    <row r="358" spans="1:15">
      <c r="A358" s="1">
        <v>2021</v>
      </c>
      <c r="B358" s="9" t="s">
        <v>59</v>
      </c>
      <c r="C358" s="1" t="s">
        <v>60</v>
      </c>
      <c r="D358" s="2">
        <v>181814.61623640591</v>
      </c>
      <c r="E358" s="2">
        <v>50584.697535780062</v>
      </c>
      <c r="F358" s="2">
        <v>107446.74986118844</v>
      </c>
      <c r="G358" s="2">
        <v>19480.553862573121</v>
      </c>
      <c r="H358" s="2">
        <v>4302.6149768642754</v>
      </c>
      <c r="I358" s="2">
        <v>5594.7157447027148</v>
      </c>
      <c r="J358" s="2">
        <v>20221.08058736557</v>
      </c>
      <c r="K358" s="2">
        <v>8562.9609937356126</v>
      </c>
      <c r="L358" s="2">
        <v>3400.9876342110019</v>
      </c>
      <c r="M358" s="2">
        <v>6402.4032140694262</v>
      </c>
      <c r="N358" s="2">
        <v>23.6</v>
      </c>
      <c r="O358" s="2">
        <v>1137.2</v>
      </c>
    </row>
    <row r="359" spans="1:15">
      <c r="A359" s="1">
        <v>2021</v>
      </c>
      <c r="B359" s="9" t="s">
        <v>61</v>
      </c>
      <c r="C359" s="1" t="s">
        <v>62</v>
      </c>
      <c r="D359" s="2">
        <v>189228.63587666443</v>
      </c>
      <c r="E359" s="2">
        <v>48953.428848538097</v>
      </c>
      <c r="F359" s="2">
        <v>112625.12578712053</v>
      </c>
      <c r="G359" s="2">
        <v>22698.676499581215</v>
      </c>
      <c r="H359" s="2">
        <v>4951.404741424577</v>
      </c>
      <c r="I359" s="2">
        <v>5534.9187243056995</v>
      </c>
      <c r="J359" s="2">
        <v>22074.475112767144</v>
      </c>
      <c r="K359" s="2">
        <v>9704.2981577509381</v>
      </c>
      <c r="L359" s="2">
        <v>3551.0551539441722</v>
      </c>
      <c r="M359" s="2">
        <v>6941.4524128659741</v>
      </c>
      <c r="N359" s="2">
        <v>23.9</v>
      </c>
      <c r="O359" s="2">
        <v>996.5</v>
      </c>
    </row>
    <row r="360" spans="1:15">
      <c r="A360" s="1">
        <v>2021</v>
      </c>
      <c r="B360" s="9" t="s">
        <v>63</v>
      </c>
      <c r="C360" s="1" t="s">
        <v>64</v>
      </c>
      <c r="D360" s="2">
        <v>186607.23975035688</v>
      </c>
      <c r="E360" s="2">
        <v>47702.525798044873</v>
      </c>
      <c r="F360" s="2">
        <v>115414.51290277726</v>
      </c>
      <c r="G360" s="2">
        <v>19704.120003120137</v>
      </c>
      <c r="H360" s="2">
        <v>3786.0810464146057</v>
      </c>
      <c r="I360" s="2">
        <v>5934.1146010223765</v>
      </c>
      <c r="J360" s="2">
        <v>21632.81021979998</v>
      </c>
      <c r="K360" s="2">
        <v>8986.1547020294929</v>
      </c>
      <c r="L360" s="2">
        <v>3590.8386874501302</v>
      </c>
      <c r="M360" s="2">
        <v>7109.4625318735916</v>
      </c>
      <c r="N360" s="2">
        <v>26.2</v>
      </c>
      <c r="O360" s="2">
        <v>1009.8</v>
      </c>
    </row>
    <row r="361" spans="1:15">
      <c r="A361" s="1">
        <v>2021</v>
      </c>
      <c r="B361" s="9" t="s">
        <v>65</v>
      </c>
      <c r="C361" s="1" t="s">
        <v>66</v>
      </c>
      <c r="D361" s="2">
        <v>186268.2521704449</v>
      </c>
      <c r="E361" s="2">
        <v>45083.558970841834</v>
      </c>
      <c r="F361" s="2">
        <v>113564.68449623011</v>
      </c>
      <c r="G361" s="2">
        <v>23153.236031348351</v>
      </c>
      <c r="H361" s="2">
        <v>4466.7726720246264</v>
      </c>
      <c r="I361" s="2">
        <v>5340.3936388530574</v>
      </c>
      <c r="J361" s="2">
        <v>20202.226247906772</v>
      </c>
      <c r="K361" s="2">
        <v>8386.8043896903928</v>
      </c>
      <c r="L361" s="2">
        <v>3223.9227235785575</v>
      </c>
      <c r="M361" s="2">
        <v>6765.8892629784386</v>
      </c>
      <c r="N361" s="2">
        <v>22.8</v>
      </c>
      <c r="O361" s="2">
        <v>878.7</v>
      </c>
    </row>
    <row r="362" spans="1:15">
      <c r="A362" s="1">
        <v>2021</v>
      </c>
      <c r="B362" s="9" t="s">
        <v>67</v>
      </c>
      <c r="C362" s="1" t="s">
        <v>68</v>
      </c>
      <c r="D362" s="2">
        <v>187605.42564312383</v>
      </c>
      <c r="E362" s="2">
        <v>49115.578278615896</v>
      </c>
      <c r="F362" s="2">
        <v>113506.57188201908</v>
      </c>
      <c r="G362" s="2">
        <v>20814.386177141259</v>
      </c>
      <c r="H362" s="2">
        <v>4168.8893053475913</v>
      </c>
      <c r="I362" s="2">
        <v>5936.4357047557814</v>
      </c>
      <c r="J362" s="2">
        <v>22130.259824558583</v>
      </c>
      <c r="K362" s="2">
        <v>9101.8016188960082</v>
      </c>
      <c r="L362" s="2">
        <v>3562.4640179102744</v>
      </c>
      <c r="M362" s="2">
        <v>7533.739192641402</v>
      </c>
      <c r="N362" s="2">
        <v>27.3</v>
      </c>
      <c r="O362" s="2">
        <v>1102.0999999999999</v>
      </c>
    </row>
    <row r="363" spans="1:15">
      <c r="A363" s="1">
        <v>2021</v>
      </c>
      <c r="B363" s="9" t="s">
        <v>69</v>
      </c>
      <c r="C363" s="1" t="s">
        <v>70</v>
      </c>
      <c r="D363" s="2">
        <v>182745.69840647595</v>
      </c>
      <c r="E363" s="2">
        <v>50331.291104230317</v>
      </c>
      <c r="F363" s="2">
        <v>108187.38251398776</v>
      </c>
      <c r="G363" s="2">
        <v>19522.529721664039</v>
      </c>
      <c r="H363" s="2">
        <v>4704.4950665938377</v>
      </c>
      <c r="I363" s="2">
        <v>5998.2747428417761</v>
      </c>
      <c r="J363" s="2">
        <v>20445.13441027288</v>
      </c>
      <c r="K363" s="2">
        <v>8783.6036606295838</v>
      </c>
      <c r="L363" s="2">
        <v>3093.4522312257668</v>
      </c>
      <c r="M363" s="2">
        <v>6681.8500435133365</v>
      </c>
      <c r="N363" s="2">
        <v>23.9</v>
      </c>
      <c r="O363" s="2">
        <v>982.5</v>
      </c>
    </row>
    <row r="364" spans="1:15">
      <c r="A364" s="1">
        <v>2021</v>
      </c>
      <c r="B364" s="9" t="s">
        <v>71</v>
      </c>
      <c r="C364" s="1" t="s">
        <v>72</v>
      </c>
      <c r="D364" s="2">
        <v>193793.01182564491</v>
      </c>
      <c r="E364" s="2">
        <v>52378.915450630528</v>
      </c>
      <c r="F364" s="2">
        <v>113871.16439021489</v>
      </c>
      <c r="G364" s="2">
        <v>21437.920173461636</v>
      </c>
      <c r="H364" s="2">
        <v>6105.0118113378448</v>
      </c>
      <c r="I364" s="2">
        <v>6033.8943138529103</v>
      </c>
      <c r="J364" s="2">
        <v>18275.362436888994</v>
      </c>
      <c r="K364" s="2">
        <v>7485.7333750622229</v>
      </c>
      <c r="L364" s="2">
        <v>3156.3509313510308</v>
      </c>
      <c r="M364" s="2">
        <v>5633.5386015013391</v>
      </c>
      <c r="N364" s="2">
        <v>25.8</v>
      </c>
      <c r="O364" s="2">
        <v>1265.3</v>
      </c>
    </row>
    <row r="365" spans="1:15">
      <c r="A365" s="1">
        <v>2021</v>
      </c>
      <c r="B365" s="9" t="s">
        <v>73</v>
      </c>
      <c r="C365" s="1" t="s">
        <v>74</v>
      </c>
      <c r="D365" s="2">
        <v>198436.29911134421</v>
      </c>
      <c r="E365" s="2">
        <v>51047.620375138678</v>
      </c>
      <c r="F365" s="2">
        <v>115474.41156048352</v>
      </c>
      <c r="G365" s="2">
        <v>24524.727631104583</v>
      </c>
      <c r="H365" s="2">
        <v>7389.5395446174243</v>
      </c>
      <c r="I365" s="2">
        <v>5648.3037335202198</v>
      </c>
      <c r="J365" s="2">
        <v>19671.058461297318</v>
      </c>
      <c r="K365" s="2">
        <v>8428.4967063670028</v>
      </c>
      <c r="L365" s="2">
        <v>3152.5280983456587</v>
      </c>
      <c r="M365" s="2">
        <v>6310.4249579455927</v>
      </c>
      <c r="N365" s="2">
        <v>25.3</v>
      </c>
      <c r="O365" s="2">
        <v>1181.9000000000001</v>
      </c>
    </row>
    <row r="366" spans="1:15">
      <c r="A366" s="1">
        <v>2021</v>
      </c>
      <c r="B366" s="9" t="s">
        <v>75</v>
      </c>
      <c r="C366" s="1" t="s">
        <v>76</v>
      </c>
      <c r="D366" s="2">
        <v>199942.74121024535</v>
      </c>
      <c r="E366" s="2">
        <v>52493.758511375978</v>
      </c>
      <c r="F366" s="2">
        <v>118685.1729446823</v>
      </c>
      <c r="G366" s="2">
        <v>23347.134639242253</v>
      </c>
      <c r="H366" s="2">
        <v>5416.6751149448155</v>
      </c>
      <c r="I366" s="2">
        <v>6027.6036921466175</v>
      </c>
      <c r="J366" s="2">
        <v>20978.259271504048</v>
      </c>
      <c r="K366" s="2">
        <v>8720.1409979538912</v>
      </c>
      <c r="L366" s="2">
        <v>3416.7548037294723</v>
      </c>
      <c r="M366" s="2">
        <v>7032.1903712411058</v>
      </c>
      <c r="N366" s="2">
        <v>26.5</v>
      </c>
      <c r="O366" s="2">
        <v>1175.3</v>
      </c>
    </row>
    <row r="367" spans="1:15">
      <c r="A367" s="1">
        <v>2021</v>
      </c>
      <c r="B367" s="9" t="s">
        <v>77</v>
      </c>
      <c r="C367" s="1" t="s">
        <v>78</v>
      </c>
      <c r="D367" s="2">
        <v>197718.85617719358</v>
      </c>
      <c r="E367" s="2">
        <v>54848.362851332779</v>
      </c>
      <c r="F367" s="2">
        <v>116167.49637809236</v>
      </c>
      <c r="G367" s="2">
        <v>20703.619370573171</v>
      </c>
      <c r="H367" s="2">
        <v>5999.3775771952769</v>
      </c>
      <c r="I367" s="2">
        <v>6247.0438504146341</v>
      </c>
      <c r="J367" s="2">
        <v>21719.868678794606</v>
      </c>
      <c r="K367" s="2">
        <v>8984.6456133728643</v>
      </c>
      <c r="L367" s="2">
        <v>3667.1692138236581</v>
      </c>
      <c r="M367" s="2">
        <v>6959.0046055659404</v>
      </c>
      <c r="N367" s="2">
        <v>24.9</v>
      </c>
      <c r="O367" s="2">
        <v>1220</v>
      </c>
    </row>
    <row r="368" spans="1:15">
      <c r="A368" s="1">
        <v>2021</v>
      </c>
      <c r="B368" s="9" t="s">
        <v>79</v>
      </c>
      <c r="C368" s="1" t="s">
        <v>80</v>
      </c>
      <c r="D368" s="2">
        <v>197179.92075310633</v>
      </c>
      <c r="E368" s="2">
        <v>51894.819520822442</v>
      </c>
      <c r="F368" s="2">
        <v>117050.30399827025</v>
      </c>
      <c r="G368" s="2">
        <v>21521.289169560139</v>
      </c>
      <c r="H368" s="2">
        <v>6713.5080644535064</v>
      </c>
      <c r="I368" s="2">
        <v>5566.235913063234</v>
      </c>
      <c r="J368" s="2">
        <v>22322.76734423605</v>
      </c>
      <c r="K368" s="2">
        <v>9945.8330866808556</v>
      </c>
      <c r="L368" s="2">
        <v>3112.1595848603051</v>
      </c>
      <c r="M368" s="2">
        <v>7213.8369907777706</v>
      </c>
      <c r="N368" s="2">
        <v>26.9</v>
      </c>
      <c r="O368" s="2">
        <v>1412</v>
      </c>
    </row>
    <row r="369" spans="1:15">
      <c r="A369" s="1">
        <v>2021</v>
      </c>
      <c r="B369" s="9" t="s">
        <v>81</v>
      </c>
      <c r="C369" s="1" t="s">
        <v>82</v>
      </c>
      <c r="D369" s="2">
        <v>193058.5964786603</v>
      </c>
      <c r="E369" s="2">
        <v>59427.557812803985</v>
      </c>
      <c r="F369" s="2">
        <v>110090.35458081972</v>
      </c>
      <c r="G369" s="2">
        <v>20052.72309368174</v>
      </c>
      <c r="H369" s="2">
        <v>3487.9609913548702</v>
      </c>
      <c r="I369" s="2">
        <v>6538.7345909822616</v>
      </c>
      <c r="J369" s="2">
        <v>20062.063633609938</v>
      </c>
      <c r="K369" s="2">
        <v>8946.3856222177146</v>
      </c>
      <c r="L369" s="2">
        <v>3327.2525370649601</v>
      </c>
      <c r="M369" s="2">
        <v>6171.2762898344181</v>
      </c>
      <c r="N369" s="2">
        <v>27.5</v>
      </c>
      <c r="O369" s="2">
        <v>1514.2</v>
      </c>
    </row>
    <row r="370" spans="1:15">
      <c r="A370" s="1">
        <v>2021</v>
      </c>
      <c r="B370" s="9" t="s">
        <v>83</v>
      </c>
      <c r="C370" s="1" t="s">
        <v>84</v>
      </c>
      <c r="D370" s="2">
        <v>207243.06699811883</v>
      </c>
      <c r="E370" s="2">
        <v>63645.137013914005</v>
      </c>
      <c r="F370" s="2">
        <v>120446.57817276123</v>
      </c>
      <c r="G370" s="2">
        <v>19734.572252611466</v>
      </c>
      <c r="H370" s="2">
        <v>3416.7795588321078</v>
      </c>
      <c r="I370" s="2">
        <v>6471.6175069652872</v>
      </c>
      <c r="J370" s="2">
        <v>23669.191108868356</v>
      </c>
      <c r="K370" s="2">
        <v>10610.17234939377</v>
      </c>
      <c r="L370" s="2">
        <v>4246.7090812446659</v>
      </c>
      <c r="M370" s="2">
        <v>6867.2053585086951</v>
      </c>
      <c r="N370" s="2">
        <v>26.7</v>
      </c>
      <c r="O370" s="2">
        <v>1464.7</v>
      </c>
    </row>
    <row r="371" spans="1:15">
      <c r="A371" s="1">
        <v>2021</v>
      </c>
      <c r="B371" s="9" t="s">
        <v>85</v>
      </c>
      <c r="C371" s="1" t="s">
        <v>86</v>
      </c>
      <c r="D371" s="2">
        <v>196052.46030116928</v>
      </c>
      <c r="E371" s="2">
        <v>53314.767682212754</v>
      </c>
      <c r="F371" s="2">
        <v>115475.32869453316</v>
      </c>
      <c r="G371" s="2">
        <v>23300.961260839209</v>
      </c>
      <c r="H371" s="2">
        <v>3961.4026635841501</v>
      </c>
      <c r="I371" s="2">
        <v>5669.892716195398</v>
      </c>
      <c r="J371" s="2">
        <v>21315.195242686728</v>
      </c>
      <c r="K371" s="2">
        <v>9074.4261762419519</v>
      </c>
      <c r="L371" s="2">
        <v>3547.4134631122665</v>
      </c>
      <c r="M371" s="2">
        <v>7082.4216576166727</v>
      </c>
      <c r="N371" s="2">
        <v>27.1</v>
      </c>
      <c r="O371" s="2">
        <v>1449.1</v>
      </c>
    </row>
    <row r="372" spans="1:15">
      <c r="A372" s="1">
        <v>2021</v>
      </c>
      <c r="B372" s="9" t="s">
        <v>87</v>
      </c>
      <c r="C372" s="1" t="s">
        <v>88</v>
      </c>
      <c r="D372" s="2">
        <v>191698.3043214636</v>
      </c>
      <c r="E372" s="2">
        <v>51160.29588910185</v>
      </c>
      <c r="F372" s="2">
        <v>115082.72066284457</v>
      </c>
      <c r="G372" s="2">
        <v>21302.008453317143</v>
      </c>
      <c r="H372" s="2">
        <v>4153.2793162000298</v>
      </c>
      <c r="I372" s="2">
        <v>5816.9308873928176</v>
      </c>
      <c r="J372" s="2">
        <v>20883.584708859235</v>
      </c>
      <c r="K372" s="2">
        <v>8781.7282598198144</v>
      </c>
      <c r="L372" s="2">
        <v>3297.8322462015212</v>
      </c>
      <c r="M372" s="2">
        <v>6963.5813586001505</v>
      </c>
      <c r="N372" s="2">
        <v>30.1</v>
      </c>
      <c r="O372" s="2">
        <v>1358.5</v>
      </c>
    </row>
    <row r="373" spans="1:15">
      <c r="A373" s="1">
        <v>2021</v>
      </c>
      <c r="B373" s="9" t="s">
        <v>89</v>
      </c>
      <c r="C373" s="1" t="s">
        <v>90</v>
      </c>
      <c r="D373" s="2">
        <v>203338.08524527066</v>
      </c>
      <c r="E373" s="2">
        <v>56883.818909138601</v>
      </c>
      <c r="F373" s="2">
        <v>119922.52139335516</v>
      </c>
      <c r="G373" s="2">
        <v>22077.470904202361</v>
      </c>
      <c r="H373" s="2">
        <v>4454.2740385745674</v>
      </c>
      <c r="I373" s="2">
        <v>7019.0273699020499</v>
      </c>
      <c r="J373" s="2">
        <v>23273.669004107578</v>
      </c>
      <c r="K373" s="2">
        <v>10124.96755101676</v>
      </c>
      <c r="L373" s="2">
        <v>3466.0151609345462</v>
      </c>
      <c r="M373" s="2">
        <v>7322.0889472335057</v>
      </c>
      <c r="N373" s="2">
        <v>37.4</v>
      </c>
      <c r="O373" s="2">
        <v>1861.4</v>
      </c>
    </row>
    <row r="374" spans="1:15">
      <c r="A374" s="1">
        <v>2021</v>
      </c>
      <c r="B374" s="9" t="s">
        <v>91</v>
      </c>
      <c r="C374" s="1" t="s">
        <v>92</v>
      </c>
      <c r="D374" s="2">
        <v>206379.37200081348</v>
      </c>
      <c r="E374" s="2">
        <v>57053.677137662235</v>
      </c>
      <c r="F374" s="2">
        <v>120144.12789168715</v>
      </c>
      <c r="G374" s="2">
        <v>23230.972789672029</v>
      </c>
      <c r="H374" s="2">
        <v>5950.5941817920602</v>
      </c>
      <c r="I374" s="2">
        <v>7122.8890510673364</v>
      </c>
      <c r="J374" s="2">
        <v>24439.661790533952</v>
      </c>
      <c r="K374" s="2">
        <v>10966.955567327474</v>
      </c>
      <c r="L374" s="2">
        <v>2845.8505364681291</v>
      </c>
      <c r="M374" s="2">
        <v>8648.1146505438919</v>
      </c>
      <c r="N374" s="2">
        <v>36.200000000000003</v>
      </c>
      <c r="O374" s="2">
        <v>1907.7</v>
      </c>
    </row>
    <row r="375" spans="1:15">
      <c r="A375" s="1">
        <v>2021</v>
      </c>
      <c r="B375" s="9" t="s">
        <v>93</v>
      </c>
      <c r="C375" s="1" t="s">
        <v>94</v>
      </c>
      <c r="D375" s="2">
        <v>206185.00631486255</v>
      </c>
      <c r="E375" s="2">
        <v>56080.241768454594</v>
      </c>
      <c r="F375" s="2">
        <v>122033.1627456187</v>
      </c>
      <c r="G375" s="2">
        <v>23274.062055231014</v>
      </c>
      <c r="H375" s="2">
        <v>4797.5397455582461</v>
      </c>
      <c r="I375" s="2">
        <v>6419.0392989909724</v>
      </c>
      <c r="J375" s="2">
        <v>22112.555509559214</v>
      </c>
      <c r="K375" s="2">
        <v>9217.3869922995218</v>
      </c>
      <c r="L375" s="2">
        <v>2815.2860594795529</v>
      </c>
      <c r="M375" s="2">
        <v>7943.5762336696771</v>
      </c>
      <c r="N375" s="2">
        <v>27.3</v>
      </c>
      <c r="O375" s="2">
        <v>1513.5</v>
      </c>
    </row>
    <row r="376" spans="1:15">
      <c r="A376" s="1">
        <v>2021</v>
      </c>
      <c r="B376" s="9" t="s">
        <v>95</v>
      </c>
      <c r="C376" s="1" t="s">
        <v>96</v>
      </c>
      <c r="D376" s="2">
        <v>194478.96983857427</v>
      </c>
      <c r="E376" s="2">
        <v>54929.977577083882</v>
      </c>
      <c r="F376" s="2">
        <v>114593.19844304815</v>
      </c>
      <c r="G376" s="2">
        <v>20037.126152836638</v>
      </c>
      <c r="H376" s="2">
        <v>4918.6676656056161</v>
      </c>
      <c r="I376" s="2">
        <v>6281.1582944343918</v>
      </c>
      <c r="J376" s="2">
        <v>21631.623778970952</v>
      </c>
      <c r="K376" s="2">
        <v>8859.7599392305801</v>
      </c>
      <c r="L376" s="2">
        <v>3118.2877720781044</v>
      </c>
      <c r="M376" s="2">
        <v>7210.4061294756248</v>
      </c>
      <c r="N376" s="2">
        <v>29.5</v>
      </c>
      <c r="O376" s="2">
        <v>1544.7</v>
      </c>
    </row>
    <row r="377" spans="1:15">
      <c r="A377" s="1">
        <v>2021</v>
      </c>
      <c r="B377" s="9" t="s">
        <v>97</v>
      </c>
      <c r="C377" s="1" t="s">
        <v>98</v>
      </c>
      <c r="D377" s="2">
        <v>202024.69719552074</v>
      </c>
      <c r="E377" s="2">
        <v>61708.817923009439</v>
      </c>
      <c r="F377" s="2">
        <v>115913.89236123866</v>
      </c>
      <c r="G377" s="2">
        <v>19702.836306672089</v>
      </c>
      <c r="H377" s="2">
        <v>4699.1506046005543</v>
      </c>
      <c r="I377" s="2">
        <v>7341.2485292833953</v>
      </c>
      <c r="J377" s="2">
        <v>22386.139602998359</v>
      </c>
      <c r="K377" s="2">
        <v>10621.831619454882</v>
      </c>
      <c r="L377" s="2">
        <v>2680.03127130243</v>
      </c>
      <c r="M377" s="2">
        <v>6606.096197656223</v>
      </c>
      <c r="N377" s="2">
        <v>40.299999999999997</v>
      </c>
      <c r="O377" s="2">
        <v>2334.9</v>
      </c>
    </row>
    <row r="378" spans="1:15">
      <c r="A378" s="1">
        <v>2021</v>
      </c>
      <c r="B378" s="9" t="s">
        <v>99</v>
      </c>
      <c r="C378" s="1" t="s">
        <v>100</v>
      </c>
      <c r="D378" s="2">
        <v>202677.73248875231</v>
      </c>
      <c r="E378" s="2">
        <v>57875.220565519659</v>
      </c>
      <c r="F378" s="2">
        <v>115290.7504967983</v>
      </c>
      <c r="G378" s="2">
        <v>23021.118746624052</v>
      </c>
      <c r="H378" s="2">
        <v>6490.6426798103075</v>
      </c>
      <c r="I378" s="2">
        <v>6538.8465844604252</v>
      </c>
      <c r="J378" s="2">
        <v>21809.17145560023</v>
      </c>
      <c r="K378" s="2">
        <v>9841.3473609833563</v>
      </c>
      <c r="L378" s="2">
        <v>3031.0918205668831</v>
      </c>
      <c r="M378" s="2">
        <v>6960.6935769948759</v>
      </c>
      <c r="N378" s="2">
        <v>33.4</v>
      </c>
      <c r="O378" s="2">
        <v>1600.5</v>
      </c>
    </row>
    <row r="379" spans="1:15">
      <c r="A379" s="1">
        <v>2021</v>
      </c>
      <c r="B379" s="9" t="s">
        <v>101</v>
      </c>
      <c r="C379" s="1" t="s">
        <v>102</v>
      </c>
      <c r="D379" s="2">
        <v>219653.74225122901</v>
      </c>
      <c r="E379" s="2">
        <v>64412.252086151238</v>
      </c>
      <c r="F379" s="2">
        <v>127176.26888019573</v>
      </c>
      <c r="G379" s="2">
        <v>21735.11853714734</v>
      </c>
      <c r="H379" s="2">
        <v>6330.1027477346834</v>
      </c>
      <c r="I379" s="2">
        <v>6545.4515122958437</v>
      </c>
      <c r="J379" s="2">
        <v>27190.934815109402</v>
      </c>
      <c r="K379" s="2">
        <v>12496.880724908367</v>
      </c>
      <c r="L379" s="2">
        <v>4501.4974723470286</v>
      </c>
      <c r="M379" s="2">
        <v>8267.4168782540019</v>
      </c>
      <c r="N379" s="2">
        <v>39.6</v>
      </c>
      <c r="O379" s="2">
        <v>1769.4</v>
      </c>
    </row>
    <row r="380" spans="1:15">
      <c r="A380" s="1">
        <v>2021</v>
      </c>
      <c r="B380" s="9" t="s">
        <v>103</v>
      </c>
      <c r="C380" s="1" t="s">
        <v>104</v>
      </c>
      <c r="D380" s="2">
        <v>207094.84255839465</v>
      </c>
      <c r="E380" s="2">
        <v>62859.107869699066</v>
      </c>
      <c r="F380" s="2">
        <v>116531.88669013146</v>
      </c>
      <c r="G380" s="2">
        <v>21666.491795521273</v>
      </c>
      <c r="H380" s="2">
        <v>6037.3562030428584</v>
      </c>
      <c r="I380" s="2">
        <v>6884.4847649272979</v>
      </c>
      <c r="J380" s="2">
        <v>23773.920068150001</v>
      </c>
      <c r="K380" s="2">
        <v>11552.051168439613</v>
      </c>
      <c r="L380" s="2">
        <v>2764.4455298125808</v>
      </c>
      <c r="M380" s="2">
        <v>7230.4275032325386</v>
      </c>
      <c r="N380" s="2">
        <v>36.700000000000003</v>
      </c>
      <c r="O380" s="2">
        <v>1979.5</v>
      </c>
    </row>
    <row r="381" spans="1:15">
      <c r="A381" s="1">
        <v>2021</v>
      </c>
      <c r="B381" s="9" t="s">
        <v>105</v>
      </c>
      <c r="C381" s="1" t="s">
        <v>106</v>
      </c>
      <c r="D381" s="2">
        <v>205635.74856654732</v>
      </c>
      <c r="E381" s="2">
        <v>61006.34426239723</v>
      </c>
      <c r="F381" s="2">
        <v>118370.00665152549</v>
      </c>
      <c r="G381" s="2">
        <v>20775.550627922697</v>
      </c>
      <c r="H381" s="2">
        <v>5483.847024701915</v>
      </c>
      <c r="I381" s="2">
        <v>6185.7147975412727</v>
      </c>
      <c r="J381" s="2">
        <v>24686.911476451736</v>
      </c>
      <c r="K381" s="2">
        <v>11677.731313107715</v>
      </c>
      <c r="L381" s="2">
        <v>3137.1714180678487</v>
      </c>
      <c r="M381" s="2">
        <v>8168.8045411070507</v>
      </c>
      <c r="N381" s="2">
        <v>37.299999999999997</v>
      </c>
      <c r="O381" s="2">
        <v>1876.9</v>
      </c>
    </row>
    <row r="382" spans="1:15">
      <c r="A382" s="1">
        <v>2021</v>
      </c>
      <c r="B382" s="9" t="s">
        <v>107</v>
      </c>
      <c r="C382" s="1" t="s">
        <v>108</v>
      </c>
      <c r="D382" s="2">
        <v>208218.40972588546</v>
      </c>
      <c r="E382" s="2">
        <v>63390.012128123177</v>
      </c>
      <c r="F382" s="2">
        <v>120450.75968589928</v>
      </c>
      <c r="G382" s="2">
        <v>18871.214633667936</v>
      </c>
      <c r="H382" s="2">
        <v>5506.4232781950568</v>
      </c>
      <c r="I382" s="2">
        <v>7133.3679572670972</v>
      </c>
      <c r="J382" s="2">
        <v>24802.241854877968</v>
      </c>
      <c r="K382" s="2">
        <v>10847.78621389965</v>
      </c>
      <c r="L382" s="2">
        <v>3413.795531904394</v>
      </c>
      <c r="M382" s="2">
        <v>8416.803683635686</v>
      </c>
      <c r="N382" s="2">
        <v>30.9</v>
      </c>
      <c r="O382" s="2">
        <v>1758.3</v>
      </c>
    </row>
    <row r="383" spans="1:15">
      <c r="A383" s="1">
        <v>2021</v>
      </c>
      <c r="B383" s="9" t="s">
        <v>109</v>
      </c>
      <c r="C383" s="1" t="s">
        <v>110</v>
      </c>
      <c r="D383" s="2">
        <v>191813.96469807721</v>
      </c>
      <c r="E383" s="2">
        <v>54786.775265294258</v>
      </c>
      <c r="F383" s="2">
        <v>112206.35541357812</v>
      </c>
      <c r="G383" s="2">
        <v>19750.899424588235</v>
      </c>
      <c r="H383" s="2">
        <v>5069.934594616594</v>
      </c>
      <c r="I383" s="2">
        <v>6620.5963395675954</v>
      </c>
      <c r="J383" s="2">
        <v>22399.932353178887</v>
      </c>
      <c r="K383" s="2">
        <v>11159.533679922653</v>
      </c>
      <c r="L383" s="2">
        <v>2365.2986003091864</v>
      </c>
      <c r="M383" s="2">
        <v>6915.5352282016975</v>
      </c>
      <c r="N383" s="2">
        <v>35.799999999999997</v>
      </c>
      <c r="O383" s="2">
        <v>1716.6</v>
      </c>
    </row>
    <row r="384" spans="1:15">
      <c r="A384" s="1">
        <v>2021</v>
      </c>
      <c r="B384" s="9" t="s">
        <v>111</v>
      </c>
      <c r="C384" s="1" t="s">
        <v>112</v>
      </c>
      <c r="D384" s="2">
        <v>203290.96377522318</v>
      </c>
      <c r="E384" s="2">
        <v>61762.911568903335</v>
      </c>
      <c r="F384" s="2">
        <v>116316.53346131447</v>
      </c>
      <c r="G384" s="2">
        <v>19577.628713887814</v>
      </c>
      <c r="H384" s="2">
        <v>5633.8900311175585</v>
      </c>
      <c r="I384" s="2">
        <v>6979.5031407865499</v>
      </c>
      <c r="J384" s="2">
        <v>24014.979833048106</v>
      </c>
      <c r="K384" s="2">
        <v>11361.02643166226</v>
      </c>
      <c r="L384" s="2">
        <v>2417.0723705586206</v>
      </c>
      <c r="M384" s="2">
        <v>7797.0176138198149</v>
      </c>
      <c r="N384" s="2">
        <v>39.1</v>
      </c>
      <c r="O384" s="2">
        <v>2032.6</v>
      </c>
    </row>
    <row r="385" spans="1:15">
      <c r="A385" s="1">
        <v>2021</v>
      </c>
      <c r="B385" s="9" t="s">
        <v>113</v>
      </c>
      <c r="C385" s="1" t="s">
        <v>114</v>
      </c>
      <c r="D385" s="2">
        <v>182627.12335706476</v>
      </c>
      <c r="E385" s="2">
        <v>56872.318766334683</v>
      </c>
      <c r="F385" s="2">
        <v>103430.94596748284</v>
      </c>
      <c r="G385" s="2">
        <v>17800.795554583321</v>
      </c>
      <c r="H385" s="2">
        <v>4523.0630686639224</v>
      </c>
      <c r="I385" s="2">
        <v>6422.6525787209193</v>
      </c>
      <c r="J385" s="2">
        <v>18923.44468003403</v>
      </c>
      <c r="K385" s="2">
        <v>9488.2336390364962</v>
      </c>
      <c r="L385" s="2">
        <v>2056.6319747781586</v>
      </c>
      <c r="M385" s="2">
        <v>5610.8289507229074</v>
      </c>
      <c r="N385" s="2">
        <v>29.5</v>
      </c>
      <c r="O385" s="2">
        <v>1267.4000000000001</v>
      </c>
    </row>
    <row r="386" spans="1:15" hidden="1">
      <c r="A386" s="1">
        <v>2022</v>
      </c>
      <c r="B386" s="9" t="s">
        <v>205</v>
      </c>
      <c r="C386" s="1" t="s">
        <v>206</v>
      </c>
      <c r="D386" s="2">
        <v>204098.71835407263</v>
      </c>
      <c r="E386" s="2">
        <v>51943.128121253147</v>
      </c>
      <c r="F386" s="2">
        <v>125307.79098236651</v>
      </c>
      <c r="G386" s="2">
        <v>21860.685537164034</v>
      </c>
      <c r="H386" s="2">
        <v>4987.1137132889071</v>
      </c>
      <c r="I386" s="2">
        <v>6116.780149019095</v>
      </c>
      <c r="J386" s="2">
        <v>21670.972053133497</v>
      </c>
      <c r="K386" s="2">
        <v>9416.7561679235387</v>
      </c>
      <c r="L386" s="2">
        <v>3210.776161687254</v>
      </c>
      <c r="M386" s="2">
        <v>7115.9322344404654</v>
      </c>
      <c r="N386" s="2">
        <v>27.3</v>
      </c>
      <c r="O386" s="2">
        <v>1194.9000000000001</v>
      </c>
    </row>
    <row r="387" spans="1:15">
      <c r="A387" s="1">
        <v>2022</v>
      </c>
      <c r="B387" s="9" t="s">
        <v>207</v>
      </c>
      <c r="C387" s="1" t="s">
        <v>22</v>
      </c>
      <c r="D387" s="2">
        <v>223683.67052101242</v>
      </c>
      <c r="E387" s="2">
        <v>64917.131232199514</v>
      </c>
      <c r="F387" s="2">
        <v>132159.87161694292</v>
      </c>
      <c r="G387" s="2">
        <v>22444.757943455927</v>
      </c>
      <c r="H387" s="2">
        <v>4161.9097284140653</v>
      </c>
      <c r="I387" s="2">
        <v>7558.7087477044961</v>
      </c>
      <c r="J387" s="2">
        <v>25160.956371617111</v>
      </c>
      <c r="K387" s="2">
        <v>10514.249449072016</v>
      </c>
      <c r="L387" s="2">
        <v>3196.1413250190135</v>
      </c>
      <c r="M387" s="2">
        <v>8660.4371053316972</v>
      </c>
      <c r="N387" s="2">
        <v>31.4</v>
      </c>
      <c r="O387" s="2">
        <v>1765.2</v>
      </c>
    </row>
    <row r="388" spans="1:15">
      <c r="A388" s="1">
        <v>2022</v>
      </c>
      <c r="B388" s="9" t="s">
        <v>23</v>
      </c>
      <c r="C388" s="1" t="s">
        <v>24</v>
      </c>
      <c r="D388" s="2">
        <v>204424.68811193682</v>
      </c>
      <c r="E388" s="2">
        <v>53761.394866500872</v>
      </c>
      <c r="F388" s="2">
        <v>128267.35369058233</v>
      </c>
      <c r="G388" s="2">
        <v>19013.398151189525</v>
      </c>
      <c r="H388" s="2">
        <v>3382.5414036641282</v>
      </c>
      <c r="I388" s="2">
        <v>6478.1565623386987</v>
      </c>
      <c r="J388" s="2">
        <v>28366.567353714046</v>
      </c>
      <c r="K388" s="2">
        <v>13237.134526066351</v>
      </c>
      <c r="L388" s="2">
        <v>3653.9920503495837</v>
      </c>
      <c r="M388" s="2">
        <v>9215.1367720895323</v>
      </c>
      <c r="N388" s="2">
        <v>30.7</v>
      </c>
      <c r="O388" s="2">
        <v>1356.6</v>
      </c>
    </row>
    <row r="389" spans="1:15">
      <c r="A389" s="1">
        <v>2022</v>
      </c>
      <c r="B389" s="9" t="s">
        <v>25</v>
      </c>
      <c r="C389" s="1" t="s">
        <v>26</v>
      </c>
      <c r="D389" s="2">
        <v>204937.65857043394</v>
      </c>
      <c r="E389" s="2">
        <v>52810.07958383744</v>
      </c>
      <c r="F389" s="2">
        <v>127898.94671618244</v>
      </c>
      <c r="G389" s="2">
        <v>20193.073414818817</v>
      </c>
      <c r="H389" s="2">
        <v>4035.5588555952668</v>
      </c>
      <c r="I389" s="2">
        <v>7084.3196046404191</v>
      </c>
      <c r="J389" s="2">
        <v>27505.724833405602</v>
      </c>
      <c r="K389" s="2">
        <v>12558.43754740262</v>
      </c>
      <c r="L389" s="2">
        <v>3892.2106964127511</v>
      </c>
      <c r="M389" s="2">
        <v>8995.3451599926266</v>
      </c>
      <c r="N389" s="2">
        <v>30.5</v>
      </c>
      <c r="O389" s="2">
        <v>1367.1</v>
      </c>
    </row>
    <row r="390" spans="1:15">
      <c r="A390" s="1">
        <v>2022</v>
      </c>
      <c r="B390" s="9" t="s">
        <v>27</v>
      </c>
      <c r="C390" s="1" t="s">
        <v>28</v>
      </c>
      <c r="D390" s="2">
        <v>211072.98510298607</v>
      </c>
      <c r="E390" s="2">
        <v>55076.163601855049</v>
      </c>
      <c r="F390" s="2">
        <v>131202.70073633516</v>
      </c>
      <c r="G390" s="2">
        <v>20055.150151614809</v>
      </c>
      <c r="H390" s="2">
        <v>4738.9706131810681</v>
      </c>
      <c r="I390" s="2">
        <v>6349.8078756089672</v>
      </c>
      <c r="J390" s="2">
        <v>27295.075812003215</v>
      </c>
      <c r="K390" s="2">
        <v>12797.643988918746</v>
      </c>
      <c r="L390" s="2">
        <v>3952.4380830481268</v>
      </c>
      <c r="M390" s="2">
        <v>8617.3918933456735</v>
      </c>
      <c r="N390" s="2">
        <v>24.6</v>
      </c>
      <c r="O390" s="2">
        <v>1078.7</v>
      </c>
    </row>
    <row r="391" spans="1:15">
      <c r="A391" s="1">
        <v>2022</v>
      </c>
      <c r="B391" s="9" t="s">
        <v>29</v>
      </c>
      <c r="C391" s="1" t="s">
        <v>30</v>
      </c>
      <c r="D391" s="2">
        <v>224344.69228145332</v>
      </c>
      <c r="E391" s="2">
        <v>61062.849472568778</v>
      </c>
      <c r="F391" s="2">
        <v>137315.24581284518</v>
      </c>
      <c r="G391" s="2">
        <v>21777.889835250538</v>
      </c>
      <c r="H391" s="2">
        <v>4188.7071607888092</v>
      </c>
      <c r="I391" s="2">
        <v>6575.7131907899293</v>
      </c>
      <c r="J391" s="2">
        <v>28304.561358525367</v>
      </c>
      <c r="K391" s="2">
        <v>13104.120285434339</v>
      </c>
      <c r="L391" s="2">
        <v>4488.0410095598163</v>
      </c>
      <c r="M391" s="2">
        <v>8520.938567110541</v>
      </c>
      <c r="N391" s="2">
        <v>30.1</v>
      </c>
      <c r="O391" s="2">
        <v>1514.9</v>
      </c>
    </row>
    <row r="392" spans="1:15">
      <c r="A392" s="1">
        <v>2022</v>
      </c>
      <c r="B392" s="9" t="s">
        <v>31</v>
      </c>
      <c r="C392" s="1" t="s">
        <v>32</v>
      </c>
      <c r="D392" s="2">
        <v>213688.41611708404</v>
      </c>
      <c r="E392" s="2">
        <v>56406.711657718493</v>
      </c>
      <c r="F392" s="2">
        <v>132436.36083467095</v>
      </c>
      <c r="G392" s="2">
        <v>21151.641795538828</v>
      </c>
      <c r="H392" s="2">
        <v>3693.7018291557488</v>
      </c>
      <c r="I392" s="2">
        <v>5827.3256655781261</v>
      </c>
      <c r="J392" s="2">
        <v>28201.461744661541</v>
      </c>
      <c r="K392" s="2">
        <v>13625.202836021479</v>
      </c>
      <c r="L392" s="2">
        <v>5146.4212038301866</v>
      </c>
      <c r="M392" s="2">
        <v>7430.9289965572634</v>
      </c>
      <c r="N392" s="2">
        <v>28.2</v>
      </c>
      <c r="O392" s="2">
        <v>1355.7</v>
      </c>
    </row>
    <row r="393" spans="1:15">
      <c r="A393" s="1">
        <v>2022</v>
      </c>
      <c r="B393" s="9" t="s">
        <v>33</v>
      </c>
      <c r="C393" s="1" t="s">
        <v>34</v>
      </c>
      <c r="D393" s="2">
        <v>202444.13161993379</v>
      </c>
      <c r="E393" s="2">
        <v>52109.079306792257</v>
      </c>
      <c r="F393" s="2">
        <v>126708.22162834203</v>
      </c>
      <c r="G393" s="2">
        <v>19621.787752970111</v>
      </c>
      <c r="H393" s="2">
        <v>4005.0429318293636</v>
      </c>
      <c r="I393" s="2">
        <v>5839.3044362280298</v>
      </c>
      <c r="J393" s="2">
        <v>27255.116503597561</v>
      </c>
      <c r="K393" s="2">
        <v>12947.248422931507</v>
      </c>
      <c r="L393" s="2">
        <v>3585.4045021216602</v>
      </c>
      <c r="M393" s="2">
        <v>8605.6837333548519</v>
      </c>
      <c r="N393" s="2">
        <v>27.7</v>
      </c>
      <c r="O393" s="2">
        <v>1345.3</v>
      </c>
    </row>
    <row r="394" spans="1:15">
      <c r="A394" s="1">
        <v>2022</v>
      </c>
      <c r="B394" s="9" t="s">
        <v>35</v>
      </c>
      <c r="C394" s="1" t="s">
        <v>36</v>
      </c>
      <c r="D394" s="2">
        <v>195546.09505787183</v>
      </c>
      <c r="E394" s="2">
        <v>48198.286592211429</v>
      </c>
      <c r="F394" s="2">
        <v>123844.40840772033</v>
      </c>
      <c r="G394" s="2">
        <v>19863.049824517355</v>
      </c>
      <c r="H394" s="2">
        <v>3640.3502334227014</v>
      </c>
      <c r="I394" s="2">
        <v>5854.9532094896313</v>
      </c>
      <c r="J394" s="2">
        <v>23545.562210454817</v>
      </c>
      <c r="K394" s="2">
        <v>10237.085269876245</v>
      </c>
      <c r="L394" s="2">
        <v>3276.1220295203789</v>
      </c>
      <c r="M394" s="2">
        <v>7976.9862772491651</v>
      </c>
      <c r="N394" s="2">
        <v>26.7</v>
      </c>
      <c r="O394" s="2">
        <v>1075</v>
      </c>
    </row>
    <row r="395" spans="1:15">
      <c r="A395" s="1">
        <v>2022</v>
      </c>
      <c r="B395" s="9" t="s">
        <v>37</v>
      </c>
      <c r="C395" s="1" t="s">
        <v>38</v>
      </c>
      <c r="D395" s="2">
        <v>200987.9216050363</v>
      </c>
      <c r="E395" s="2">
        <v>49821.861021998804</v>
      </c>
      <c r="F395" s="2">
        <v>127153.29718357787</v>
      </c>
      <c r="G395" s="2">
        <v>19663.088118710744</v>
      </c>
      <c r="H395" s="2">
        <v>4349.6752807488492</v>
      </c>
      <c r="I395" s="2">
        <v>6165.0762278330767</v>
      </c>
      <c r="J395" s="2">
        <v>23800.394142674246</v>
      </c>
      <c r="K395" s="2">
        <v>10592.955690092676</v>
      </c>
      <c r="L395" s="2">
        <v>3623.1779058042453</v>
      </c>
      <c r="M395" s="2">
        <v>7608.6371652283024</v>
      </c>
      <c r="N395" s="2">
        <v>28.2</v>
      </c>
      <c r="O395" s="2">
        <v>1107.2</v>
      </c>
    </row>
    <row r="396" spans="1:15">
      <c r="A396" s="1">
        <v>2022</v>
      </c>
      <c r="B396" s="9" t="s">
        <v>39</v>
      </c>
      <c r="C396" s="1" t="s">
        <v>40</v>
      </c>
      <c r="D396" s="2">
        <v>196137.66709101881</v>
      </c>
      <c r="E396" s="2">
        <v>49540.230649852259</v>
      </c>
      <c r="F396" s="2">
        <v>122421.80822929577</v>
      </c>
      <c r="G396" s="2">
        <v>19700.365418748785</v>
      </c>
      <c r="H396" s="2">
        <v>4475.2627931220068</v>
      </c>
      <c r="I396" s="2">
        <v>6204.5202734865379</v>
      </c>
      <c r="J396" s="2">
        <v>22151.627262964423</v>
      </c>
      <c r="K396" s="2">
        <v>9437.9593977924687</v>
      </c>
      <c r="L396" s="2">
        <v>2892.4150690171036</v>
      </c>
      <c r="M396" s="2">
        <v>7799.587848737503</v>
      </c>
      <c r="N396" s="2">
        <v>27.8</v>
      </c>
      <c r="O396" s="2">
        <v>1224.3</v>
      </c>
    </row>
    <row r="397" spans="1:15">
      <c r="A397" s="1">
        <v>2022</v>
      </c>
      <c r="B397" s="9" t="s">
        <v>41</v>
      </c>
      <c r="C397" s="1" t="s">
        <v>42</v>
      </c>
      <c r="D397" s="2">
        <v>194767.42204633687</v>
      </c>
      <c r="E397" s="2">
        <v>47756.524782506778</v>
      </c>
      <c r="F397" s="2">
        <v>121518.78776082821</v>
      </c>
      <c r="G397" s="2">
        <v>20593.103928639557</v>
      </c>
      <c r="H397" s="2">
        <v>4899.0055743623388</v>
      </c>
      <c r="I397" s="2">
        <v>6481.1778597921048</v>
      </c>
      <c r="J397" s="2">
        <v>22003.938050314689</v>
      </c>
      <c r="K397" s="2">
        <v>9963.1132612614674</v>
      </c>
      <c r="L397" s="2">
        <v>2818.18518131885</v>
      </c>
      <c r="M397" s="2">
        <v>7228.5309437646538</v>
      </c>
      <c r="N397" s="2">
        <v>27.5</v>
      </c>
      <c r="O397" s="2">
        <v>857.2</v>
      </c>
    </row>
    <row r="398" spans="1:15">
      <c r="A398" s="1">
        <v>2022</v>
      </c>
      <c r="B398" s="9" t="s">
        <v>43</v>
      </c>
      <c r="C398" s="1" t="s">
        <v>44</v>
      </c>
      <c r="D398" s="2">
        <v>197550.82893746867</v>
      </c>
      <c r="E398" s="2">
        <v>50301.261601990249</v>
      </c>
      <c r="F398" s="2">
        <v>121460.28755818389</v>
      </c>
      <c r="G398" s="2">
        <v>21273.318741230392</v>
      </c>
      <c r="H398" s="2">
        <v>4515.9610360641391</v>
      </c>
      <c r="I398" s="2">
        <v>6938.9904061069101</v>
      </c>
      <c r="J398" s="2">
        <v>22687.33342725347</v>
      </c>
      <c r="K398" s="2">
        <v>9714.8466769633978</v>
      </c>
      <c r="L398" s="2">
        <v>2992.4414717844293</v>
      </c>
      <c r="M398" s="2">
        <v>7964.0361334096187</v>
      </c>
      <c r="N398" s="2">
        <v>25.9</v>
      </c>
      <c r="O398" s="2">
        <v>954.4</v>
      </c>
    </row>
    <row r="399" spans="1:15">
      <c r="A399" s="1">
        <v>2022</v>
      </c>
      <c r="B399" s="9" t="s">
        <v>45</v>
      </c>
      <c r="C399" s="1" t="s">
        <v>46</v>
      </c>
      <c r="D399" s="2">
        <v>194926.06937838637</v>
      </c>
      <c r="E399" s="2">
        <v>45872.879594260732</v>
      </c>
      <c r="F399" s="2">
        <v>121969.48038651979</v>
      </c>
      <c r="G399" s="2">
        <v>22200.081460542246</v>
      </c>
      <c r="H399" s="2">
        <v>4883.6279370635812</v>
      </c>
      <c r="I399" s="2">
        <v>5514.6779931345936</v>
      </c>
      <c r="J399" s="2">
        <v>18011.619913466562</v>
      </c>
      <c r="K399" s="2">
        <v>7542.3401026947322</v>
      </c>
      <c r="L399" s="2">
        <v>2795.8550654527171</v>
      </c>
      <c r="M399" s="2">
        <v>5954.5553568888236</v>
      </c>
      <c r="N399" s="2">
        <v>21.6</v>
      </c>
      <c r="O399" s="2">
        <v>891.5</v>
      </c>
    </row>
    <row r="400" spans="1:15">
      <c r="A400" s="1">
        <v>2022</v>
      </c>
      <c r="B400" s="9" t="s">
        <v>47</v>
      </c>
      <c r="C400" s="1" t="s">
        <v>48</v>
      </c>
      <c r="D400" s="2">
        <v>204398.69900130463</v>
      </c>
      <c r="E400" s="2">
        <v>50633.770750714015</v>
      </c>
      <c r="F400" s="2">
        <v>126742.63780021585</v>
      </c>
      <c r="G400" s="2">
        <v>22420.643113777736</v>
      </c>
      <c r="H400" s="2">
        <v>4601.6473365970305</v>
      </c>
      <c r="I400" s="2">
        <v>6761.0718068515835</v>
      </c>
      <c r="J400" s="2">
        <v>21854.371383979615</v>
      </c>
      <c r="K400" s="2">
        <v>9164.8019878550585</v>
      </c>
      <c r="L400" s="2">
        <v>3305.2950355640637</v>
      </c>
      <c r="M400" s="2">
        <v>7327.566292096767</v>
      </c>
      <c r="N400" s="2">
        <v>22.4</v>
      </c>
      <c r="O400" s="2">
        <v>798.9</v>
      </c>
    </row>
    <row r="401" spans="1:15">
      <c r="A401" s="1">
        <v>2022</v>
      </c>
      <c r="B401" s="9" t="s">
        <v>49</v>
      </c>
      <c r="C401" s="1" t="s">
        <v>50</v>
      </c>
      <c r="D401" s="2">
        <v>189541.81277244192</v>
      </c>
      <c r="E401" s="2">
        <v>48240.33708674676</v>
      </c>
      <c r="F401" s="2">
        <v>117625.82645547579</v>
      </c>
      <c r="G401" s="2">
        <v>20013.631043349473</v>
      </c>
      <c r="H401" s="2">
        <v>3662.0181868698805</v>
      </c>
      <c r="I401" s="2">
        <v>4902.9242068068952</v>
      </c>
      <c r="J401" s="2">
        <v>20723.248086919542</v>
      </c>
      <c r="K401" s="2">
        <v>9027.290895469956</v>
      </c>
      <c r="L401" s="2">
        <v>3642.9548000272894</v>
      </c>
      <c r="M401" s="2">
        <v>6309.6523781925862</v>
      </c>
      <c r="N401" s="2">
        <v>29.4</v>
      </c>
      <c r="O401" s="2">
        <v>1217.2</v>
      </c>
    </row>
    <row r="402" spans="1:15">
      <c r="A402" s="1">
        <v>2022</v>
      </c>
      <c r="B402" s="9" t="s">
        <v>51</v>
      </c>
      <c r="C402" s="1" t="s">
        <v>52</v>
      </c>
      <c r="D402" s="2">
        <v>192009.48317475227</v>
      </c>
      <c r="E402" s="2">
        <v>51764.485224256197</v>
      </c>
      <c r="F402" s="2">
        <v>116109.31535183778</v>
      </c>
      <c r="G402" s="2">
        <v>19707.810478885967</v>
      </c>
      <c r="H402" s="2">
        <v>4427.8721197723253</v>
      </c>
      <c r="I402" s="2">
        <v>5667.6634807874543</v>
      </c>
      <c r="J402" s="2">
        <v>21100.568625846412</v>
      </c>
      <c r="K402" s="2">
        <v>8942.1872722138214</v>
      </c>
      <c r="L402" s="2">
        <v>3135.344803669931</v>
      </c>
      <c r="M402" s="2">
        <v>7185.740467025209</v>
      </c>
      <c r="N402" s="2">
        <v>29.7</v>
      </c>
      <c r="O402" s="2">
        <v>1476</v>
      </c>
    </row>
    <row r="403" spans="1:15">
      <c r="A403" s="1">
        <v>2022</v>
      </c>
      <c r="B403" s="9" t="s">
        <v>53</v>
      </c>
      <c r="C403" s="1" t="s">
        <v>54</v>
      </c>
      <c r="D403" s="2">
        <v>201160.85275436271</v>
      </c>
      <c r="E403" s="2">
        <v>54390.23216997819</v>
      </c>
      <c r="F403" s="2">
        <v>123425.12876431296</v>
      </c>
      <c r="G403" s="2">
        <v>18873.642933182415</v>
      </c>
      <c r="H403" s="2">
        <v>4471.8488868891591</v>
      </c>
      <c r="I403" s="2">
        <v>6619.1604168913836</v>
      </c>
      <c r="J403" s="2">
        <v>21302.784294773151</v>
      </c>
      <c r="K403" s="2">
        <v>8354.1857904741264</v>
      </c>
      <c r="L403" s="2">
        <v>3350.0487641663121</v>
      </c>
      <c r="M403" s="2">
        <v>7647.76205553625</v>
      </c>
      <c r="N403" s="2">
        <v>30.2</v>
      </c>
      <c r="O403" s="2">
        <v>1480.6</v>
      </c>
    </row>
    <row r="404" spans="1:15">
      <c r="A404" s="1">
        <v>2022</v>
      </c>
      <c r="B404" s="9" t="s">
        <v>55</v>
      </c>
      <c r="C404" s="1" t="s">
        <v>56</v>
      </c>
      <c r="D404" s="2">
        <v>207921.67128944545</v>
      </c>
      <c r="E404" s="2">
        <v>58743.554650319114</v>
      </c>
      <c r="F404" s="2">
        <v>125293.19764190546</v>
      </c>
      <c r="G404" s="2">
        <v>19091.663064365071</v>
      </c>
      <c r="H404" s="2">
        <v>4793.2559328557918</v>
      </c>
      <c r="I404" s="2">
        <v>6700.7482227747541</v>
      </c>
      <c r="J404" s="2">
        <v>22803.854143841887</v>
      </c>
      <c r="K404" s="2">
        <v>10076.916326434057</v>
      </c>
      <c r="L404" s="2">
        <v>3439.929751798235</v>
      </c>
      <c r="M404" s="2">
        <v>7437.1535845276276</v>
      </c>
      <c r="N404" s="2">
        <v>27.2</v>
      </c>
      <c r="O404" s="2">
        <v>1361.1</v>
      </c>
    </row>
    <row r="405" spans="1:15">
      <c r="A405" s="1">
        <v>2022</v>
      </c>
      <c r="B405" s="9" t="s">
        <v>57</v>
      </c>
      <c r="C405" s="1" t="s">
        <v>58</v>
      </c>
      <c r="D405" s="2">
        <v>203272.12504186432</v>
      </c>
      <c r="E405" s="2">
        <v>53646.162741833599</v>
      </c>
      <c r="F405" s="2">
        <v>123948.14302041734</v>
      </c>
      <c r="G405" s="2">
        <v>20908.257232256612</v>
      </c>
      <c r="H405" s="2">
        <v>4769.5620473567806</v>
      </c>
      <c r="I405" s="2">
        <v>5613.7735677348201</v>
      </c>
      <c r="J405" s="2">
        <v>22254.451842458857</v>
      </c>
      <c r="K405" s="2">
        <v>9825.1880179280779</v>
      </c>
      <c r="L405" s="2">
        <v>3114.8806503677674</v>
      </c>
      <c r="M405" s="2">
        <v>7422.3859049956636</v>
      </c>
      <c r="N405" s="2">
        <v>28.8</v>
      </c>
      <c r="O405" s="2">
        <v>1321.4</v>
      </c>
    </row>
    <row r="406" spans="1:15">
      <c r="A406" s="1">
        <v>2022</v>
      </c>
      <c r="B406" s="9" t="s">
        <v>59</v>
      </c>
      <c r="C406" s="1" t="s">
        <v>60</v>
      </c>
      <c r="D406" s="2">
        <v>192175.26770484771</v>
      </c>
      <c r="E406" s="2">
        <v>49277.363359873227</v>
      </c>
      <c r="F406" s="2">
        <v>118861.45704530619</v>
      </c>
      <c r="G406" s="2">
        <v>19765.52605224857</v>
      </c>
      <c r="H406" s="2">
        <v>4270.9212474197548</v>
      </c>
      <c r="I406" s="2">
        <v>5563.4570539113147</v>
      </c>
      <c r="J406" s="2">
        <v>20355.370854426248</v>
      </c>
      <c r="K406" s="2">
        <v>8635.4168344385998</v>
      </c>
      <c r="L406" s="2">
        <v>3418.8605621736169</v>
      </c>
      <c r="M406" s="2">
        <v>6481.8584410072872</v>
      </c>
      <c r="N406" s="2">
        <v>23.6</v>
      </c>
      <c r="O406" s="2">
        <v>1136.3</v>
      </c>
    </row>
    <row r="407" spans="1:15">
      <c r="A407" s="1">
        <v>2022</v>
      </c>
      <c r="B407" s="9" t="s">
        <v>61</v>
      </c>
      <c r="C407" s="1" t="s">
        <v>62</v>
      </c>
      <c r="D407" s="2">
        <v>200314.84830477173</v>
      </c>
      <c r="E407" s="2">
        <v>48503.077383644588</v>
      </c>
      <c r="F407" s="2">
        <v>123892.16727515291</v>
      </c>
      <c r="G407" s="2">
        <v>23043.182714198396</v>
      </c>
      <c r="H407" s="2">
        <v>4876.4209317758432</v>
      </c>
      <c r="I407" s="2">
        <v>5560.4347034059301</v>
      </c>
      <c r="J407" s="2">
        <v>22251.104308457659</v>
      </c>
      <c r="K407" s="2">
        <v>9779.4929988735239</v>
      </c>
      <c r="L407" s="2">
        <v>3607.0229837242391</v>
      </c>
      <c r="M407" s="2">
        <v>7062.2968908488647</v>
      </c>
      <c r="N407" s="2">
        <v>23.5</v>
      </c>
      <c r="O407" s="2">
        <v>1010.3</v>
      </c>
    </row>
    <row r="408" spans="1:15">
      <c r="A408" s="1">
        <v>2022</v>
      </c>
      <c r="B408" s="9" t="s">
        <v>63</v>
      </c>
      <c r="C408" s="1" t="s">
        <v>64</v>
      </c>
      <c r="D408" s="2">
        <v>196994.81664767451</v>
      </c>
      <c r="E408" s="2">
        <v>47983.22099005121</v>
      </c>
      <c r="F408" s="2">
        <v>125288.80952694644</v>
      </c>
      <c r="G408" s="2">
        <v>19951.135615779771</v>
      </c>
      <c r="H408" s="2">
        <v>3771.6505148970841</v>
      </c>
      <c r="I408" s="2">
        <v>6315.2284908235015</v>
      </c>
      <c r="J408" s="2">
        <v>21921.265342381295</v>
      </c>
      <c r="K408" s="2">
        <v>9062.8223168843087</v>
      </c>
      <c r="L408" s="2">
        <v>3566.4880346806385</v>
      </c>
      <c r="M408" s="2">
        <v>7311.9258171492438</v>
      </c>
      <c r="N408" s="2">
        <v>26.2</v>
      </c>
      <c r="O408" s="2">
        <v>1012.6</v>
      </c>
    </row>
    <row r="409" spans="1:15">
      <c r="A409" s="1">
        <v>2022</v>
      </c>
      <c r="B409" s="9" t="s">
        <v>65</v>
      </c>
      <c r="C409" s="1" t="s">
        <v>66</v>
      </c>
      <c r="D409" s="2">
        <v>196469.23275248753</v>
      </c>
      <c r="E409" s="2">
        <v>44717.773037667132</v>
      </c>
      <c r="F409" s="2">
        <v>123742.59987165702</v>
      </c>
      <c r="G409" s="2">
        <v>23562.790385383621</v>
      </c>
      <c r="H409" s="2">
        <v>4446.0694577797403</v>
      </c>
      <c r="I409" s="2">
        <v>5344.7362016229563</v>
      </c>
      <c r="J409" s="2">
        <v>20403.07304718245</v>
      </c>
      <c r="K409" s="2">
        <v>8416.4231156565784</v>
      </c>
      <c r="L409" s="2">
        <v>3268.706309884752</v>
      </c>
      <c r="M409" s="2">
        <v>6894.3981538416247</v>
      </c>
      <c r="N409" s="2">
        <v>22.7</v>
      </c>
      <c r="O409" s="2">
        <v>879.7</v>
      </c>
    </row>
    <row r="410" spans="1:15">
      <c r="A410" s="1">
        <v>2022</v>
      </c>
      <c r="B410" s="9" t="s">
        <v>67</v>
      </c>
      <c r="C410" s="1" t="s">
        <v>68</v>
      </c>
      <c r="D410" s="2">
        <v>199775.87256418934</v>
      </c>
      <c r="E410" s="2">
        <v>50565.311478822827</v>
      </c>
      <c r="F410" s="2">
        <v>123961.10094936636</v>
      </c>
      <c r="G410" s="2">
        <v>21007.261583466301</v>
      </c>
      <c r="H410" s="2">
        <v>4242.198552533825</v>
      </c>
      <c r="I410" s="2">
        <v>5873.7743022967861</v>
      </c>
      <c r="J410" s="2">
        <v>22175.644923590226</v>
      </c>
      <c r="K410" s="2">
        <v>9124.7414552884238</v>
      </c>
      <c r="L410" s="2">
        <v>3536.1572938633153</v>
      </c>
      <c r="M410" s="2">
        <v>7673.4805097941853</v>
      </c>
      <c r="N410" s="2">
        <v>27.1</v>
      </c>
      <c r="O410" s="2">
        <v>1100.4000000000001</v>
      </c>
    </row>
    <row r="411" spans="1:15">
      <c r="A411" s="1">
        <v>2022</v>
      </c>
      <c r="B411" s="9" t="s">
        <v>69</v>
      </c>
      <c r="C411" s="1" t="s">
        <v>70</v>
      </c>
      <c r="D411" s="2">
        <v>194853.59564442595</v>
      </c>
      <c r="E411" s="2">
        <v>50582.5574118738</v>
      </c>
      <c r="F411" s="2">
        <v>119658.38426710534</v>
      </c>
      <c r="G411" s="2">
        <v>19899.688525719168</v>
      </c>
      <c r="H411" s="2">
        <v>4712.9654397276345</v>
      </c>
      <c r="I411" s="2">
        <v>5653.6509940268215</v>
      </c>
      <c r="J411" s="2">
        <v>20296.072839968107</v>
      </c>
      <c r="K411" s="2">
        <v>8745.6033355508844</v>
      </c>
      <c r="L411" s="2">
        <v>3047.1278725816705</v>
      </c>
      <c r="M411" s="2">
        <v>6719.0597946839935</v>
      </c>
      <c r="N411" s="2">
        <v>24</v>
      </c>
      <c r="O411" s="2">
        <v>983.9</v>
      </c>
    </row>
    <row r="412" spans="1:15">
      <c r="A412" s="1">
        <v>2022</v>
      </c>
      <c r="B412" s="9" t="s">
        <v>71</v>
      </c>
      <c r="C412" s="1" t="s">
        <v>72</v>
      </c>
      <c r="D412" s="2">
        <v>203866.04762333454</v>
      </c>
      <c r="E412" s="2">
        <v>52586.978290399667</v>
      </c>
      <c r="F412" s="2">
        <v>123298.22899483654</v>
      </c>
      <c r="G412" s="2">
        <v>21914.118281960273</v>
      </c>
      <c r="H412" s="2">
        <v>6066.7220561380736</v>
      </c>
      <c r="I412" s="2">
        <v>6020.9685236732348</v>
      </c>
      <c r="J412" s="2">
        <v>18316.558350014206</v>
      </c>
      <c r="K412" s="2">
        <v>7463.1787972025259</v>
      </c>
      <c r="L412" s="2">
        <v>3149.1612423156794</v>
      </c>
      <c r="M412" s="2">
        <v>5806.1248560484073</v>
      </c>
      <c r="N412" s="2">
        <v>25.6</v>
      </c>
      <c r="O412" s="2">
        <v>1252.7</v>
      </c>
    </row>
    <row r="413" spans="1:15">
      <c r="A413" s="1">
        <v>2022</v>
      </c>
      <c r="B413" s="9" t="s">
        <v>73</v>
      </c>
      <c r="C413" s="1" t="s">
        <v>74</v>
      </c>
      <c r="D413" s="2">
        <v>209387.59976174269</v>
      </c>
      <c r="E413" s="2">
        <v>50836.31212609967</v>
      </c>
      <c r="F413" s="2">
        <v>125838.04248522519</v>
      </c>
      <c r="G413" s="2">
        <v>25125.510361478846</v>
      </c>
      <c r="H413" s="2">
        <v>7587.7347889390203</v>
      </c>
      <c r="I413" s="2">
        <v>5793.5208688778785</v>
      </c>
      <c r="J413" s="2">
        <v>19705.72376036776</v>
      </c>
      <c r="K413" s="2">
        <v>8432.8729122796558</v>
      </c>
      <c r="L413" s="2">
        <v>3185.3065570406811</v>
      </c>
      <c r="M413" s="2">
        <v>6356.7083858449041</v>
      </c>
      <c r="N413" s="2">
        <v>25</v>
      </c>
      <c r="O413" s="2">
        <v>1184.4000000000001</v>
      </c>
    </row>
    <row r="414" spans="1:15">
      <c r="A414" s="1">
        <v>2022</v>
      </c>
      <c r="B414" s="9" t="s">
        <v>75</v>
      </c>
      <c r="C414" s="1" t="s">
        <v>76</v>
      </c>
      <c r="D414" s="2">
        <v>209710.59118505323</v>
      </c>
      <c r="E414" s="2">
        <v>52071.325087476856</v>
      </c>
      <c r="F414" s="2">
        <v>128396.82936571552</v>
      </c>
      <c r="G414" s="2">
        <v>23834.664307828989</v>
      </c>
      <c r="H414" s="2">
        <v>5407.7724240318757</v>
      </c>
      <c r="I414" s="2">
        <v>5901.5965456155891</v>
      </c>
      <c r="J414" s="2">
        <v>21050.964712927231</v>
      </c>
      <c r="K414" s="2">
        <v>8756.352979788302</v>
      </c>
      <c r="L414" s="2">
        <v>3429.9769683301101</v>
      </c>
      <c r="M414" s="2">
        <v>7080.7879883546266</v>
      </c>
      <c r="N414" s="2">
        <v>26.3</v>
      </c>
      <c r="O414" s="2">
        <v>1181.5</v>
      </c>
    </row>
    <row r="415" spans="1:15">
      <c r="A415" s="1">
        <v>2022</v>
      </c>
      <c r="B415" s="9" t="s">
        <v>77</v>
      </c>
      <c r="C415" s="1" t="s">
        <v>78</v>
      </c>
      <c r="D415" s="2">
        <v>209265.95605666935</v>
      </c>
      <c r="E415" s="2">
        <v>54350.472395001925</v>
      </c>
      <c r="F415" s="2">
        <v>127759.16986057922</v>
      </c>
      <c r="G415" s="2">
        <v>21206.721858314526</v>
      </c>
      <c r="H415" s="2">
        <v>5949.5919427736499</v>
      </c>
      <c r="I415" s="2">
        <v>6528.3308038908854</v>
      </c>
      <c r="J415" s="2">
        <v>21822.645147166368</v>
      </c>
      <c r="K415" s="2">
        <v>8974.1384114052998</v>
      </c>
      <c r="L415" s="2">
        <v>3690.3880099709813</v>
      </c>
      <c r="M415" s="2">
        <v>7071.2044948061239</v>
      </c>
      <c r="N415" s="2">
        <v>25.4</v>
      </c>
      <c r="O415" s="2">
        <v>1221.4000000000001</v>
      </c>
    </row>
    <row r="416" spans="1:15">
      <c r="A416" s="1">
        <v>2022</v>
      </c>
      <c r="B416" s="9" t="s">
        <v>79</v>
      </c>
      <c r="C416" s="1" t="s">
        <v>80</v>
      </c>
      <c r="D416" s="2">
        <v>208524.32110081281</v>
      </c>
      <c r="E416" s="2">
        <v>51349.30881206815</v>
      </c>
      <c r="F416" s="2">
        <v>128611.04668447278</v>
      </c>
      <c r="G416" s="2">
        <v>21719.468914494093</v>
      </c>
      <c r="H416" s="2">
        <v>6844.4966897777922</v>
      </c>
      <c r="I416" s="2">
        <v>5756.377065411697</v>
      </c>
      <c r="J416" s="2">
        <v>22349.290974246971</v>
      </c>
      <c r="K416" s="2">
        <v>9930.538291367473</v>
      </c>
      <c r="L416" s="2">
        <v>3082.291673228553</v>
      </c>
      <c r="M416" s="2">
        <v>7377.3896508230264</v>
      </c>
      <c r="N416" s="2">
        <v>26.5</v>
      </c>
      <c r="O416" s="2">
        <v>1420.8</v>
      </c>
    </row>
    <row r="417" spans="1:15">
      <c r="A417" s="1">
        <v>2022</v>
      </c>
      <c r="B417" s="9" t="s">
        <v>81</v>
      </c>
      <c r="C417" s="1" t="s">
        <v>82</v>
      </c>
      <c r="D417" s="2">
        <v>201013.69902847361</v>
      </c>
      <c r="E417" s="2">
        <v>59031.681296466973</v>
      </c>
      <c r="F417" s="2">
        <v>118092.59625383625</v>
      </c>
      <c r="G417" s="2">
        <v>20454.488917197668</v>
      </c>
      <c r="H417" s="2">
        <v>3434.9325609726829</v>
      </c>
      <c r="I417" s="2">
        <v>6154.3113828603682</v>
      </c>
      <c r="J417" s="2">
        <v>19937.864276958968</v>
      </c>
      <c r="K417" s="2">
        <v>8932.1324144619175</v>
      </c>
      <c r="L417" s="2">
        <v>3322.5548201468009</v>
      </c>
      <c r="M417" s="2">
        <v>6118.9798817507753</v>
      </c>
      <c r="N417" s="2">
        <v>27.3</v>
      </c>
      <c r="O417" s="2">
        <v>1528.1</v>
      </c>
    </row>
    <row r="418" spans="1:15">
      <c r="A418" s="1">
        <v>2022</v>
      </c>
      <c r="B418" s="9" t="s">
        <v>83</v>
      </c>
      <c r="C418" s="1" t="s">
        <v>84</v>
      </c>
      <c r="D418" s="2">
        <v>216228.06992751776</v>
      </c>
      <c r="E418" s="2">
        <v>61428.018439324318</v>
      </c>
      <c r="F418" s="2">
        <v>131523.62119597534</v>
      </c>
      <c r="G418" s="2">
        <v>19980.905901164446</v>
      </c>
      <c r="H418" s="2">
        <v>3295.5243910536101</v>
      </c>
      <c r="I418" s="2">
        <v>7225.5018823208084</v>
      </c>
      <c r="J418" s="2">
        <v>24018.42990379249</v>
      </c>
      <c r="K418" s="2">
        <v>10664.042101188319</v>
      </c>
      <c r="L418" s="2">
        <v>4411.4715105557279</v>
      </c>
      <c r="M418" s="2">
        <v>6968.8909742152664</v>
      </c>
      <c r="N418" s="2">
        <v>26.9</v>
      </c>
      <c r="O418" s="2">
        <v>1474.9</v>
      </c>
    </row>
    <row r="419" spans="1:15">
      <c r="A419" s="1">
        <v>2022</v>
      </c>
      <c r="B419" s="9" t="s">
        <v>85</v>
      </c>
      <c r="C419" s="1" t="s">
        <v>86</v>
      </c>
      <c r="D419" s="2">
        <v>205803.50675242062</v>
      </c>
      <c r="E419" s="2">
        <v>52327.69674014581</v>
      </c>
      <c r="F419" s="2">
        <v>125892.84577035441</v>
      </c>
      <c r="G419" s="2">
        <v>23719.832095608406</v>
      </c>
      <c r="H419" s="2">
        <v>3863.1321463119561</v>
      </c>
      <c r="I419" s="2">
        <v>5226.332313196619</v>
      </c>
      <c r="J419" s="2">
        <v>21207.1575359942</v>
      </c>
      <c r="K419" s="2">
        <v>8988.1623692876037</v>
      </c>
      <c r="L419" s="2">
        <v>3546.8170423311858</v>
      </c>
      <c r="M419" s="2">
        <v>7122.637622349077</v>
      </c>
      <c r="N419" s="2">
        <v>26.8</v>
      </c>
      <c r="O419" s="2">
        <v>1455.3</v>
      </c>
    </row>
    <row r="420" spans="1:15">
      <c r="A420" s="1">
        <v>2022</v>
      </c>
      <c r="B420" s="9" t="s">
        <v>87</v>
      </c>
      <c r="C420" s="1" t="s">
        <v>88</v>
      </c>
      <c r="D420" s="2">
        <v>202506.0493687554</v>
      </c>
      <c r="E420" s="2">
        <v>51050.782272800949</v>
      </c>
      <c r="F420" s="2">
        <v>125806.91112606792</v>
      </c>
      <c r="G420" s="2">
        <v>21607.369428666461</v>
      </c>
      <c r="H420" s="2">
        <v>4040.9865412200625</v>
      </c>
      <c r="I420" s="2">
        <v>5371.788108991972</v>
      </c>
      <c r="J420" s="2">
        <v>20908.892106831423</v>
      </c>
      <c r="K420" s="2">
        <v>8767.0718570322842</v>
      </c>
      <c r="L420" s="2">
        <v>3348.7935141694647</v>
      </c>
      <c r="M420" s="2">
        <v>7016.9880074221246</v>
      </c>
      <c r="N420" s="2">
        <v>29.6</v>
      </c>
      <c r="O420" s="2">
        <v>1338</v>
      </c>
    </row>
    <row r="421" spans="1:15">
      <c r="A421" s="1">
        <v>2022</v>
      </c>
      <c r="B421" s="9" t="s">
        <v>89</v>
      </c>
      <c r="C421" s="1" t="s">
        <v>90</v>
      </c>
      <c r="D421" s="2">
        <v>216411.32898266896</v>
      </c>
      <c r="E421" s="2">
        <v>59004.346993463376</v>
      </c>
      <c r="F421" s="2">
        <v>130761.21258649846</v>
      </c>
      <c r="G421" s="2">
        <v>22243.474548291757</v>
      </c>
      <c r="H421" s="2">
        <v>4402.2948544153842</v>
      </c>
      <c r="I421" s="2">
        <v>7185.6476422437754</v>
      </c>
      <c r="J421" s="2">
        <v>23234.29630107903</v>
      </c>
      <c r="K421" s="2">
        <v>10063.819078696439</v>
      </c>
      <c r="L421" s="2">
        <v>3442.2944653801715</v>
      </c>
      <c r="M421" s="2">
        <v>7436.1373710571079</v>
      </c>
      <c r="N421" s="2">
        <v>37.200000000000003</v>
      </c>
      <c r="O421" s="2">
        <v>1854.1</v>
      </c>
    </row>
    <row r="422" spans="1:15">
      <c r="A422" s="1">
        <v>2022</v>
      </c>
      <c r="B422" s="9" t="s">
        <v>91</v>
      </c>
      <c r="C422" s="1" t="s">
        <v>92</v>
      </c>
      <c r="D422" s="2">
        <v>218293.4527376231</v>
      </c>
      <c r="E422" s="2">
        <v>56857.96336640048</v>
      </c>
      <c r="F422" s="2">
        <v>131891.17328314288</v>
      </c>
      <c r="G422" s="2">
        <v>23804.923686149687</v>
      </c>
      <c r="H422" s="2">
        <v>5739.392401930043</v>
      </c>
      <c r="I422" s="2">
        <v>6701.3912580966271</v>
      </c>
      <c r="J422" s="2">
        <v>24488.537034825888</v>
      </c>
      <c r="K422" s="2">
        <v>11038.136444936201</v>
      </c>
      <c r="L422" s="2">
        <v>2863.7728834884447</v>
      </c>
      <c r="M422" s="2">
        <v>8630.5181543779945</v>
      </c>
      <c r="N422" s="2">
        <v>36.1</v>
      </c>
      <c r="O422" s="2">
        <v>1885.9</v>
      </c>
    </row>
    <row r="423" spans="1:15">
      <c r="A423" s="1">
        <v>2022</v>
      </c>
      <c r="B423" s="9" t="s">
        <v>93</v>
      </c>
      <c r="C423" s="1" t="s">
        <v>94</v>
      </c>
      <c r="D423" s="2">
        <v>217238.85697369103</v>
      </c>
      <c r="E423" s="2">
        <v>55867.337915264798</v>
      </c>
      <c r="F423" s="2">
        <v>133232.28470479208</v>
      </c>
      <c r="G423" s="2">
        <v>23453.075595552582</v>
      </c>
      <c r="H423" s="2">
        <v>4686.1587580815367</v>
      </c>
      <c r="I423" s="2">
        <v>6481.1962712288059</v>
      </c>
      <c r="J423" s="2">
        <v>22188.043156993801</v>
      </c>
      <c r="K423" s="2">
        <v>9238.4656214821734</v>
      </c>
      <c r="L423" s="2">
        <v>2893.054586856897</v>
      </c>
      <c r="M423" s="2">
        <v>7996.2793813535291</v>
      </c>
      <c r="N423" s="2">
        <v>28</v>
      </c>
      <c r="O423" s="2">
        <v>1505.2</v>
      </c>
    </row>
    <row r="424" spans="1:15">
      <c r="A424" s="1">
        <v>2022</v>
      </c>
      <c r="B424" s="9" t="s">
        <v>95</v>
      </c>
      <c r="C424" s="1" t="s">
        <v>96</v>
      </c>
      <c r="D424" s="2">
        <v>206133.91518794617</v>
      </c>
      <c r="E424" s="2">
        <v>55217.291423079849</v>
      </c>
      <c r="F424" s="2">
        <v>125682.11763405785</v>
      </c>
      <c r="G424" s="2">
        <v>20310.190952334437</v>
      </c>
      <c r="H424" s="2">
        <v>4924.3151784739794</v>
      </c>
      <c r="I424" s="2">
        <v>6432.5829428544075</v>
      </c>
      <c r="J424" s="2">
        <v>21784.1414221425</v>
      </c>
      <c r="K424" s="2">
        <v>8897.0142845725532</v>
      </c>
      <c r="L424" s="2">
        <v>3207.1963469130214</v>
      </c>
      <c r="M424" s="2">
        <v>7259.2215719995793</v>
      </c>
      <c r="N424" s="2">
        <v>28.9</v>
      </c>
      <c r="O424" s="2">
        <v>1551.3</v>
      </c>
    </row>
    <row r="425" spans="1:15">
      <c r="A425" s="1">
        <v>2022</v>
      </c>
      <c r="B425" s="9" t="s">
        <v>97</v>
      </c>
      <c r="C425" s="1" t="s">
        <v>98</v>
      </c>
      <c r="D425" s="2">
        <v>210485.54130011614</v>
      </c>
      <c r="E425" s="2">
        <v>61465.732821395475</v>
      </c>
      <c r="F425" s="2">
        <v>124409.77641464882</v>
      </c>
      <c r="G425" s="2">
        <v>19895.789940066574</v>
      </c>
      <c r="H425" s="2">
        <v>4714.2421240052354</v>
      </c>
      <c r="I425" s="2">
        <v>6984.0347111384017</v>
      </c>
      <c r="J425" s="2">
        <v>22504.911535594656</v>
      </c>
      <c r="K425" s="2">
        <v>10676.072418009846</v>
      </c>
      <c r="L425" s="2">
        <v>2654.4616414607108</v>
      </c>
      <c r="M425" s="2">
        <v>6671.9620942192214</v>
      </c>
      <c r="N425" s="2">
        <v>40.799999999999997</v>
      </c>
      <c r="O425" s="2">
        <v>2328.1</v>
      </c>
    </row>
    <row r="426" spans="1:15">
      <c r="A426" s="1">
        <v>2022</v>
      </c>
      <c r="B426" s="9" t="s">
        <v>99</v>
      </c>
      <c r="C426" s="1" t="s">
        <v>100</v>
      </c>
      <c r="D426" s="2">
        <v>214331.24552119809</v>
      </c>
      <c r="E426" s="2">
        <v>57410.882670210238</v>
      </c>
      <c r="F426" s="2">
        <v>127261.15179582062</v>
      </c>
      <c r="G426" s="2">
        <v>23290.538179001134</v>
      </c>
      <c r="H426" s="2">
        <v>6368.6728761660861</v>
      </c>
      <c r="I426" s="2">
        <v>6701.4493354560036</v>
      </c>
      <c r="J426" s="2">
        <v>21879.425241856537</v>
      </c>
      <c r="K426" s="2">
        <v>9940.5244336835221</v>
      </c>
      <c r="L426" s="2">
        <v>3034.0013802054095</v>
      </c>
      <c r="M426" s="2">
        <v>7018.0927037906167</v>
      </c>
      <c r="N426" s="2">
        <v>33.200000000000003</v>
      </c>
      <c r="O426" s="2">
        <v>1596.8</v>
      </c>
    </row>
    <row r="427" spans="1:15">
      <c r="A427" s="1">
        <v>2022</v>
      </c>
      <c r="B427" s="9" t="s">
        <v>101</v>
      </c>
      <c r="C427" s="1" t="s">
        <v>102</v>
      </c>
      <c r="D427" s="2">
        <v>234186.97758294203</v>
      </c>
      <c r="E427" s="2">
        <v>65252.064370210639</v>
      </c>
      <c r="F427" s="2">
        <v>140944.97516187644</v>
      </c>
      <c r="G427" s="2">
        <v>21593.679559239612</v>
      </c>
      <c r="H427" s="2">
        <v>6396.2584916153355</v>
      </c>
      <c r="I427" s="2">
        <v>7232.9877901414102</v>
      </c>
      <c r="J427" s="2">
        <v>27560.046387397491</v>
      </c>
      <c r="K427" s="2">
        <v>12594.516036901692</v>
      </c>
      <c r="L427" s="2">
        <v>4492.5928642695562</v>
      </c>
      <c r="M427" s="2">
        <v>8563.8144818929522</v>
      </c>
      <c r="N427" s="2">
        <v>38.299999999999997</v>
      </c>
      <c r="O427" s="2">
        <v>1767</v>
      </c>
    </row>
    <row r="428" spans="1:15">
      <c r="A428" s="1">
        <v>2022</v>
      </c>
      <c r="B428" s="9" t="s">
        <v>103</v>
      </c>
      <c r="C428" s="1" t="s">
        <v>104</v>
      </c>
      <c r="D428" s="2">
        <v>219595.3632123977</v>
      </c>
      <c r="E428" s="2">
        <v>63913.950695119172</v>
      </c>
      <c r="F428" s="2">
        <v>127885.58782850284</v>
      </c>
      <c r="G428" s="2">
        <v>21768.351951662564</v>
      </c>
      <c r="H428" s="2">
        <v>6027.4727371131075</v>
      </c>
      <c r="I428" s="2">
        <v>6815.2806478172552</v>
      </c>
      <c r="J428" s="2">
        <v>24132.300151697436</v>
      </c>
      <c r="K428" s="2">
        <v>11775.728496690153</v>
      </c>
      <c r="L428" s="2">
        <v>2812.7549434793727</v>
      </c>
      <c r="M428" s="2">
        <v>7378.8309285766463</v>
      </c>
      <c r="N428" s="2">
        <v>36.4</v>
      </c>
      <c r="O428" s="2">
        <v>1971.3</v>
      </c>
    </row>
    <row r="429" spans="1:15">
      <c r="A429" s="1">
        <v>2022</v>
      </c>
      <c r="B429" s="9" t="s">
        <v>105</v>
      </c>
      <c r="C429" s="1" t="s">
        <v>106</v>
      </c>
      <c r="D429" s="2">
        <v>217907.64875285586</v>
      </c>
      <c r="E429" s="2">
        <v>60516.579339660471</v>
      </c>
      <c r="F429" s="2">
        <v>131030.26955754578</v>
      </c>
      <c r="G429" s="2">
        <v>20896.169923806978</v>
      </c>
      <c r="H429" s="2">
        <v>5464.62993184265</v>
      </c>
      <c r="I429" s="2">
        <v>6419.0445555407032</v>
      </c>
      <c r="J429" s="2">
        <v>24821.617671434309</v>
      </c>
      <c r="K429" s="2">
        <v>11771.227181072052</v>
      </c>
      <c r="L429" s="2">
        <v>3166.585131346078</v>
      </c>
      <c r="M429" s="2">
        <v>8201.5814542440894</v>
      </c>
      <c r="N429" s="2">
        <v>37.1</v>
      </c>
      <c r="O429" s="2">
        <v>1878.5</v>
      </c>
    </row>
    <row r="430" spans="1:15">
      <c r="A430" s="1">
        <v>2022</v>
      </c>
      <c r="B430" s="9" t="s">
        <v>107</v>
      </c>
      <c r="C430" s="1" t="s">
        <v>108</v>
      </c>
      <c r="D430" s="2">
        <v>220513.48634695142</v>
      </c>
      <c r="E430" s="2">
        <v>63063.36524735581</v>
      </c>
      <c r="F430" s="2">
        <v>132997.53149628517</v>
      </c>
      <c r="G430" s="2">
        <v>19121.461186949335</v>
      </c>
      <c r="H430" s="2">
        <v>5331.1284163610771</v>
      </c>
      <c r="I430" s="2">
        <v>7244.4800000663954</v>
      </c>
      <c r="J430" s="2">
        <v>25033.381517199719</v>
      </c>
      <c r="K430" s="2">
        <v>10915.515613443067</v>
      </c>
      <c r="L430" s="2">
        <v>3464.9778116762805</v>
      </c>
      <c r="M430" s="2">
        <v>8575.9192710788629</v>
      </c>
      <c r="N430" s="2">
        <v>30.4</v>
      </c>
      <c r="O430" s="2">
        <v>1757.7</v>
      </c>
    </row>
    <row r="431" spans="1:15">
      <c r="A431" s="1">
        <v>2022</v>
      </c>
      <c r="B431" s="9" t="s">
        <v>109</v>
      </c>
      <c r="C431" s="1" t="s">
        <v>110</v>
      </c>
      <c r="D431" s="2">
        <v>206090.68991486172</v>
      </c>
      <c r="E431" s="2">
        <v>54828.981283445966</v>
      </c>
      <c r="F431" s="2">
        <v>126479.7194589116</v>
      </c>
      <c r="G431" s="2">
        <v>19895.734941544521</v>
      </c>
      <c r="H431" s="2">
        <v>4886.2542309596793</v>
      </c>
      <c r="I431" s="2">
        <v>6273.0767211681805</v>
      </c>
      <c r="J431" s="2">
        <v>23318.464599552663</v>
      </c>
      <c r="K431" s="2">
        <v>11557.11169750091</v>
      </c>
      <c r="L431" s="2">
        <v>2355.878161927139</v>
      </c>
      <c r="M431" s="2">
        <v>7392.9823175471956</v>
      </c>
      <c r="N431" s="2">
        <v>35.5</v>
      </c>
      <c r="O431" s="2">
        <v>1727.9</v>
      </c>
    </row>
    <row r="432" spans="1:15">
      <c r="A432" s="1">
        <v>2022</v>
      </c>
      <c r="B432" s="9" t="s">
        <v>111</v>
      </c>
      <c r="C432" s="1" t="s">
        <v>112</v>
      </c>
      <c r="D432" s="2">
        <v>215188.84971442743</v>
      </c>
      <c r="E432" s="2">
        <v>61254.50225681594</v>
      </c>
      <c r="F432" s="2">
        <v>128849.13142070634</v>
      </c>
      <c r="G432" s="2">
        <v>19707.430694064962</v>
      </c>
      <c r="H432" s="2">
        <v>5377.7853428401459</v>
      </c>
      <c r="I432" s="2">
        <v>6806.8757266755783</v>
      </c>
      <c r="J432" s="2">
        <v>24388.350488892414</v>
      </c>
      <c r="K432" s="2">
        <v>11593.545382564162</v>
      </c>
      <c r="L432" s="2">
        <v>2442.3951784177511</v>
      </c>
      <c r="M432" s="2">
        <v>7930.6677466181973</v>
      </c>
      <c r="N432" s="2">
        <v>38.700000000000003</v>
      </c>
      <c r="O432" s="2">
        <v>2026.4</v>
      </c>
    </row>
    <row r="433" spans="1:15">
      <c r="A433" s="1">
        <v>2022</v>
      </c>
      <c r="B433" s="9" t="s">
        <v>113</v>
      </c>
      <c r="C433" s="1" t="s">
        <v>114</v>
      </c>
      <c r="D433" s="2">
        <v>189357.27507801124</v>
      </c>
      <c r="E433" s="2">
        <v>53966.218179768126</v>
      </c>
      <c r="F433" s="2">
        <v>112325.59775088808</v>
      </c>
      <c r="G433" s="2">
        <v>18376.733722398712</v>
      </c>
      <c r="H433" s="2">
        <v>4688.7254249563694</v>
      </c>
      <c r="I433" s="2">
        <v>7003.1333604437086</v>
      </c>
      <c r="J433" s="2">
        <v>19050.364951091145</v>
      </c>
      <c r="K433" s="2">
        <v>9548.1535562050503</v>
      </c>
      <c r="L433" s="2">
        <v>2076.8125647722882</v>
      </c>
      <c r="M433" s="2">
        <v>5683.6037242330995</v>
      </c>
      <c r="N433" s="2">
        <v>30</v>
      </c>
      <c r="O433" s="2">
        <v>1274</v>
      </c>
    </row>
    <row r="434" spans="1:15" hidden="1">
      <c r="A434" s="1">
        <v>2023</v>
      </c>
      <c r="B434" s="9" t="s">
        <v>205</v>
      </c>
      <c r="C434" s="1" t="s">
        <v>206</v>
      </c>
      <c r="D434" s="2">
        <v>210287.43676072056</v>
      </c>
      <c r="E434" s="2">
        <v>53778.158636884713</v>
      </c>
      <c r="F434" s="2">
        <v>128927.48474866941</v>
      </c>
      <c r="G434" s="2">
        <v>22358.524982426065</v>
      </c>
      <c r="H434" s="2">
        <v>5223.2683927404642</v>
      </c>
      <c r="I434" s="2">
        <v>6261.7588855949625</v>
      </c>
      <c r="J434" s="2">
        <v>21835.997920865746</v>
      </c>
      <c r="K434" s="21">
        <v>9398.3654606857162</v>
      </c>
      <c r="L434" s="21">
        <v>3252.2337982796403</v>
      </c>
      <c r="M434" s="21">
        <v>7275.2015586953003</v>
      </c>
      <c r="N434" s="22">
        <v>26.3</v>
      </c>
      <c r="O434" s="22">
        <v>1191.0999999999999</v>
      </c>
    </row>
    <row r="435" spans="1:15">
      <c r="A435" s="1">
        <v>2023</v>
      </c>
      <c r="B435" s="9" t="s">
        <v>207</v>
      </c>
      <c r="C435" s="1" t="s">
        <v>22</v>
      </c>
      <c r="D435" s="2">
        <v>232288.06371134004</v>
      </c>
      <c r="E435" s="2">
        <v>67505.210689343119</v>
      </c>
      <c r="F435" s="2">
        <v>137861.93409467724</v>
      </c>
      <c r="G435" s="2">
        <v>22680.016566053571</v>
      </c>
      <c r="H435" s="2">
        <v>4240.9023612661149</v>
      </c>
      <c r="I435" s="2">
        <v>8030.5053636658749</v>
      </c>
      <c r="J435" s="2">
        <v>25521.595379746668</v>
      </c>
      <c r="K435" s="21">
        <v>10575.359949743297</v>
      </c>
      <c r="L435" s="21">
        <v>3269.0112465361135</v>
      </c>
      <c r="M435" s="21">
        <v>8929.8851102393219</v>
      </c>
      <c r="N435" s="22">
        <v>29.6</v>
      </c>
      <c r="O435" s="22">
        <v>1765.3</v>
      </c>
    </row>
    <row r="436" spans="1:15">
      <c r="A436" s="1">
        <v>2023</v>
      </c>
      <c r="B436" s="9" t="s">
        <v>23</v>
      </c>
      <c r="C436" s="1" t="s">
        <v>24</v>
      </c>
      <c r="D436" s="2">
        <v>215115.73292000353</v>
      </c>
      <c r="E436" s="2">
        <v>56151.59272821778</v>
      </c>
      <c r="F436" s="2">
        <v>135981.60575505192</v>
      </c>
      <c r="G436" s="2">
        <v>19511.127337707356</v>
      </c>
      <c r="H436" s="2">
        <v>3471.4070990264581</v>
      </c>
      <c r="I436" s="2">
        <v>7103.9296889944226</v>
      </c>
      <c r="J436" s="2">
        <v>28810.925927112687</v>
      </c>
      <c r="K436" s="21">
        <v>13279.073847702266</v>
      </c>
      <c r="L436" s="21">
        <v>3778.0350366954776</v>
      </c>
      <c r="M436" s="21">
        <v>9510.4221653116565</v>
      </c>
      <c r="N436" s="22">
        <v>29.7</v>
      </c>
      <c r="O436" s="22">
        <v>1357.2</v>
      </c>
    </row>
    <row r="437" spans="1:15">
      <c r="A437" s="1">
        <v>2023</v>
      </c>
      <c r="B437" s="9" t="s">
        <v>25</v>
      </c>
      <c r="C437" s="1" t="s">
        <v>26</v>
      </c>
      <c r="D437" s="2">
        <v>209984.98152340626</v>
      </c>
      <c r="E437" s="2">
        <v>53145.528751008664</v>
      </c>
      <c r="F437" s="2">
        <v>132341.85875569348</v>
      </c>
      <c r="G437" s="2">
        <v>20454.098183256174</v>
      </c>
      <c r="H437" s="2">
        <v>4043.4958334479393</v>
      </c>
      <c r="I437" s="2">
        <v>6083.9292362336992</v>
      </c>
      <c r="J437" s="2">
        <v>28149.50142503684</v>
      </c>
      <c r="K437" s="21">
        <v>12755.842061921419</v>
      </c>
      <c r="L437" s="21">
        <v>4039.2455537069654</v>
      </c>
      <c r="M437" s="21">
        <v>9337.2206784422287</v>
      </c>
      <c r="N437" s="22">
        <v>29.5</v>
      </c>
      <c r="O437" s="22">
        <v>1362.9</v>
      </c>
    </row>
    <row r="438" spans="1:15">
      <c r="A438" s="1">
        <v>2023</v>
      </c>
      <c r="B438" s="9" t="s">
        <v>27</v>
      </c>
      <c r="C438" s="1" t="s">
        <v>28</v>
      </c>
      <c r="D438" s="2">
        <v>218088.38252095212</v>
      </c>
      <c r="E438" s="2">
        <v>57348.604767816731</v>
      </c>
      <c r="F438" s="2">
        <v>135531.3169816825</v>
      </c>
      <c r="G438" s="2">
        <v>20487.997023063075</v>
      </c>
      <c r="H438" s="2">
        <v>4720.4637483898005</v>
      </c>
      <c r="I438" s="2">
        <v>6832.1265169308472</v>
      </c>
      <c r="J438" s="2">
        <v>27337.927791901333</v>
      </c>
      <c r="K438" s="21">
        <v>12869.380684377773</v>
      </c>
      <c r="L438" s="21">
        <v>3978.176078790626</v>
      </c>
      <c r="M438" s="21">
        <v>8593.2718072423741</v>
      </c>
      <c r="N438" s="22">
        <v>23.7</v>
      </c>
      <c r="O438" s="22">
        <v>1080.8</v>
      </c>
    </row>
    <row r="439" spans="1:15">
      <c r="A439" s="1">
        <v>2023</v>
      </c>
      <c r="B439" s="9" t="s">
        <v>29</v>
      </c>
      <c r="C439" s="1" t="s">
        <v>30</v>
      </c>
      <c r="D439" s="2">
        <v>231413.68012724604</v>
      </c>
      <c r="E439" s="2">
        <v>63999.061547372919</v>
      </c>
      <c r="F439" s="2">
        <v>141195.80603508416</v>
      </c>
      <c r="G439" s="2">
        <v>21803.508483533955</v>
      </c>
      <c r="H439" s="2">
        <v>4415.3040612550167</v>
      </c>
      <c r="I439" s="2">
        <v>6952.3138209938397</v>
      </c>
      <c r="J439" s="2">
        <v>28877.155047290475</v>
      </c>
      <c r="K439" s="21">
        <v>13347.524678226093</v>
      </c>
      <c r="L439" s="21">
        <v>4526.9829805045711</v>
      </c>
      <c r="M439" s="21">
        <v>8754.0071544962957</v>
      </c>
      <c r="N439" s="22">
        <v>29.4</v>
      </c>
      <c r="O439" s="22">
        <v>1521.6</v>
      </c>
    </row>
    <row r="440" spans="1:15">
      <c r="A440" s="1">
        <v>2023</v>
      </c>
      <c r="B440" s="9" t="s">
        <v>31</v>
      </c>
      <c r="C440" s="1" t="s">
        <v>32</v>
      </c>
      <c r="D440" s="2">
        <v>218927.93064044023</v>
      </c>
      <c r="E440" s="2">
        <v>56623.701633337587</v>
      </c>
      <c r="F440" s="2">
        <v>137114.37297883589</v>
      </c>
      <c r="G440" s="2">
        <v>21424.891618207341</v>
      </c>
      <c r="H440" s="2">
        <v>3764.9644100594096</v>
      </c>
      <c r="I440" s="2">
        <v>6072.5885484076789</v>
      </c>
      <c r="J440" s="2">
        <v>28476.301090471603</v>
      </c>
      <c r="K440" s="21">
        <v>13722.089768124406</v>
      </c>
      <c r="L440" s="21">
        <v>5185.1757561478016</v>
      </c>
      <c r="M440" s="21">
        <v>7615.0979424686011</v>
      </c>
      <c r="N440" s="22">
        <v>27.5</v>
      </c>
      <c r="O440" s="22">
        <v>1324.9</v>
      </c>
    </row>
    <row r="441" spans="1:15">
      <c r="A441" s="1">
        <v>2023</v>
      </c>
      <c r="B441" s="9" t="s">
        <v>33</v>
      </c>
      <c r="C441" s="1" t="s">
        <v>34</v>
      </c>
      <c r="D441" s="2">
        <v>207510.72234257241</v>
      </c>
      <c r="E441" s="2">
        <v>54482.035454304503</v>
      </c>
      <c r="F441" s="2">
        <v>128805.9331490911</v>
      </c>
      <c r="G441" s="2">
        <v>19978.717614855901</v>
      </c>
      <c r="H441" s="2">
        <v>4244.0361243209281</v>
      </c>
      <c r="I441" s="2">
        <v>6174.1944186035362</v>
      </c>
      <c r="J441" s="2">
        <v>27296.163855286828</v>
      </c>
      <c r="K441" s="21">
        <v>12780.236621722812</v>
      </c>
      <c r="L441" s="21">
        <v>3611.5335525424189</v>
      </c>
      <c r="M441" s="21">
        <v>8752.0665250136262</v>
      </c>
      <c r="N441" s="22">
        <v>26.7</v>
      </c>
      <c r="O441" s="22">
        <v>1349.4</v>
      </c>
    </row>
    <row r="442" spans="1:15">
      <c r="A442" s="1">
        <v>2023</v>
      </c>
      <c r="B442" s="9" t="s">
        <v>35</v>
      </c>
      <c r="C442" s="1" t="s">
        <v>36</v>
      </c>
      <c r="D442" s="2">
        <v>200177.46662306634</v>
      </c>
      <c r="E442" s="2">
        <v>50320.872712446195</v>
      </c>
      <c r="F442" s="2">
        <v>126063.6947930006</v>
      </c>
      <c r="G442" s="2">
        <v>20029.031873834771</v>
      </c>
      <c r="H442" s="2">
        <v>3763.8672437847681</v>
      </c>
      <c r="I442" s="2">
        <v>5990.0326932144744</v>
      </c>
      <c r="J442" s="2">
        <v>23625.345563463445</v>
      </c>
      <c r="K442" s="21">
        <v>10174.588804471916</v>
      </c>
      <c r="L442" s="21">
        <v>3299.1321837306627</v>
      </c>
      <c r="M442" s="21">
        <v>8124.3559686233575</v>
      </c>
      <c r="N442" s="22">
        <v>25.8</v>
      </c>
      <c r="O442" s="22">
        <v>1074</v>
      </c>
    </row>
    <row r="443" spans="1:15">
      <c r="A443" s="1">
        <v>2023</v>
      </c>
      <c r="B443" s="9" t="s">
        <v>37</v>
      </c>
      <c r="C443" s="1" t="s">
        <v>38</v>
      </c>
      <c r="D443" s="2">
        <v>207947.26868030214</v>
      </c>
      <c r="E443" s="2">
        <v>52988.360325925983</v>
      </c>
      <c r="F443" s="2">
        <v>130303.63063922494</v>
      </c>
      <c r="G443" s="2">
        <v>20092.28017297386</v>
      </c>
      <c r="H443" s="2">
        <v>4562.9975421773497</v>
      </c>
      <c r="I443" s="2">
        <v>6414.1594050846652</v>
      </c>
      <c r="J443" s="2">
        <v>24079.670683780441</v>
      </c>
      <c r="K443" s="21">
        <v>10655.759807105942</v>
      </c>
      <c r="L443" s="21">
        <v>3625.9396099314799</v>
      </c>
      <c r="M443" s="21">
        <v>7839.6422215625907</v>
      </c>
      <c r="N443" s="22">
        <v>27.1</v>
      </c>
      <c r="O443" s="22">
        <v>1104.0999999999999</v>
      </c>
    </row>
    <row r="444" spans="1:15">
      <c r="A444" s="1">
        <v>2023</v>
      </c>
      <c r="B444" s="9" t="s">
        <v>39</v>
      </c>
      <c r="C444" s="1" t="s">
        <v>40</v>
      </c>
      <c r="D444" s="2">
        <v>201405.9765240899</v>
      </c>
      <c r="E444" s="2">
        <v>50867.378512894255</v>
      </c>
      <c r="F444" s="2">
        <v>125716.81209308191</v>
      </c>
      <c r="G444" s="2">
        <v>20065.598900037221</v>
      </c>
      <c r="H444" s="2">
        <v>4756.1870180765336</v>
      </c>
      <c r="I444" s="2">
        <v>5927.8904430563834</v>
      </c>
      <c r="J444" s="2">
        <v>22213.658056718872</v>
      </c>
      <c r="K444" s="21">
        <v>9377.5622320620478</v>
      </c>
      <c r="L444" s="21">
        <v>2961.315485189758</v>
      </c>
      <c r="M444" s="21">
        <v>7930.8931819799736</v>
      </c>
      <c r="N444" s="22">
        <v>27</v>
      </c>
      <c r="O444" s="22">
        <v>1220.9000000000001</v>
      </c>
    </row>
    <row r="445" spans="1:15">
      <c r="A445" s="1">
        <v>2023</v>
      </c>
      <c r="B445" s="9" t="s">
        <v>41</v>
      </c>
      <c r="C445" s="1" t="s">
        <v>42</v>
      </c>
      <c r="D445" s="2">
        <v>201472.52666019063</v>
      </c>
      <c r="E445" s="2">
        <v>50517.464334582641</v>
      </c>
      <c r="F445" s="2">
        <v>124902.12935468723</v>
      </c>
      <c r="G445" s="2">
        <v>20939.378559606215</v>
      </c>
      <c r="H445" s="2">
        <v>5113.5544113145397</v>
      </c>
      <c r="I445" s="2">
        <v>6584.949822282264</v>
      </c>
      <c r="J445" s="2">
        <v>22249.554383718929</v>
      </c>
      <c r="K445" s="21">
        <v>9926.5980895365556</v>
      </c>
      <c r="L445" s="21">
        <v>2865.5744134676588</v>
      </c>
      <c r="M445" s="21">
        <v>7480.1638275495397</v>
      </c>
      <c r="N445" s="22">
        <v>26.5</v>
      </c>
      <c r="O445" s="22">
        <v>858.6</v>
      </c>
    </row>
    <row r="446" spans="1:15">
      <c r="A446" s="1">
        <v>2023</v>
      </c>
      <c r="B446" s="9" t="s">
        <v>43</v>
      </c>
      <c r="C446" s="1" t="s">
        <v>44</v>
      </c>
      <c r="D446" s="2">
        <v>204922.5076620827</v>
      </c>
      <c r="E446" s="2">
        <v>52398.581525592715</v>
      </c>
      <c r="F446" s="2">
        <v>126364.43778666868</v>
      </c>
      <c r="G446" s="2">
        <v>21482.177740259303</v>
      </c>
      <c r="H446" s="2">
        <v>4677.3106095619896</v>
      </c>
      <c r="I446" s="2">
        <v>6963.2623747681264</v>
      </c>
      <c r="J446" s="2">
        <v>22978.064443960124</v>
      </c>
      <c r="K446" s="21">
        <v>9671.7205398518199</v>
      </c>
      <c r="L446" s="21">
        <v>3041.0112310518844</v>
      </c>
      <c r="M446" s="21">
        <v>8284.4992186536965</v>
      </c>
      <c r="N446" s="22">
        <v>25.1</v>
      </c>
      <c r="O446" s="22">
        <v>957.2</v>
      </c>
    </row>
    <row r="447" spans="1:15">
      <c r="A447" s="1">
        <v>2023</v>
      </c>
      <c r="B447" s="9" t="s">
        <v>45</v>
      </c>
      <c r="C447" s="1" t="s">
        <v>46</v>
      </c>
      <c r="D447" s="2">
        <v>201573.80583287464</v>
      </c>
      <c r="E447" s="2">
        <v>46724.7480140357</v>
      </c>
      <c r="F447" s="2">
        <v>127026.60381521333</v>
      </c>
      <c r="G447" s="2">
        <v>22739.035509010904</v>
      </c>
      <c r="H447" s="2">
        <v>5083.4184946147352</v>
      </c>
      <c r="I447" s="2">
        <v>5436.6668840694092</v>
      </c>
      <c r="J447" s="2">
        <v>18146.452286846721</v>
      </c>
      <c r="K447" s="21">
        <v>7503.8183834077827</v>
      </c>
      <c r="L447" s="21">
        <v>2844.1665359384665</v>
      </c>
      <c r="M447" s="21">
        <v>6102.8039398225646</v>
      </c>
      <c r="N447" s="22">
        <v>20.9</v>
      </c>
      <c r="O447" s="22">
        <v>890.7</v>
      </c>
    </row>
    <row r="448" spans="1:15">
      <c r="A448" s="1">
        <v>2023</v>
      </c>
      <c r="B448" s="9" t="s">
        <v>47</v>
      </c>
      <c r="C448" s="1" t="s">
        <v>48</v>
      </c>
      <c r="D448" s="2">
        <v>211462.57007907942</v>
      </c>
      <c r="E448" s="2">
        <v>51549.375791095903</v>
      </c>
      <c r="F448" s="2">
        <v>132307.3729151458</v>
      </c>
      <c r="G448" s="2">
        <v>22816.813314948969</v>
      </c>
      <c r="H448" s="2">
        <v>4789.0080578887546</v>
      </c>
      <c r="I448" s="2">
        <v>6784.7517164543578</v>
      </c>
      <c r="J448" s="2">
        <v>21969.130486662598</v>
      </c>
      <c r="K448" s="21">
        <v>9101.8501936589219</v>
      </c>
      <c r="L448" s="21">
        <v>3371.847821098012</v>
      </c>
      <c r="M448" s="21">
        <v>7457.5841562354199</v>
      </c>
      <c r="N448" s="22">
        <v>21.6</v>
      </c>
      <c r="O448" s="22">
        <v>792.7</v>
      </c>
    </row>
    <row r="449" spans="1:15">
      <c r="A449" s="1">
        <v>2023</v>
      </c>
      <c r="B449" s="9" t="s">
        <v>49</v>
      </c>
      <c r="C449" s="1" t="s">
        <v>50</v>
      </c>
      <c r="D449" s="2">
        <v>196851.79282312747</v>
      </c>
      <c r="E449" s="2">
        <v>49885.673630342011</v>
      </c>
      <c r="F449" s="2">
        <v>122635.90303864695</v>
      </c>
      <c r="G449" s="2">
        <v>20574.391430381918</v>
      </c>
      <c r="H449" s="2">
        <v>3755.8247237566043</v>
      </c>
      <c r="I449" s="2">
        <v>5181.0195326585845</v>
      </c>
      <c r="J449" s="2">
        <v>21081.522278188757</v>
      </c>
      <c r="K449" s="21">
        <v>9097.5760179878707</v>
      </c>
      <c r="L449" s="21">
        <v>3750.9119313586843</v>
      </c>
      <c r="M449" s="21">
        <v>6472.0059177382509</v>
      </c>
      <c r="N449" s="22">
        <v>28.3</v>
      </c>
      <c r="O449" s="22">
        <v>1208.7</v>
      </c>
    </row>
    <row r="450" spans="1:15">
      <c r="A450" s="1">
        <v>2023</v>
      </c>
      <c r="B450" s="9" t="s">
        <v>51</v>
      </c>
      <c r="C450" s="1" t="s">
        <v>52</v>
      </c>
      <c r="D450" s="2">
        <v>197899.00656784099</v>
      </c>
      <c r="E450" s="2">
        <v>52690.412735843995</v>
      </c>
      <c r="F450" s="2">
        <v>120569.26392875747</v>
      </c>
      <c r="G450" s="2">
        <v>20206.379575657662</v>
      </c>
      <c r="H450" s="2">
        <v>4432.9503275818497</v>
      </c>
      <c r="I450" s="2">
        <v>5787.4341244643201</v>
      </c>
      <c r="J450" s="2">
        <v>21576.979202551975</v>
      </c>
      <c r="K450" s="21">
        <v>9044.3658643022063</v>
      </c>
      <c r="L450" s="21">
        <v>3283.1447459712763</v>
      </c>
      <c r="M450" s="21">
        <v>7435.6376501458872</v>
      </c>
      <c r="N450" s="22">
        <v>28.8</v>
      </c>
      <c r="O450" s="22">
        <v>1454.6</v>
      </c>
    </row>
    <row r="451" spans="1:15">
      <c r="A451" s="1">
        <v>2023</v>
      </c>
      <c r="B451" s="9" t="s">
        <v>53</v>
      </c>
      <c r="C451" s="1" t="s">
        <v>54</v>
      </c>
      <c r="D451" s="2">
        <v>204548.61362814371</v>
      </c>
      <c r="E451" s="2">
        <v>55471.204968103149</v>
      </c>
      <c r="F451" s="2">
        <v>125349.29741139343</v>
      </c>
      <c r="G451" s="2">
        <v>19268.123372908631</v>
      </c>
      <c r="H451" s="2">
        <v>4459.9878757384886</v>
      </c>
      <c r="I451" s="2">
        <v>7054.4242342425141</v>
      </c>
      <c r="J451" s="2">
        <v>21504.520829268786</v>
      </c>
      <c r="K451" s="21">
        <v>8279.8856164975314</v>
      </c>
      <c r="L451" s="21">
        <v>3381.4156363320767</v>
      </c>
      <c r="M451" s="21">
        <v>7919.1205470313434</v>
      </c>
      <c r="N451" s="22">
        <v>28.9</v>
      </c>
      <c r="O451" s="22">
        <v>1475.1</v>
      </c>
    </row>
    <row r="452" spans="1:15">
      <c r="A452" s="1">
        <v>2023</v>
      </c>
      <c r="B452" s="9" t="s">
        <v>55</v>
      </c>
      <c r="C452" s="1" t="s">
        <v>56</v>
      </c>
      <c r="D452" s="2">
        <v>211226.08202880507</v>
      </c>
      <c r="E452" s="2">
        <v>59847.234463744535</v>
      </c>
      <c r="F452" s="2">
        <v>127137.35701893936</v>
      </c>
      <c r="G452" s="2">
        <v>19383.559859484441</v>
      </c>
      <c r="H452" s="2">
        <v>4857.9306866367351</v>
      </c>
      <c r="I452" s="2">
        <v>7010.1576480920266</v>
      </c>
      <c r="J452" s="2">
        <v>22794.327332147972</v>
      </c>
      <c r="K452" s="21">
        <v>10000.42721157238</v>
      </c>
      <c r="L452" s="21">
        <v>3442.4418728449359</v>
      </c>
      <c r="M452" s="21">
        <v>7490.1738916043396</v>
      </c>
      <c r="N452" s="22">
        <v>26</v>
      </c>
      <c r="O452" s="22">
        <v>1350.9</v>
      </c>
    </row>
    <row r="453" spans="1:15">
      <c r="A453" s="1">
        <v>2023</v>
      </c>
      <c r="B453" s="9" t="s">
        <v>57</v>
      </c>
      <c r="C453" s="1" t="s">
        <v>58</v>
      </c>
      <c r="D453" s="2">
        <v>207888.8411638978</v>
      </c>
      <c r="E453" s="2">
        <v>53781.029468805602</v>
      </c>
      <c r="F453" s="2">
        <v>127740.36790560561</v>
      </c>
      <c r="G453" s="2">
        <v>21459.872435015019</v>
      </c>
      <c r="H453" s="2">
        <v>4907.57135447156</v>
      </c>
      <c r="I453" s="2">
        <v>5640.7156401819784</v>
      </c>
      <c r="J453" s="2">
        <v>22264.640102073896</v>
      </c>
      <c r="K453" s="21">
        <v>9611.2011972526052</v>
      </c>
      <c r="L453" s="21">
        <v>3095.2189880182286</v>
      </c>
      <c r="M453" s="21">
        <v>7630.2134848054848</v>
      </c>
      <c r="N453" s="22">
        <v>28.8</v>
      </c>
      <c r="O453" s="22">
        <v>1320.5</v>
      </c>
    </row>
    <row r="454" spans="1:15">
      <c r="A454" s="1">
        <v>2023</v>
      </c>
      <c r="B454" s="9" t="s">
        <v>59</v>
      </c>
      <c r="C454" s="1" t="s">
        <v>60</v>
      </c>
      <c r="D454" s="2">
        <v>199763.98524279031</v>
      </c>
      <c r="E454" s="2">
        <v>53374.16100037071</v>
      </c>
      <c r="F454" s="2">
        <v>121709.96816068584</v>
      </c>
      <c r="G454" s="2">
        <v>20303.014865300764</v>
      </c>
      <c r="H454" s="2">
        <v>4376.8412164330248</v>
      </c>
      <c r="I454" s="2">
        <v>5724.1400897727444</v>
      </c>
      <c r="J454" s="2">
        <v>20642.432314496684</v>
      </c>
      <c r="K454" s="21">
        <v>8646.0903283268835</v>
      </c>
      <c r="L454" s="21">
        <v>3468.5916556603847</v>
      </c>
      <c r="M454" s="21">
        <v>6718.891895257646</v>
      </c>
      <c r="N454" s="22">
        <v>23</v>
      </c>
      <c r="O454" s="22">
        <v>1129.4000000000001</v>
      </c>
    </row>
    <row r="455" spans="1:15">
      <c r="A455" s="1">
        <v>2023</v>
      </c>
      <c r="B455" s="9" t="s">
        <v>61</v>
      </c>
      <c r="C455" s="1" t="s">
        <v>62</v>
      </c>
      <c r="D455" s="2">
        <v>207529.7239277311</v>
      </c>
      <c r="E455" s="2">
        <v>50964.696420513494</v>
      </c>
      <c r="F455" s="2">
        <v>128018.79256910789</v>
      </c>
      <c r="G455" s="2">
        <v>23441.597616096129</v>
      </c>
      <c r="H455" s="2">
        <v>5104.6373220135665</v>
      </c>
      <c r="I455" s="2">
        <v>6065.5218476788432</v>
      </c>
      <c r="J455" s="2">
        <v>22325.534358032535</v>
      </c>
      <c r="K455" s="21">
        <v>9722.6673046925935</v>
      </c>
      <c r="L455" s="21">
        <v>3616.4169825187469</v>
      </c>
      <c r="M455" s="21">
        <v>7171.7659343853666</v>
      </c>
      <c r="N455" s="22">
        <v>23.2</v>
      </c>
      <c r="O455" s="22">
        <v>983.9</v>
      </c>
    </row>
    <row r="456" spans="1:15">
      <c r="A456" s="1">
        <v>2023</v>
      </c>
      <c r="B456" s="9" t="s">
        <v>63</v>
      </c>
      <c r="C456" s="1" t="s">
        <v>64</v>
      </c>
      <c r="D456" s="2">
        <v>202970.41237336665</v>
      </c>
      <c r="E456" s="2">
        <v>49824.500306560389</v>
      </c>
      <c r="F456" s="2">
        <v>128674.83024556925</v>
      </c>
      <c r="G456" s="2">
        <v>20363.865900355991</v>
      </c>
      <c r="H456" s="2">
        <v>4107.2159208809944</v>
      </c>
      <c r="I456" s="2">
        <v>6097.0113566974997</v>
      </c>
      <c r="J456" s="2">
        <v>22359.441122507043</v>
      </c>
      <c r="K456" s="21">
        <v>9256.7874920358954</v>
      </c>
      <c r="L456" s="21">
        <v>3614.3125925005907</v>
      </c>
      <c r="M456" s="21">
        <v>7490.8004884292732</v>
      </c>
      <c r="N456" s="22">
        <v>25.4</v>
      </c>
      <c r="O456" s="22">
        <v>1013.4</v>
      </c>
    </row>
    <row r="457" spans="1:15">
      <c r="A457" s="1">
        <v>2023</v>
      </c>
      <c r="B457" s="9" t="s">
        <v>65</v>
      </c>
      <c r="C457" s="1" t="s">
        <v>66</v>
      </c>
      <c r="D457" s="2">
        <v>203573.01586068043</v>
      </c>
      <c r="E457" s="2">
        <v>46940.104795947984</v>
      </c>
      <c r="F457" s="2">
        <v>127669.68366862403</v>
      </c>
      <c r="G457" s="2">
        <v>24271.407887079175</v>
      </c>
      <c r="H457" s="2">
        <v>4691.8195090292602</v>
      </c>
      <c r="I457" s="2">
        <v>5360.7283790135152</v>
      </c>
      <c r="J457" s="2">
        <v>20595.889230557823</v>
      </c>
      <c r="K457" s="21">
        <v>8413.9763229611908</v>
      </c>
      <c r="L457" s="21">
        <v>3291.836969115609</v>
      </c>
      <c r="M457" s="21">
        <v>7068.0084220215676</v>
      </c>
      <c r="N457" s="22">
        <v>21.9</v>
      </c>
      <c r="O457" s="22">
        <v>872.4</v>
      </c>
    </row>
    <row r="458" spans="1:15">
      <c r="A458" s="1">
        <v>2023</v>
      </c>
      <c r="B458" s="9" t="s">
        <v>67</v>
      </c>
      <c r="C458" s="1" t="s">
        <v>68</v>
      </c>
      <c r="D458" s="2">
        <v>205751.74051951533</v>
      </c>
      <c r="E458" s="2">
        <v>53600.510666159302</v>
      </c>
      <c r="F458" s="2">
        <v>126153.66030794881</v>
      </c>
      <c r="G458" s="2">
        <v>21520.1331761724</v>
      </c>
      <c r="H458" s="2">
        <v>4477.4363692348197</v>
      </c>
      <c r="I458" s="2">
        <v>6103.0738619824388</v>
      </c>
      <c r="J458" s="2">
        <v>22456.119370872533</v>
      </c>
      <c r="K458" s="21">
        <v>9236.0677508296139</v>
      </c>
      <c r="L458" s="21">
        <v>3589.0542617978276</v>
      </c>
      <c r="M458" s="21">
        <v>7794.6548576143923</v>
      </c>
      <c r="N458" s="22">
        <v>26.2</v>
      </c>
      <c r="O458" s="22">
        <v>1105.2</v>
      </c>
    </row>
    <row r="459" spans="1:15">
      <c r="A459" s="1">
        <v>2023</v>
      </c>
      <c r="B459" s="9" t="s">
        <v>69</v>
      </c>
      <c r="C459" s="1" t="s">
        <v>70</v>
      </c>
      <c r="D459" s="2">
        <v>200824.09716970369</v>
      </c>
      <c r="E459" s="2">
        <v>53634.272667955556</v>
      </c>
      <c r="F459" s="2">
        <v>121883.41922546692</v>
      </c>
      <c r="G459" s="2">
        <v>20399.893400254285</v>
      </c>
      <c r="H459" s="2">
        <v>4906.5118760269152</v>
      </c>
      <c r="I459" s="2">
        <v>6048.639233486032</v>
      </c>
      <c r="J459" s="2">
        <v>20304.76935093163</v>
      </c>
      <c r="K459" s="21">
        <v>8619.3814519822008</v>
      </c>
      <c r="L459" s="21">
        <v>3083.6167217729731</v>
      </c>
      <c r="M459" s="21">
        <v>6784.9607570513117</v>
      </c>
      <c r="N459" s="22">
        <v>23</v>
      </c>
      <c r="O459" s="22">
        <v>976.1</v>
      </c>
    </row>
    <row r="460" spans="1:15">
      <c r="A460" s="1">
        <v>2023</v>
      </c>
      <c r="B460" s="9" t="s">
        <v>71</v>
      </c>
      <c r="C460" s="1" t="s">
        <v>72</v>
      </c>
      <c r="D460" s="2">
        <v>208080.55399449298</v>
      </c>
      <c r="E460" s="2">
        <v>54182.083624490035</v>
      </c>
      <c r="F460" s="2">
        <v>124828.90313413301</v>
      </c>
      <c r="G460" s="2">
        <v>22687.723324481136</v>
      </c>
      <c r="H460" s="2">
        <v>6381.8439113887898</v>
      </c>
      <c r="I460" s="2">
        <v>6347.8397420664851</v>
      </c>
      <c r="J460" s="2">
        <v>18334.866099599225</v>
      </c>
      <c r="K460" s="21">
        <v>7394.7099133337906</v>
      </c>
      <c r="L460" s="21">
        <v>3143.4912740347431</v>
      </c>
      <c r="M460" s="21">
        <v>5932.7562851628818</v>
      </c>
      <c r="N460" s="22">
        <v>24.3</v>
      </c>
      <c r="O460" s="22">
        <v>1253.5</v>
      </c>
    </row>
    <row r="461" spans="1:15">
      <c r="A461" s="1">
        <v>2023</v>
      </c>
      <c r="B461" s="9" t="s">
        <v>73</v>
      </c>
      <c r="C461" s="1" t="s">
        <v>74</v>
      </c>
      <c r="D461" s="2">
        <v>214924.81569629005</v>
      </c>
      <c r="E461" s="2">
        <v>52528.892079866622</v>
      </c>
      <c r="F461" s="2">
        <v>128612.45515075132</v>
      </c>
      <c r="G461" s="2">
        <v>25717.027016385422</v>
      </c>
      <c r="H461" s="2">
        <v>8066.4414492866736</v>
      </c>
      <c r="I461" s="2">
        <v>6019.9510312680522</v>
      </c>
      <c r="J461" s="2">
        <v>19888.998117925781</v>
      </c>
      <c r="K461" s="21">
        <v>8442.9628354979614</v>
      </c>
      <c r="L461" s="21">
        <v>3219.8986115696434</v>
      </c>
      <c r="M461" s="21">
        <v>6497.8189378587113</v>
      </c>
      <c r="N461" s="22">
        <v>24</v>
      </c>
      <c r="O461" s="22">
        <v>1172.5999999999999</v>
      </c>
    </row>
    <row r="462" spans="1:15">
      <c r="A462" s="1">
        <v>2023</v>
      </c>
      <c r="B462" s="9" t="s">
        <v>75</v>
      </c>
      <c r="C462" s="1" t="s">
        <v>76</v>
      </c>
      <c r="D462" s="2">
        <v>215713.65996515274</v>
      </c>
      <c r="E462" s="2">
        <v>53847.861339209856</v>
      </c>
      <c r="F462" s="2">
        <v>131574.38514538953</v>
      </c>
      <c r="G462" s="2">
        <v>24531.392560736906</v>
      </c>
      <c r="H462" s="2">
        <v>5760.0209198164212</v>
      </c>
      <c r="I462" s="2">
        <v>6002.0302606438854</v>
      </c>
      <c r="J462" s="2">
        <v>21103.862949822269</v>
      </c>
      <c r="K462" s="21">
        <v>8656.1792916205268</v>
      </c>
      <c r="L462" s="21">
        <v>3441.6620358969494</v>
      </c>
      <c r="M462" s="21">
        <v>7232.6590966688509</v>
      </c>
      <c r="N462" s="22">
        <v>25.2</v>
      </c>
      <c r="O462" s="22">
        <v>1185.3</v>
      </c>
    </row>
    <row r="463" spans="1:15">
      <c r="A463" s="1">
        <v>2023</v>
      </c>
      <c r="B463" s="9" t="s">
        <v>77</v>
      </c>
      <c r="C463" s="1" t="s">
        <v>78</v>
      </c>
      <c r="D463" s="2">
        <v>210978.28339390183</v>
      </c>
      <c r="E463" s="2">
        <v>55510.838518534336</v>
      </c>
      <c r="F463" s="2">
        <v>127735.84441194056</v>
      </c>
      <c r="G463" s="2">
        <v>21564.466123590704</v>
      </c>
      <c r="H463" s="2">
        <v>6167.1343398362387</v>
      </c>
      <c r="I463" s="2">
        <v>5699.4886509224471</v>
      </c>
      <c r="J463" s="2">
        <v>21651.483188204642</v>
      </c>
      <c r="K463" s="21">
        <v>8888.9106886317059</v>
      </c>
      <c r="L463" s="21">
        <v>3795.3648716689436</v>
      </c>
      <c r="M463" s="21">
        <v>6980.485359583191</v>
      </c>
      <c r="N463" s="22">
        <v>24.5</v>
      </c>
      <c r="O463" s="22">
        <v>1226.5</v>
      </c>
    </row>
    <row r="464" spans="1:15">
      <c r="A464" s="1">
        <v>2023</v>
      </c>
      <c r="B464" s="9" t="s">
        <v>79</v>
      </c>
      <c r="C464" s="1" t="s">
        <v>80</v>
      </c>
      <c r="D464" s="2">
        <v>216890.84844429954</v>
      </c>
      <c r="E464" s="2">
        <v>54343.967871429304</v>
      </c>
      <c r="F464" s="2">
        <v>133210.1074184489</v>
      </c>
      <c r="G464" s="2">
        <v>22153.504083946118</v>
      </c>
      <c r="H464" s="2">
        <v>7183.2690704752113</v>
      </c>
      <c r="I464" s="2">
        <v>6388.7804224455722</v>
      </c>
      <c r="J464" s="2">
        <v>22533.700160255001</v>
      </c>
      <c r="K464" s="21">
        <v>10027.912682710978</v>
      </c>
      <c r="L464" s="21">
        <v>3096.2128958554063</v>
      </c>
      <c r="M464" s="21">
        <v>7498.2691451832743</v>
      </c>
      <c r="N464" s="22">
        <v>26.2</v>
      </c>
      <c r="O464" s="22">
        <v>1400.4</v>
      </c>
    </row>
    <row r="465" spans="1:15">
      <c r="A465" s="1">
        <v>2023</v>
      </c>
      <c r="B465" s="9" t="s">
        <v>81</v>
      </c>
      <c r="C465" s="1" t="s">
        <v>82</v>
      </c>
      <c r="D465" s="2">
        <v>210732.00379877025</v>
      </c>
      <c r="E465" s="2">
        <v>61875.908256162438</v>
      </c>
      <c r="F465" s="2">
        <v>124634.74020556675</v>
      </c>
      <c r="G465" s="2">
        <v>20805.519053853615</v>
      </c>
      <c r="H465" s="2">
        <v>3415.8362831874651</v>
      </c>
      <c r="I465" s="2">
        <v>6641.9905785533774</v>
      </c>
      <c r="J465" s="2">
        <v>20331.862774846562</v>
      </c>
      <c r="K465" s="21">
        <v>9019.586271482076</v>
      </c>
      <c r="L465" s="21">
        <v>3495.7300003044775</v>
      </c>
      <c r="M465" s="21">
        <v>6210.2489793432824</v>
      </c>
      <c r="N465" s="22">
        <v>26.2</v>
      </c>
      <c r="O465" s="22">
        <v>1502.4</v>
      </c>
    </row>
    <row r="466" spans="1:15">
      <c r="A466" s="1">
        <v>2023</v>
      </c>
      <c r="B466" s="9" t="s">
        <v>83</v>
      </c>
      <c r="C466" s="1" t="s">
        <v>84</v>
      </c>
      <c r="D466" s="2">
        <v>220828.69636819066</v>
      </c>
      <c r="E466" s="2">
        <v>62316.990204735164</v>
      </c>
      <c r="F466" s="2">
        <v>135116.9700500234</v>
      </c>
      <c r="G466" s="2">
        <v>20091.746600578193</v>
      </c>
      <c r="H466" s="2">
        <v>3302.989512853937</v>
      </c>
      <c r="I466" s="2">
        <v>6787.2514929658937</v>
      </c>
      <c r="J466" s="2">
        <v>24032.618232371846</v>
      </c>
      <c r="K466" s="21">
        <v>10631.568843512905</v>
      </c>
      <c r="L466" s="21">
        <v>4472.8532742228344</v>
      </c>
      <c r="M466" s="21">
        <v>6991.6990741195141</v>
      </c>
      <c r="N466" s="22">
        <v>26.1</v>
      </c>
      <c r="O466" s="22">
        <v>1490.2</v>
      </c>
    </row>
    <row r="467" spans="1:15">
      <c r="A467" s="1">
        <v>2023</v>
      </c>
      <c r="B467" s="9" t="s">
        <v>85</v>
      </c>
      <c r="C467" s="1" t="s">
        <v>86</v>
      </c>
      <c r="D467" s="2">
        <v>212126.78133491473</v>
      </c>
      <c r="E467" s="2">
        <v>55296.420018863639</v>
      </c>
      <c r="F467" s="2">
        <v>128280.61596761765</v>
      </c>
      <c r="G467" s="2">
        <v>24548.149682236643</v>
      </c>
      <c r="H467" s="2">
        <v>4001.5956661968003</v>
      </c>
      <c r="I467" s="2">
        <v>5491.99356727348</v>
      </c>
      <c r="J467" s="2">
        <v>21553.706931032611</v>
      </c>
      <c r="K467" s="21">
        <v>9045.6644732149998</v>
      </c>
      <c r="L467" s="21">
        <v>3566.6573986067378</v>
      </c>
      <c r="M467" s="21">
        <v>7369.4523219711064</v>
      </c>
      <c r="N467" s="22">
        <v>25.7</v>
      </c>
      <c r="O467" s="22">
        <v>1444</v>
      </c>
    </row>
    <row r="468" spans="1:15">
      <c r="A468" s="1">
        <v>2023</v>
      </c>
      <c r="B468" s="9" t="s">
        <v>87</v>
      </c>
      <c r="C468" s="1" t="s">
        <v>88</v>
      </c>
      <c r="D468" s="2">
        <v>206743.22704760678</v>
      </c>
      <c r="E468" s="2">
        <v>52204.143136114348</v>
      </c>
      <c r="F468" s="2">
        <v>128283.94488053081</v>
      </c>
      <c r="G468" s="2">
        <v>22069.83190575421</v>
      </c>
      <c r="H468" s="2">
        <v>4185.3071252074333</v>
      </c>
      <c r="I468" s="2">
        <v>5815.5281605962591</v>
      </c>
      <c r="J468" s="2">
        <v>21083.648832282895</v>
      </c>
      <c r="K468" s="21">
        <v>8765.1423857723639</v>
      </c>
      <c r="L468" s="21">
        <v>3330.4540522685743</v>
      </c>
      <c r="M468" s="21">
        <v>7277.2572972091912</v>
      </c>
      <c r="N468" s="22">
        <v>28.6</v>
      </c>
      <c r="O468" s="22">
        <v>1346.5</v>
      </c>
    </row>
    <row r="469" spans="1:15">
      <c r="A469" s="1">
        <v>2023</v>
      </c>
      <c r="B469" s="9" t="s">
        <v>89</v>
      </c>
      <c r="C469" s="1" t="s">
        <v>90</v>
      </c>
      <c r="D469" s="2">
        <v>224047.2257557807</v>
      </c>
      <c r="E469" s="2">
        <v>61510.888264931418</v>
      </c>
      <c r="F469" s="2">
        <v>134944.08813363564</v>
      </c>
      <c r="G469" s="2">
        <v>23003.043267942525</v>
      </c>
      <c r="H469" s="2">
        <v>4589.2060892710961</v>
      </c>
      <c r="I469" s="2">
        <v>7399.6413688103539</v>
      </c>
      <c r="J469" s="2">
        <v>23442.111728790678</v>
      </c>
      <c r="K469" s="21">
        <v>10141.248284746353</v>
      </c>
      <c r="L469" s="21">
        <v>3564.3984710154605</v>
      </c>
      <c r="M469" s="21">
        <v>7489.6826860669544</v>
      </c>
      <c r="N469" s="22">
        <v>36.200000000000003</v>
      </c>
      <c r="O469" s="22">
        <v>1851.8</v>
      </c>
    </row>
    <row r="470" spans="1:15">
      <c r="A470" s="1">
        <v>2023</v>
      </c>
      <c r="B470" s="9" t="s">
        <v>91</v>
      </c>
      <c r="C470" s="1" t="s">
        <v>92</v>
      </c>
      <c r="D470" s="2">
        <v>227283.55462517642</v>
      </c>
      <c r="E470" s="2">
        <v>61297.129786410427</v>
      </c>
      <c r="F470" s="2">
        <v>135567.63059352676</v>
      </c>
      <c r="G470" s="2">
        <v>24228.272060082109</v>
      </c>
      <c r="H470" s="2">
        <v>6190.5221851571441</v>
      </c>
      <c r="I470" s="2">
        <v>7231.6940752659011</v>
      </c>
      <c r="J470" s="2">
        <v>24495.174236399504</v>
      </c>
      <c r="K470" s="21">
        <v>10902.935552354596</v>
      </c>
      <c r="L470" s="21">
        <v>2871.224516322709</v>
      </c>
      <c r="M470" s="21">
        <v>8745.4870158289632</v>
      </c>
      <c r="N470" s="22">
        <v>34.700000000000003</v>
      </c>
      <c r="O470" s="22">
        <v>1903.2</v>
      </c>
    </row>
    <row r="471" spans="1:15">
      <c r="A471" s="1">
        <v>2023</v>
      </c>
      <c r="B471" s="9" t="s">
        <v>93</v>
      </c>
      <c r="C471" s="1" t="s">
        <v>94</v>
      </c>
      <c r="D471" s="2">
        <v>220844.93950604455</v>
      </c>
      <c r="E471" s="2">
        <v>56911.388223588947</v>
      </c>
      <c r="F471" s="2">
        <v>134852.88302121058</v>
      </c>
      <c r="G471" s="2">
        <v>24240.9231676167</v>
      </c>
      <c r="H471" s="2">
        <v>4839.7450936283149</v>
      </c>
      <c r="I471" s="2">
        <v>6527.9657284307641</v>
      </c>
      <c r="J471" s="2">
        <v>22082.238418055444</v>
      </c>
      <c r="K471" s="21">
        <v>9135.2536840257235</v>
      </c>
      <c r="L471" s="21">
        <v>2962.7805644417731</v>
      </c>
      <c r="M471" s="21">
        <v>7993.9224870357648</v>
      </c>
      <c r="N471" s="22">
        <v>27.8</v>
      </c>
      <c r="O471" s="22">
        <v>1508</v>
      </c>
    </row>
    <row r="472" spans="1:15">
      <c r="A472" s="1">
        <v>2023</v>
      </c>
      <c r="B472" s="9" t="s">
        <v>95</v>
      </c>
      <c r="C472" s="1" t="s">
        <v>96</v>
      </c>
      <c r="D472" s="2">
        <v>213612.38187672407</v>
      </c>
      <c r="E472" s="2">
        <v>56948.765794338287</v>
      </c>
      <c r="F472" s="2">
        <v>130792.5592763266</v>
      </c>
      <c r="G472" s="2">
        <v>20736.507886262501</v>
      </c>
      <c r="H472" s="2">
        <v>5134.5489197967008</v>
      </c>
      <c r="I472" s="2">
        <v>6523.6220397346688</v>
      </c>
      <c r="J472" s="2">
        <v>22007.257177381558</v>
      </c>
      <c r="K472" s="21">
        <v>8881.5069392616806</v>
      </c>
      <c r="L472" s="21">
        <v>3292.2850937159478</v>
      </c>
      <c r="M472" s="21">
        <v>7442.0506599786131</v>
      </c>
      <c r="N472" s="22">
        <v>27.8</v>
      </c>
      <c r="O472" s="22">
        <v>1562.7</v>
      </c>
    </row>
    <row r="473" spans="1:15">
      <c r="A473" s="1">
        <v>2023</v>
      </c>
      <c r="B473" s="9" t="s">
        <v>97</v>
      </c>
      <c r="C473" s="1" t="s">
        <v>98</v>
      </c>
      <c r="D473" s="2">
        <v>218577.43568004912</v>
      </c>
      <c r="E473" s="2">
        <v>64461.896296477418</v>
      </c>
      <c r="F473" s="2">
        <v>128761.06414110013</v>
      </c>
      <c r="G473" s="2">
        <v>20386.628698784982</v>
      </c>
      <c r="H473" s="2">
        <v>4967.8465436865854</v>
      </c>
      <c r="I473" s="2">
        <v>7632.2208801534143</v>
      </c>
      <c r="J473" s="2">
        <v>23109.862662179472</v>
      </c>
      <c r="K473" s="21">
        <v>10988.648025438817</v>
      </c>
      <c r="L473" s="21">
        <v>2677.9880922577809</v>
      </c>
      <c r="M473" s="21">
        <v>6956.6354577775128</v>
      </c>
      <c r="N473" s="22">
        <v>38.9</v>
      </c>
      <c r="O473" s="22">
        <v>2349.6999999999998</v>
      </c>
    </row>
    <row r="474" spans="1:15">
      <c r="A474" s="1">
        <v>2023</v>
      </c>
      <c r="B474" s="9" t="s">
        <v>99</v>
      </c>
      <c r="C474" s="1" t="s">
        <v>100</v>
      </c>
      <c r="D474" s="2">
        <v>219292.18924331604</v>
      </c>
      <c r="E474" s="2">
        <v>59495.877500457384</v>
      </c>
      <c r="F474" s="2">
        <v>129137.53986597741</v>
      </c>
      <c r="G474" s="2">
        <v>23824.748488949783</v>
      </c>
      <c r="H474" s="2">
        <v>6834.0233879314474</v>
      </c>
      <c r="I474" s="2">
        <v>6779.234375196861</v>
      </c>
      <c r="J474" s="2">
        <v>22116.688941105203</v>
      </c>
      <c r="K474" s="21">
        <v>9942.8140555308455</v>
      </c>
      <c r="L474" s="21">
        <v>3087.5719607177534</v>
      </c>
      <c r="M474" s="21">
        <v>7224.5715931786617</v>
      </c>
      <c r="N474" s="22">
        <v>31.7</v>
      </c>
      <c r="O474" s="22">
        <v>1593.1</v>
      </c>
    </row>
    <row r="475" spans="1:15">
      <c r="A475" s="1">
        <v>2023</v>
      </c>
      <c r="B475" s="9" t="s">
        <v>101</v>
      </c>
      <c r="C475" s="1" t="s">
        <v>102</v>
      </c>
      <c r="D475" s="2">
        <v>238790.8479635402</v>
      </c>
      <c r="E475" s="2">
        <v>68563.872173188196</v>
      </c>
      <c r="F475" s="2">
        <v>141701.20744225668</v>
      </c>
      <c r="G475" s="2">
        <v>21892.434931772525</v>
      </c>
      <c r="H475" s="2">
        <v>6633.3334163227901</v>
      </c>
      <c r="I475" s="2">
        <v>7977.7144686817373</v>
      </c>
      <c r="J475" s="2">
        <v>27450.295550694595</v>
      </c>
      <c r="K475" s="21">
        <v>12582.010236951844</v>
      </c>
      <c r="L475" s="21">
        <v>4402.8179754993907</v>
      </c>
      <c r="M475" s="21">
        <v>8636.2839397581811</v>
      </c>
      <c r="N475" s="22">
        <v>37.5</v>
      </c>
      <c r="O475" s="22">
        <v>1765.4</v>
      </c>
    </row>
    <row r="476" spans="1:15">
      <c r="A476" s="1">
        <v>2023</v>
      </c>
      <c r="B476" s="9" t="s">
        <v>103</v>
      </c>
      <c r="C476" s="1" t="s">
        <v>104</v>
      </c>
      <c r="D476" s="2">
        <v>228076.20771980908</v>
      </c>
      <c r="E476" s="2">
        <v>67345.451336875965</v>
      </c>
      <c r="F476" s="2">
        <v>132166.12309462851</v>
      </c>
      <c r="G476" s="2">
        <v>22316.626115034</v>
      </c>
      <c r="H476" s="2">
        <v>6248.0071732706201</v>
      </c>
      <c r="I476" s="2">
        <v>7108.5668857324572</v>
      </c>
      <c r="J476" s="2">
        <v>24342.890839306972</v>
      </c>
      <c r="K476" s="21">
        <v>11755.207434414222</v>
      </c>
      <c r="L476" s="21">
        <v>2854.6301187894146</v>
      </c>
      <c r="M476" s="21">
        <v>7483.0501308104667</v>
      </c>
      <c r="N476" s="22">
        <v>35.1</v>
      </c>
      <c r="O476" s="22">
        <v>1984.5</v>
      </c>
    </row>
    <row r="477" spans="1:15">
      <c r="A477" s="1">
        <v>2023</v>
      </c>
      <c r="B477" s="9" t="s">
        <v>105</v>
      </c>
      <c r="C477" s="1" t="s">
        <v>106</v>
      </c>
      <c r="D477" s="2">
        <v>221926.06824668543</v>
      </c>
      <c r="E477" s="2">
        <v>62153.455287983365</v>
      </c>
      <c r="F477" s="2">
        <v>132621.81872877022</v>
      </c>
      <c r="G477" s="2">
        <v>21468.274392575924</v>
      </c>
      <c r="H477" s="2">
        <v>5682.5198373559306</v>
      </c>
      <c r="I477" s="2">
        <v>6586.7947050070825</v>
      </c>
      <c r="J477" s="2">
        <v>25060.59013102403</v>
      </c>
      <c r="K477" s="21">
        <v>11737.624324890618</v>
      </c>
      <c r="L477" s="21">
        <v>3253.2061253655497</v>
      </c>
      <c r="M477" s="21">
        <v>8422.2031515210474</v>
      </c>
      <c r="N477" s="22">
        <v>35.799999999999997</v>
      </c>
      <c r="O477" s="22">
        <v>1875</v>
      </c>
    </row>
    <row r="478" spans="1:15">
      <c r="A478" s="1">
        <v>2023</v>
      </c>
      <c r="B478" s="9" t="s">
        <v>107</v>
      </c>
      <c r="C478" s="1" t="s">
        <v>108</v>
      </c>
      <c r="D478" s="2">
        <v>225649.45036350674</v>
      </c>
      <c r="E478" s="2">
        <v>64192.96900319132</v>
      </c>
      <c r="F478" s="2">
        <v>136508.04272580773</v>
      </c>
      <c r="G478" s="2">
        <v>19332.540388914622</v>
      </c>
      <c r="H478" s="2">
        <v>5615.8982455930691</v>
      </c>
      <c r="I478" s="2">
        <v>7108.7188698565124</v>
      </c>
      <c r="J478" s="2">
        <v>25671.979646635657</v>
      </c>
      <c r="K478" s="21">
        <v>11104.485794279008</v>
      </c>
      <c r="L478" s="21">
        <v>3513.832286345983</v>
      </c>
      <c r="M478" s="21">
        <v>8950.5795329955035</v>
      </c>
      <c r="N478" s="22">
        <v>29.8</v>
      </c>
      <c r="O478" s="22">
        <v>1772.8</v>
      </c>
    </row>
    <row r="479" spans="1:15">
      <c r="A479" s="1">
        <v>2023</v>
      </c>
      <c r="B479" s="9" t="s">
        <v>109</v>
      </c>
      <c r="C479" s="1" t="s">
        <v>110</v>
      </c>
      <c r="D479" s="2">
        <v>213632.69809678179</v>
      </c>
      <c r="E479" s="2">
        <v>58409.486075670749</v>
      </c>
      <c r="F479" s="2">
        <v>129818.62904030774</v>
      </c>
      <c r="G479" s="2">
        <v>20281.923965816866</v>
      </c>
      <c r="H479" s="2">
        <v>5122.6590149864169</v>
      </c>
      <c r="I479" s="2">
        <v>6674.353102869326</v>
      </c>
      <c r="J479" s="2">
        <v>23252.535350725208</v>
      </c>
      <c r="K479" s="21">
        <v>11628.071959131759</v>
      </c>
      <c r="L479" s="21">
        <v>2418.2092465429109</v>
      </c>
      <c r="M479" s="21">
        <v>7179.2830735131902</v>
      </c>
      <c r="N479" s="22">
        <v>33.9</v>
      </c>
      <c r="O479" s="22">
        <v>1709.7</v>
      </c>
    </row>
    <row r="480" spans="1:15">
      <c r="A480" s="1">
        <v>2023</v>
      </c>
      <c r="B480" s="9" t="s">
        <v>111</v>
      </c>
      <c r="C480" s="1" t="s">
        <v>112</v>
      </c>
      <c r="D480" s="2">
        <v>221192.2848456855</v>
      </c>
      <c r="E480" s="2">
        <v>64202.202318248841</v>
      </c>
      <c r="F480" s="2">
        <v>131222.10246196802</v>
      </c>
      <c r="G480" s="2">
        <v>20079.469265445623</v>
      </c>
      <c r="H480" s="2">
        <v>5688.5108000230102</v>
      </c>
      <c r="I480" s="2">
        <v>7632.0595836235243</v>
      </c>
      <c r="J480" s="2">
        <v>24809.295936046856</v>
      </c>
      <c r="K480" s="21">
        <v>11666.849492527819</v>
      </c>
      <c r="L480" s="21">
        <v>2535.7341759384922</v>
      </c>
      <c r="M480" s="21">
        <v>8195.7083427379548</v>
      </c>
      <c r="N480" s="22">
        <v>37.5</v>
      </c>
      <c r="O480" s="22">
        <v>2019.8</v>
      </c>
    </row>
    <row r="481" spans="1:15">
      <c r="A481" s="1">
        <v>2023</v>
      </c>
      <c r="B481" s="9" t="s">
        <v>113</v>
      </c>
      <c r="C481" s="1" t="s">
        <v>114</v>
      </c>
      <c r="D481" s="2">
        <v>194294.42052924327</v>
      </c>
      <c r="E481" s="2">
        <v>57866.488064573517</v>
      </c>
      <c r="F481" s="2">
        <v>112740.99734975038</v>
      </c>
      <c r="G481" s="2">
        <v>18782.264969142441</v>
      </c>
      <c r="H481" s="2">
        <v>4904.6701457769332</v>
      </c>
      <c r="I481" s="2">
        <v>7413.4222932625034</v>
      </c>
      <c r="J481" s="2">
        <v>19465.610430459154</v>
      </c>
      <c r="K481" s="21">
        <v>9724.5998499277302</v>
      </c>
      <c r="L481" s="21">
        <v>2119.9969833786663</v>
      </c>
      <c r="M481" s="21">
        <v>5850.0197535465559</v>
      </c>
      <c r="N481" s="22">
        <v>28.4</v>
      </c>
      <c r="O481" s="22">
        <v>1271.0999999999999</v>
      </c>
    </row>
  </sheetData>
  <autoFilter ref="A1:O481" xr:uid="{14531386-2E54-4B3C-87D9-9A05D73489F0}">
    <filterColumn colId="0">
      <filters>
        <filter val="2018"/>
        <filter val="2019"/>
        <filter val="2020"/>
        <filter val="2021"/>
        <filter val="2022"/>
        <filter val="2023"/>
      </filters>
    </filterColumn>
    <filterColumn colId="1">
      <filters>
        <filter val="01"/>
        <filter val="02"/>
        <filter val="03"/>
        <filter val="04"/>
        <filter val="05"/>
        <filter val="06"/>
        <filter val="07"/>
        <filter val="08"/>
        <filter val="09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1"/>
        <filter val="42"/>
        <filter val="43"/>
        <filter val="44"/>
        <filter val="45"/>
        <filter val="46"/>
        <filter val="47"/>
      </filters>
    </filterColumn>
    <sortState xmlns:xlrd2="http://schemas.microsoft.com/office/spreadsheetml/2017/richdata2" ref="A2:O481">
      <sortCondition ref="A2:A481"/>
      <sortCondition ref="B2:B481"/>
    </sortState>
  </autoFilter>
  <phoneticPr fontId="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1E19E4-2B37-4C74-850F-4806498BC7D2}"/>
</file>

<file path=customXml/itemProps2.xml><?xml version="1.0" encoding="utf-8"?>
<ds:datastoreItem xmlns:ds="http://schemas.openxmlformats.org/officeDocument/2006/customXml" ds:itemID="{CE3E7310-6BF9-49AB-9EEA-C70329C8A73B}"/>
</file>

<file path=customXml/itemProps3.xml><?xml version="1.0" encoding="utf-8"?>
<ds:datastoreItem xmlns:ds="http://schemas.openxmlformats.org/officeDocument/2006/customXml" ds:itemID="{F1845E90-00AC-437B-9B6A-474A9C1655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さん ただきち</dc:creator>
  <cp:keywords/>
  <dc:description/>
  <cp:lastModifiedBy>高見　吉忠</cp:lastModifiedBy>
  <cp:revision/>
  <dcterms:created xsi:type="dcterms:W3CDTF">2026-08-21T12:50:21Z</dcterms:created>
  <dcterms:modified xsi:type="dcterms:W3CDTF">2026-08-22T05:17:39Z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